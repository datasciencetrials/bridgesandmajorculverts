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16f280c85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af954a8fb5434d"/>
    <x:sheet xmlns:r="http://schemas.openxmlformats.org/officeDocument/2006/relationships" name="Bridge_Database" sheetId="2" r:id="R1658ad1ecc094509"/>
    <x:sheet xmlns:r="http://schemas.openxmlformats.org/officeDocument/2006/relationships" name="Assumptions" sheetId="3" r:id="R90755070a02c4d5c"/>
    <x:sheet xmlns:r="http://schemas.openxmlformats.org/officeDocument/2006/relationships" name="Traffic_Periods" sheetId="4" r:id="Rec7392e7c0f34fad"/>
    <x:sheet xmlns:r="http://schemas.openxmlformats.org/officeDocument/2006/relationships" name="Governed_Breakdowns" sheetId="5" r:id="Rd09d68dc694146ff"/>
    <x:sheet xmlns:r="http://schemas.openxmlformats.org/officeDocument/2006/relationships" name="Bridge_Projected_Traffic" sheetId="6" r:id="R1ddaa3e015b7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0acd3a6e64697" /><Relationship Type="http://schemas.openxmlformats.org/officeDocument/2006/relationships/theme" Target="/xl/theme/theme1.xml" Id="R819fe07fa2a84836" /><Relationship Type="http://schemas.openxmlformats.org/officeDocument/2006/relationships/sharedStrings" Target="/xl/sharedStrings.xml" Id="R94e011aa49514768" /><Relationship Type="http://schemas.openxmlformats.org/officeDocument/2006/relationships/worksheet" Target="/xl/worksheets/sheet1.xml" Id="R43af954a8fb5434d" /><Relationship Type="http://schemas.openxmlformats.org/officeDocument/2006/relationships/worksheet" Target="/xl/worksheets/sheet2.xml" Id="R1658ad1ecc094509" /><Relationship Type="http://schemas.openxmlformats.org/officeDocument/2006/relationships/worksheet" Target="/xl/worksheets/sheet3.xml" Id="R90755070a02c4d5c" /><Relationship Type="http://schemas.openxmlformats.org/officeDocument/2006/relationships/worksheet" Target="/xl/worksheets/sheet4.xml" Id="Rec7392e7c0f34fad" /><Relationship Type="http://schemas.openxmlformats.org/officeDocument/2006/relationships/worksheet" Target="/xl/worksheets/sheet5.xml" Id="Rd09d68dc694146ff" /><Relationship Type="http://schemas.openxmlformats.org/officeDocument/2006/relationships/worksheet" Target="/xl/worksheets/sheet6.xml" Id="R1ddaa3e015b7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18.75" hidden="0" customWidth="1"/>
    <x:col min="4" max="4" width="15.630000114440918" hidden="0" customWidth="1"/>
    <x:col min="5" max="5" width="11.880000114440918" hidden="0" customWidth="1"/>
    <x:col min="6" max="6" width="20" hidden="0" customWidth="1"/>
  </x:cols>
  <x:sheetData>
    <x:row r="1">
      <x:c r="A1" t="str">
        <x:v>Uganda Bridge Traffic Analytics - Formula Workbook</x:v>
      </x:c>
      <x:c r="B1" t="str"/>
      <x:c r="C1" t="str"/>
      <x:c r="D1" t="str"/>
      <x:c r="E1" t="str"/>
      <x:c r="F1" t="str"/>
    </x:row>
    <x:row r="3">
      <x:c r="A3" t="str">
        <x:v>Metric</x:v>
      </x:c>
      <x:c r="B3" t="str">
        <x:v>Formula</x:v>
      </x:c>
      <x:c r="D3" t="str">
        <x:v>Road Class</x:v>
      </x:c>
      <x:c r="E3" t="str">
        <x:v>Bridges</x:v>
      </x:c>
      <x:c r="F3" t="str">
        <x:v>ADT incl. MC</x:v>
      </x:c>
    </x:row>
    <x:row r="4">
      <x:c r="A4" t="str">
        <x:v>Bridge records</x:v>
      </x:c>
      <x:c r="B4" t="n">
        <x:f>COUNTA(Bridge_Database!A2:A547)</x:f>
        <x:v>546</x:v>
      </x:c>
      <x:c r="D4" t="str">
        <x:v>A</x:v>
      </x:c>
      <x:c r="E4" t="n">
        <x:f>COUNTIF(Bridge_Database!F2:F547,D4)</x:f>
        <x:v>64</x:v>
      </x:c>
      <x:c r="F4" t="n">
        <x:f>SUMIF(Bridge_Database!F2:F547,D4,Bridge_Database!O2:O547)</x:f>
        <x:v>541701.4199999999</x:v>
      </x:c>
    </x:row>
    <x:row r="5">
      <x:c r="A5" t="str">
        <x:v>Total ADT incl. motorcycles</x:v>
      </x:c>
      <x:c r="B5" t="n">
        <x:f>SUM(Bridge_Database!O2:O547)</x:f>
        <x:v>3988000.490000004</x:v>
      </x:c>
      <x:c r="D5" t="str">
        <x:v>B</x:v>
      </x:c>
      <x:c r="E5" t="n">
        <x:f>COUNTIF(Bridge_Database!F2:F547,D5)</x:f>
        <x:v>97</x:v>
      </x:c>
      <x:c r="F5" t="n">
        <x:f>SUMIF(Bridge_Database!F2:F547,D5,Bridge_Database!O2:O547)</x:f>
        <x:v>252369.3099999999</x:v>
      </x:c>
    </x:row>
    <x:row r="6">
      <x:c r="A6" t="str">
        <x:v>Total ADT excl. motorcycles</x:v>
      </x:c>
      <x:c r="B6" t="n">
        <x:f>SUM(Bridge_Database!Q2:Q547)</x:f>
        <x:v>3510396</x:v>
      </x:c>
      <x:c r="D6" t="str">
        <x:v>C</x:v>
      </x:c>
      <x:c r="E6" t="n">
        <x:f>COUNTIF(Bridge_Database!F2:F547,D6)</x:f>
        <x:v>310</x:v>
      </x:c>
      <x:c r="F6" t="n">
        <x:f>SUMIF(Bridge_Database!F2:F547,D6,Bridge_Database!O2:O547)</x:f>
        <x:v>583555.4700000007</x:v>
      </x:c>
    </x:row>
    <x:row r="7">
      <x:c r="A7" t="str">
        <x:v>Motorcycle ADT</x:v>
      </x:c>
      <x:c r="B7" t="n">
        <x:f>SUM(Bridge_Database!R2:R547)</x:f>
        <x:v>477598</x:v>
      </x:c>
      <x:c r="D7" t="str">
        <x:v>M</x:v>
      </x:c>
      <x:c r="E7" t="n">
        <x:f>COUNTIF(Bridge_Database!F2:F547,D7)</x:f>
        <x:v>75</x:v>
      </x:c>
      <x:c r="F7" t="n">
        <x:f>SUMIF(Bridge_Database!F2:F547,D7,Bridge_Database!O2:O547)</x:f>
        <x:v>2610374.290000003</x:v>
      </x:c>
    </x:row>
    <x:row r="8">
      <x:c r="A8" t="str">
        <x:v>Light vehicle ADT</x:v>
      </x:c>
      <x:c r="B8" t="n">
        <x:f>SUM(Bridge_Database!S2:S547)</x:f>
        <x:v>2365709</x:v>
      </x:c>
      <x:c r="D8" t="str">
        <x:v>Total</x:v>
      </x:c>
      <x:c r="E8" t="n">
        <x:f>SUM(E4:E7)</x:f>
        <x:v>546</x:v>
      </x:c>
      <x:c r="F8" t="n">
        <x:f>SUM(F4:F7)</x:f>
        <x:v>3988000.4900000035</x:v>
      </x:c>
    </x:row>
    <x:row r="9">
      <x:c r="A9" t="str">
        <x:v>Bus ADT</x:v>
      </x:c>
      <x:c r="B9" t="n">
        <x:f>SUM(Bridge_Database!T2:T547)</x:f>
        <x:v>299009</x:v>
      </x:c>
    </x:row>
    <x:row r="10">
      <x:c r="A10" t="str">
        <x:v>Heavy goods ADT</x:v>
      </x:c>
      <x:c r="B10" t="n">
        <x:f>SUM(Bridge_Database!U2:U547)</x:f>
        <x:v>671945</x:v>
      </x:c>
    </x:row>
    <x:row r="11">
      <x:c r="A11" t="str">
        <x:v>Other ADT</x:v>
      </x:c>
      <x:c r="B11" t="n">
        <x:f>SUM(Bridge_Database!V2:V547)</x:f>
        <x:v>173739.49000000005</x:v>
      </x:c>
    </x:row>
  </x:sheetData>
  <x:conditionalFormatting sqref="B4:B1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7eff35b2-cb44-40c2-af3e-a1bb104d5027</x14:id>
        </x:ext>
      </x:extLst>
    </x:cfRule>
  </x:conditionalFormatting>
  <x:conditionalFormatting sqref="E4:E8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a44f961e-6a6b-41c5-95c1-800fbfa65f6d</x14:id>
        </x:ext>
      </x:extLst>
    </x:cfRule>
  </x:conditionalFormatting>
  <x:conditionalFormatting sqref="F4:F8">
    <x:cfRule type="dataBar" priority="3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69c6b9a8-6997-408c-82b8-f101cdea5c78</x14:id>
        </x:ext>
      </x:extLst>
    </x:cfRule>
  </x:conditionalFormatting>
  <x:conditionalFormatting sqref="A1:F11">
    <x:cfRule type="containsErrors" dxfId="11" priority="4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7eff35b2-cb44-40c2-af3e-a1bb104d5027">
            <x14:dataBar gradient="1">
              <x14:cfvo type="min"/>
              <x14:cfvo type="max"/>
              <x14:fillColor rgb="FF2563EB"/>
            </x14:dataBar>
          </x14:cfRule>
          <xm:sqref>B4:B11</xm:sqref>
        </x14:conditionalFormatting>
        <x14:conditionalFormatting>
          <x14:cfRule type="dataBar" priority="2" id="a44f961e-6a6b-41c5-95c1-800fbfa65f6d">
            <x14:dataBar gradient="1">
              <x14:cfvo type="min"/>
              <x14:cfvo type="max"/>
              <x14:fillColor rgb="FF0F766E"/>
            </x14:dataBar>
          </x14:cfRule>
          <xm:sqref>E4:E8</xm:sqref>
        </x14:conditionalFormatting>
        <x14:conditionalFormatting>
          <x14:cfRule type="dataBar" priority="3" id="69c6b9a8-6997-408c-82b8-f101cdea5c78">
            <x14:dataBar gradient="1">
              <x14:cfvo type="min"/>
              <x14:cfvo type="max"/>
              <x14:fillColor rgb="FF7C3AED"/>
            </x14:dataBar>
          </x14:cfRule>
          <xm:sqref>F4:F8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630000114440918" hidden="0" customWidth="1"/>
    <x:col min="2" max="2" width="8" hidden="0" customWidth="1"/>
    <x:col min="3" max="3" width="28" hidden="0" customWidth="1"/>
    <x:col min="4" max="4" width="12.25" hidden="0" customWidth="1"/>
    <x:col min="5" max="5" width="28" hidden="0" customWidth="1"/>
    <x:col min="6" max="6" width="8.630000114440918" hidden="0" customWidth="1"/>
    <x:col min="7" max="7" width="10.880000114440918" hidden="0" customWidth="1"/>
    <x:col min="8" max="8" width="8.380000114440918" hidden="0" customWidth="1"/>
    <x:col min="9" max="9" width="28" hidden="0" customWidth="1"/>
    <x:col min="10" max="10" width="15.130000114440918" hidden="0" customWidth="1"/>
    <x:col min="11" max="11" width="10.380000114440918" hidden="0" customWidth="1"/>
    <x:col min="12" max="12" width="10.880000114440918" hidden="0" customWidth="1"/>
    <x:col min="13" max="13" width="11.130000114440918" hidden="0" customWidth="1"/>
    <x:col min="14" max="14" width="10.880000114440918" hidden="0" customWidth="1"/>
    <x:col min="15" max="15" width="10.880000114440918" hidden="0" customWidth="1"/>
    <x:col min="16" max="16" width="7.880000114440918" hidden="0" customWidth="1"/>
    <x:col min="17" max="17" width="11.130000114440918" hidden="0" customWidth="1"/>
    <x:col min="18" max="18" width="9.880000114440918" hidden="0" customWidth="1"/>
    <x:col min="19" max="19" width="10.880000114440918" hidden="0" customWidth="1"/>
    <x:col min="20" max="20" width="5" hidden="0" customWidth="1"/>
    <x:col min="21" max="21" width="10.5" hidden="0" customWidth="1"/>
    <x:col min="22" max="22" width="6.630000114440918" hidden="0" customWidth="1"/>
    <x:col min="23" max="23" width="11.880000114440918" hidden="0" customWidth="1"/>
    <x:col min="24" max="24" width="28" hidden="0" customWidth="1"/>
    <x:col min="25" max="25" width="10.25" hidden="0" customWidth="1"/>
    <x:col min="26" max="26" width="12.75" hidden="0" customWidth="1"/>
    <x:col min="27" max="27" width="24.8799991607666" hidden="0" customWidth="1"/>
    <x:col min="28" max="28" width="24.8799991607666" hidden="0" customWidth="1"/>
    <x:col min="29" max="29" width="11" hidden="0" customWidth="1"/>
    <x:col min="30" max="30" width="10.380000114440918" hidden="0" customWidth="1"/>
    <x:col min="31" max="31" width="48" hidden="0" customWidth="1"/>
    <x:col min="32" max="32" width="28" hidden="0" customWidth="1"/>
  </x:cols>
  <x:sheetData>
    <x:row r="1" ht="15" hidden="0" customHeight="1">
      <x:c r="A1" s="3" t="str">
        <x:v>Record ID</x:v>
      </x:c>
      <x:c r="B1" s="3" t="str">
        <x:v>Bridge No</x:v>
      </x:c>
      <x:c r="C1" s="3" t="str">
        <x:v>Bridge Name</x:v>
      </x:c>
      <x:c r="D1" s="3" t="str">
        <x:v>Link ID</x:v>
      </x:c>
      <x:c r="E1" s="3" t="str">
        <x:v>Link Name</x:v>
      </x:c>
      <x:c r="F1" s="3" t="str">
        <x:v>Road Class</x:v>
      </x:c>
      <x:c r="G1" s="3" t="str">
        <x:v>Region</x:v>
      </x:c>
      <x:c r="H1" s="3" t="str">
        <x:v>Station</x:v>
      </x:c>
      <x:c r="I1" s="3" t="str">
        <x:v>River</x:v>
      </x:c>
      <x:c r="J1" s="3" t="str">
        <x:v>Condition</x:v>
      </x:c>
      <x:c r="K1" s="3" t="str">
        <x:v>Source Lon</x:v>
      </x:c>
      <x:c r="L1" s="3" t="str">
        <x:v>Source Lat</x:v>
      </x:c>
      <x:c r="M1" s="3" t="str">
        <x:v>Corrected Lon</x:v>
      </x:c>
      <x:c r="N1" s="3" t="str">
        <x:v>Corrected Lat</x:v>
      </x:c>
      <x:c r="O1" s="3" t="str">
        <x:v>AADT incl MC</x:v>
      </x:c>
      <x:c r="P1" s="3" t="str">
        <x:v>MC Share</x:v>
      </x:c>
      <x:c r="Q1" s="3" t="str">
        <x:v>AADT excl MC</x:v>
      </x:c>
      <x:c r="R1" s="3" t="str">
        <x:v>Motorcycles</x:v>
      </x:c>
      <x:c r="S1" s="3" t="str">
        <x:v>Light Vehicles</x:v>
      </x:c>
      <x:c r="T1" s="3" t="str">
        <x:v>Buses</x:v>
      </x:c>
      <x:c r="U1" s="3" t="str">
        <x:v>Heavy Goods</x:v>
      </x:c>
      <x:c r="V1" s="3" t="str">
        <x:v>Other</x:v>
      </x:c>
      <x:c r="W1" s="3" t="str">
        <x:v>Evidence Score</x:v>
      </x:c>
      <x:c r="X1" s="3" t="str">
        <x:v>Audit Notes</x:v>
      </x:c>
      <x:c r="Y1" s="3" t="str">
        <x:v>Surface Type</x:v>
      </x:c>
      <x:c r="Z1" s="3" t="str">
        <x:v>Functional Class</x:v>
      </x:c>
      <x:c r="AA1" s="3" t="str">
        <x:v>Road Type</x:v>
      </x:c>
      <x:c r="AB1" s="3" t="str">
        <x:v>Sub-Region</x:v>
      </x:c>
      <x:c r="AC1" s="3" t="str">
        <x:v>Financial Year</x:v>
      </x:c>
      <x:c r="AD1" s="3" t="str">
        <x:v>Traffic Status</x:v>
      </x:c>
      <x:c r="AE1" s="3" t="str">
        <x:v>Traffic Methodology</x:v>
      </x:c>
      <x:c r="AF1" s="3" t="str">
        <x:v>Source Record Status</x:v>
      </x:c>
    </x:row>
    <x:row r="2" ht="15" hidden="0" customHeight="1">
      <x:c r="A2" t="str">
        <x:v>bridge-001</x:v>
      </x:c>
      <x:c r="B2" t="str">
        <x:v>B548</x:v>
      </x:c>
      <x:c r="C2" t="str">
        <x:v>RWIZI BRIDGE</x:v>
      </x:c>
      <x:c r="D2" t="str">
        <x:v>A002_Link08</x:v>
      </x:c>
      <x:c r="E2" t="str">
        <x:v>Mbarara(Bushenyi Junction) - Ntungamo</x:v>
      </x:c>
      <x:c r="F2" t="str">
        <x:v>A</x:v>
      </x:c>
      <x:c r="G2" t="str">
        <x:v>Southern</x:v>
      </x:c>
      <x:c r="H2" t="str">
        <x:v>Mbarara</x:v>
      </x:c>
      <x:c r="I2" t="str">
        <x:v>RIVER RWIZI</x:v>
      </x:c>
      <x:c r="J2" t="str">
        <x:v>Poor</x:v>
      </x:c>
      <x:c r="K2" t="n">
        <x:v>30.644039</x:v>
      </x:c>
      <x:c r="L2" t="n">
        <x:v>-0.61817</x:v>
      </x:c>
      <x:c r="M2" t="n">
        <x:v>30.645356</x:v>
      </x:c>
      <x:c r="N2" t="n">
        <x:v>-0.618523</x:v>
      </x:c>
      <x:c r="O2" t="n">
        <x:v>3048.58</x:v>
      </x:c>
      <x:c r="P2" t="n">
        <x:f>IFERROR(INDEX(Assumptions!$B$9:$B$13,MATCH(F2,Assumptions!$A$9:$A$13,0)),0.15)</x:f>
        <x:v>0.12</x:v>
      </x:c>
      <x:c r="Q2" t="n">
        <x:f>ROUND(O2*(1-P2),0)</x:f>
        <x:v>2683</x:v>
      </x:c>
      <x:c r="R2" t="n">
        <x:f>ROUND(O2*P2,0)</x:f>
        <x:v>366</x:v>
      </x:c>
      <x:c r="S2" t="n">
        <x:f>ROUND(O2*IFERROR(INDEX(Assumptions!$C$9:$C$13,MATCH(F2,Assumptions!$A$9:$A$13,0)),0.55),0)</x:f>
        <x:v>1768</x:v>
      </x:c>
      <x:c r="T2" t="n">
        <x:f>ROUND(O2*IFERROR(INDEX(Assumptions!$D$9:$D$13,MATCH(F2,Assumptions!$A$9:$A$13,0)),0.06),0)</x:f>
        <x:v>244</x:v>
      </x:c>
      <x:c r="U2" t="n">
        <x:f>ROUND(O2*IFERROR(INDEX(Assumptions!$E$9:$E$13,MATCH(F2,Assumptions!$A$9:$A$13,0)),0.15),0)</x:f>
        <x:v>549</x:v>
      </x:c>
      <x:c r="V2" t="n">
        <x:f>MAX(0,O2-SUM(R2:U2))</x:f>
        <x:v>121.57999999999993</x:v>
      </x:c>
      <x:c r="W2" t="n">
        <x:f>MIN(100,40+IF(O2&gt;0,20,0)+IF(M2&lt;&gt;"",20,0)+IF(AF2&lt;&gt;"",20,0))</x:f>
        <x:v>100</x:v>
      </x:c>
      <x:c r="X2" t="str">
        <x:v>Placed on exact national road host link</x:v>
      </x:c>
      <x:c r="Y2" t="str">
        <x:v>Paved</x:v>
      </x:c>
      <x:c r="Z2" t="str">
        <x:v>A</x:v>
      </x:c>
      <x:c r="AA2" t="str">
        <x:v>Not available in governed source</x:v>
      </x:c>
      <x:c r="AB2" t="str">
        <x:v>Not available in governed source</x:v>
      </x:c>
      <x:c r="AC2" t="str">
        <x:v>FY2025/26</x:v>
      </x:c>
      <x:c r="AD2" t="str">
        <x:v>Modelled</x:v>
      </x:c>
      <x:c r="AE2" t="str">
        <x:v>2026 bridge AADT rebuilt from host-link traffic history, annual collection-link history, same-road corridor history and spatial count-station influence. Vehicle-class values are assigned from functional-class shares.</x:v>
      </x:c>
      <x:c r="AF2" t="str">
        <x:v>Placed on exact national road host link</x:v>
      </x:c>
    </x:row>
    <x:row r="3" ht="15" hidden="0" customHeight="1">
      <x:c r="A3" t="str">
        <x:v>bridge-002</x:v>
      </x:c>
      <x:c r="B3" t="str">
        <x:v>B001</x:v>
      </x:c>
      <x:c r="C3" t="str">
        <x:v>KIBIMBA</x:v>
      </x:c>
      <x:c r="D3" t="str">
        <x:v>A001_Link08</x:v>
      </x:c>
      <x:c r="E3" t="str">
        <x:v>Nakalama - Bugiri - Namutere</x:v>
      </x:c>
      <x:c r="F3" t="str">
        <x:v>A</x:v>
      </x:c>
      <x:c r="G3" t="str">
        <x:v>Eastern</x:v>
      </x:c>
      <x:c r="H3" t="str">
        <x:v>Jinja</x:v>
      </x:c>
      <x:c r="I3" t="str">
        <x:v>KIBIMBA RIVER</x:v>
      </x:c>
      <x:c r="J3" t="str">
        <x:v>Good</x:v>
      </x:c>
      <x:c r="K3" t="n">
        <x:v>33.89109</x:v>
      </x:c>
      <x:c r="L3" t="n">
        <x:v>0.53546</x:v>
      </x:c>
      <x:c r="M3" t="n">
        <x:v>33.51851</x:v>
      </x:c>
      <x:c r="N3" t="n">
        <x:v>0.62873</x:v>
      </x:c>
      <x:c r="O3" t="n">
        <x:v>12039.86</x:v>
      </x:c>
      <x:c r="P3" t="n">
        <x:f>IFERROR(INDEX(Assumptions!$B$9:$B$13,MATCH(F3,Assumptions!$A$9:$A$13,0)),0.15)</x:f>
        <x:v>0.12</x:v>
      </x:c>
      <x:c r="Q3" t="n">
        <x:f>ROUND(O3*(1-P3),0)</x:f>
        <x:v>10595</x:v>
      </x:c>
      <x:c r="R3" t="n">
        <x:f>ROUND(O3*P3,0)</x:f>
        <x:v>1445</x:v>
      </x:c>
      <x:c r="S3" t="n">
        <x:f>ROUND(O3*IFERROR(INDEX(Assumptions!$C$9:$C$13,MATCH(F3,Assumptions!$A$9:$A$13,0)),0.55),0)</x:f>
        <x:v>6983</x:v>
      </x:c>
      <x:c r="T3" t="n">
        <x:f>ROUND(O3*IFERROR(INDEX(Assumptions!$D$9:$D$13,MATCH(F3,Assumptions!$A$9:$A$13,0)),0.06),0)</x:f>
        <x:v>963</x:v>
      </x:c>
      <x:c r="U3" t="n">
        <x:f>ROUND(O3*IFERROR(INDEX(Assumptions!$E$9:$E$13,MATCH(F3,Assumptions!$A$9:$A$13,0)),0.15),0)</x:f>
        <x:v>2167</x:v>
      </x:c>
      <x:c r="V3" t="n">
        <x:f>MAX(0,O3-SUM(R3:U3))</x:f>
        <x:v>481.8600000000006</x:v>
      </x:c>
      <x:c r="W3" t="n">
        <x:f>MIN(100,40+IF(O3&gt;0,20,0)+IF(M3&lt;&gt;"",20,0)+IF(AF3&lt;&gt;"",20,0))</x:f>
        <x:v>100</x:v>
      </x:c>
      <x:c r="X3" t="str">
        <x:v>Placed on exact national road host link</x:v>
      </x:c>
      <x:c r="Y3" t="str">
        <x:v>Paved</x:v>
      </x:c>
      <x:c r="Z3" t="str">
        <x:v>A</x:v>
      </x:c>
      <x:c r="AA3" t="str">
        <x:v>Not available in governed source</x:v>
      </x:c>
      <x:c r="AB3" t="str">
        <x:v>Not available in governed source</x:v>
      </x:c>
      <x:c r="AC3" t="str">
        <x:v>FY2025/26</x:v>
      </x:c>
      <x:c r="AD3" t="str">
        <x:v>Modelled</x:v>
      </x:c>
      <x:c r="AE3" t="str">
        <x:v>2026 bridge AADT rebuilt from host-link traffic history, annual collection-link history, same-road corridor history and spatial count-station influence. Vehicle-class values are assigned from functional-class shares.</x:v>
      </x:c>
      <x:c r="AF3" t="str">
        <x:v>Placed on exact national road host link</x:v>
      </x:c>
    </x:row>
    <x:row r="4" ht="15" hidden="0" customHeight="1">
      <x:c r="A4" t="str">
        <x:v>bridge-003</x:v>
      </x:c>
      <x:c r="B4" t="str">
        <x:v>B002</x:v>
      </x:c>
      <x:c r="C4" t="str">
        <x:v>MALABA</x:v>
      </x:c>
      <x:c r="D4" t="str">
        <x:v>A001_Link11</x:v>
      </x:c>
      <x:c r="E4" t="str">
        <x:v>Tororo junction - Malaba(Uganda/Kenya border)</x:v>
      </x:c>
      <x:c r="F4" t="str">
        <x:v>A</x:v>
      </x:c>
      <x:c r="G4" t="str">
        <x:v>Eastern</x:v>
      </x:c>
      <x:c r="H4" t="str">
        <x:v>Tororo</x:v>
      </x:c>
      <x:c r="I4" t="str">
        <x:v>MALABA</x:v>
      </x:c>
      <x:c r="J4" t="str">
        <x:v>Good</x:v>
      </x:c>
      <x:c r="K4" t="n">
        <x:v>34.26833</x:v>
      </x:c>
      <x:c r="L4" t="n">
        <x:v>0.63782</x:v>
      </x:c>
      <x:c r="M4" t="n">
        <x:v>34.17312</x:v>
      </x:c>
      <x:c r="N4" t="n">
        <x:v>0.66002</x:v>
      </x:c>
      <x:c r="O4" t="n">
        <x:v>12039.86</x:v>
      </x:c>
      <x:c r="P4" t="n">
        <x:f>IFERROR(INDEX(Assumptions!$B$9:$B$13,MATCH(F4,Assumptions!$A$9:$A$13,0)),0.15)</x:f>
        <x:v>0.12</x:v>
      </x:c>
      <x:c r="Q4" t="n">
        <x:f>ROUND(O4*(1-P4),0)</x:f>
        <x:v>10595</x:v>
      </x:c>
      <x:c r="R4" t="n">
        <x:f>ROUND(O4*P4,0)</x:f>
        <x:v>1445</x:v>
      </x:c>
      <x:c r="S4" t="n">
        <x:f>ROUND(O4*IFERROR(INDEX(Assumptions!$C$9:$C$13,MATCH(F4,Assumptions!$A$9:$A$13,0)),0.55),0)</x:f>
        <x:v>6983</x:v>
      </x:c>
      <x:c r="T4" t="n">
        <x:f>ROUND(O4*IFERROR(INDEX(Assumptions!$D$9:$D$13,MATCH(F4,Assumptions!$A$9:$A$13,0)),0.06),0)</x:f>
        <x:v>963</x:v>
      </x:c>
      <x:c r="U4" t="n">
        <x:f>ROUND(O4*IFERROR(INDEX(Assumptions!$E$9:$E$13,MATCH(F4,Assumptions!$A$9:$A$13,0)),0.15),0)</x:f>
        <x:v>2167</x:v>
      </x:c>
      <x:c r="V4" t="n">
        <x:f>MAX(0,O4-SUM(R4:U4))</x:f>
        <x:v>481.8600000000006</x:v>
      </x:c>
      <x:c r="W4" t="n">
        <x:f>MIN(100,40+IF(O4&gt;0,20,0)+IF(M4&lt;&gt;"",20,0)+IF(AF4&lt;&gt;"",20,0))</x:f>
        <x:v>100</x:v>
      </x:c>
      <x:c r="X4" t="str">
        <x:v>Placed on exact national road host link</x:v>
      </x:c>
      <x:c r="Y4" t="str">
        <x:v>Paved</x:v>
      </x:c>
      <x:c r="Z4" t="str">
        <x:v>A</x:v>
      </x:c>
      <x:c r="AA4" t="str">
        <x:v>Not available in governed source</x:v>
      </x:c>
      <x:c r="AB4" t="str">
        <x:v>Not available in governed source</x:v>
      </x:c>
      <x:c r="AC4" t="str">
        <x:v>FY2025/26</x:v>
      </x:c>
      <x:c r="AD4" t="str">
        <x:v>Modelled</x:v>
      </x:c>
      <x:c r="AE4" t="str">
        <x:v>2026 bridge AADT rebuilt from host-link traffic history, annual collection-link history, same-road corridor history and spatial count-station influence. Vehicle-class values are assigned from functional-class shares.</x:v>
      </x:c>
      <x:c r="AF4" t="str">
        <x:v>Placed on exact national road host link</x:v>
      </x:c>
    </x:row>
    <x:row r="5" ht="15" hidden="0" customHeight="1">
      <x:c r="A5" t="str">
        <x:v>bridge-004</x:v>
      </x:c>
      <x:c r="B5" t="str">
        <x:v>B003</x:v>
      </x:c>
      <x:c r="C5" t="str">
        <x:v>BUSEGA</x:v>
      </x:c>
      <x:c r="D5" t="str">
        <x:v>A002_Link02</x:v>
      </x:c>
      <x:c r="E5" t="str">
        <x:v>Busega - Mpigi</x:v>
      </x:c>
      <x:c r="F5" t="str">
        <x:v>A</x:v>
      </x:c>
      <x:c r="G5" t="str">
        <x:v>Central</x:v>
      </x:c>
      <x:c r="H5" t="str">
        <x:v>Mpigi</x:v>
      </x:c>
      <x:c r="I5" t="str">
        <x:v>Busega River</x:v>
      </x:c>
      <x:c r="J5" t="str">
        <x:v>Satisfactory</x:v>
      </x:c>
      <x:c r="K5" t="n">
        <x:v>32.5100593566895</x:v>
      </x:c>
      <x:c r="L5" t="n">
        <x:v>0.300999999046326</x:v>
      </x:c>
      <x:c r="M5" t="n">
        <x:v>32.5100593566895</x:v>
      </x:c>
      <x:c r="N5" t="n">
        <x:v>0.300999999046326</x:v>
      </x:c>
      <x:c r="O5" t="n">
        <x:v>0</x:v>
      </x:c>
      <x:c r="P5" t="n">
        <x:f>IFERROR(INDEX(Assumptions!$B$9:$B$13,MATCH(F5,Assumptions!$A$9:$A$13,0)),0.15)</x:f>
        <x:v>0.12</x:v>
      </x:c>
      <x:c r="Q5" t="n">
        <x:f>ROUND(O5*(1-P5),0)</x:f>
        <x:v>0</x:v>
      </x:c>
      <x:c r="R5" t="n">
        <x:f>ROUND(O5*P5,0)</x:f>
        <x:v>0</x:v>
      </x:c>
      <x:c r="S5" t="n">
        <x:f>ROUND(O5*IFERROR(INDEX(Assumptions!$C$9:$C$13,MATCH(F5,Assumptions!$A$9:$A$13,0)),0.55),0)</x:f>
        <x:v>0</x:v>
      </x:c>
      <x:c r="T5" t="n">
        <x:f>ROUND(O5*IFERROR(INDEX(Assumptions!$D$9:$D$13,MATCH(F5,Assumptions!$A$9:$A$13,0)),0.06),0)</x:f>
        <x:v>0</x:v>
      </x:c>
      <x:c r="U5" t="n">
        <x:f>ROUND(O5*IFERROR(INDEX(Assumptions!$E$9:$E$13,MATCH(F5,Assumptions!$A$9:$A$13,0)),0.15),0)</x:f>
        <x:v>0</x:v>
      </x:c>
      <x:c r="V5" t="n">
        <x:f>MAX(0,O5-SUM(R5:U5))</x:f>
        <x:v>0</x:v>
      </x:c>
      <x:c r="W5" t="n">
        <x:f>MIN(100,40+IF(O5&gt;0,20,0)+IF(M5&lt;&gt;"",20,0)+IF(AF5&lt;&gt;"",20,0))</x:f>
        <x:v>80</x:v>
      </x:c>
      <x:c r="X5" t="str">
        <x:v>manual</x:v>
      </x:c>
      <x:c r="Y5" t="str">
        <x:v>Unpaved</x:v>
      </x:c>
      <x:c r="Z5" t="str">
        <x:v>A</x:v>
      </x:c>
      <x:c r="AA5" t="str">
        <x:v>Not available in governed source</x:v>
      </x:c>
      <x:c r="AB5" t="str">
        <x:v>Not available in governed source</x:v>
      </x:c>
      <x:c r="AC5" t="str">
        <x:v>FY2025/26</x:v>
      </x:c>
      <x:c r="AD5" t="str">
        <x:v>Modelled</x:v>
      </x:c>
      <x:c r="AE5" t="str">
        <x:v>2026 bridge AADT rebuilt from host-link traffic history, annual collection-link history, same-road corridor history and spatial count-station influence. Vehicle-class values are assigned from functional-class shares.</x:v>
      </x:c>
      <x:c r="AF5" t="str">
        <x:v>manual</x:v>
      </x:c>
    </x:row>
    <x:row r="6" ht="15" hidden="0" customHeight="1">
      <x:c r="A6" t="str">
        <x:v>bridge-005</x:v>
      </x:c>
      <x:c r="B6" t="str">
        <x:v>B004</x:v>
      </x:c>
      <x:c r="C6" t="str">
        <x:v>KATONGA BRIDGE</x:v>
      </x:c>
      <x:c r="D6" t="str">
        <x:v>A002_Link04</x:v>
      </x:c>
      <x:c r="E6" t="str">
        <x:v>Buwama - Lukaya</x:v>
      </x:c>
      <x:c r="F6" t="str">
        <x:v>A</x:v>
      </x:c>
      <x:c r="G6" t="str">
        <x:v>Central</x:v>
      </x:c>
      <x:c r="H6" t="str">
        <x:v>Mpigi</x:v>
      </x:c>
      <x:c r="I6" t="str">
        <x:v>River Katonga</x:v>
      </x:c>
      <x:c r="J6" t="str">
        <x:v>Good</x:v>
      </x:c>
      <x:c r="K6" t="n">
        <x:v>32.509979</x:v>
      </x:c>
      <x:c r="L6" t="n">
        <x:v>0.30104</x:v>
      </x:c>
      <x:c r="M6" t="n">
        <x:v>32.00763</x:v>
      </x:c>
      <x:c r="N6" t="n">
        <x:v>-0.034141</x:v>
      </x:c>
      <x:c r="O6" t="n">
        <x:v>8993.24</x:v>
      </x:c>
      <x:c r="P6" t="n">
        <x:f>IFERROR(INDEX(Assumptions!$B$9:$B$13,MATCH(F6,Assumptions!$A$9:$A$13,0)),0.15)</x:f>
        <x:v>0.12</x:v>
      </x:c>
      <x:c r="Q6" t="n">
        <x:f>ROUND(O6*(1-P6),0)</x:f>
        <x:v>7914</x:v>
      </x:c>
      <x:c r="R6" t="n">
        <x:f>ROUND(O6*P6,0)</x:f>
        <x:v>1079</x:v>
      </x:c>
      <x:c r="S6" t="n">
        <x:f>ROUND(O6*IFERROR(INDEX(Assumptions!$C$9:$C$13,MATCH(F6,Assumptions!$A$9:$A$13,0)),0.55),0)</x:f>
        <x:v>5216</x:v>
      </x:c>
      <x:c r="T6" t="n">
        <x:f>ROUND(O6*IFERROR(INDEX(Assumptions!$D$9:$D$13,MATCH(F6,Assumptions!$A$9:$A$13,0)),0.06),0)</x:f>
        <x:v>719</x:v>
      </x:c>
      <x:c r="U6" t="n">
        <x:f>ROUND(O6*IFERROR(INDEX(Assumptions!$E$9:$E$13,MATCH(F6,Assumptions!$A$9:$A$13,0)),0.15),0)</x:f>
        <x:v>1619</x:v>
      </x:c>
      <x:c r="V6" t="n">
        <x:f>MAX(0,O6-SUM(R6:U6))</x:f>
        <x:v>360.2399999999998</x:v>
      </x:c>
      <x:c r="W6" t="n">
        <x:f>MIN(100,40+IF(O6&gt;0,20,0)+IF(M6&lt;&gt;"",20,0)+IF(AF6&lt;&gt;"",20,0))</x:f>
        <x:v>100</x:v>
      </x:c>
      <x:c r="X6" t="str">
        <x:v>Placed on exact national road host link</x:v>
      </x:c>
      <x:c r="Y6" t="str">
        <x:v>Paved</x:v>
      </x:c>
      <x:c r="Z6" t="str">
        <x:v>A</x:v>
      </x:c>
      <x:c r="AA6" t="str">
        <x:v>Not available in governed source</x:v>
      </x:c>
      <x:c r="AB6" t="str">
        <x:v>Not available in governed source</x:v>
      </x:c>
      <x:c r="AC6" t="str">
        <x:v>FY2025/26</x:v>
      </x:c>
      <x:c r="AD6" t="str">
        <x:v>Modelled</x:v>
      </x:c>
      <x:c r="AE6" t="str">
        <x:v>2026 bridge AADT rebuilt from host-link traffic history, annual collection-link history, same-road corridor history and spatial count-station influence. Vehicle-class values are assigned from functional-class shares.</x:v>
      </x:c>
      <x:c r="AF6" t="str">
        <x:v>Placed on exact national road host link</x:v>
      </x:c>
    </x:row>
    <x:row r="7" ht="15" hidden="0" customHeight="1">
      <x:c r="A7" t="str">
        <x:v>bridge-006</x:v>
      </x:c>
      <x:c r="B7" t="str">
        <x:v>B005</x:v>
      </x:c>
      <x:c r="C7" t="str">
        <x:v>RWIZI BRIDGE</x:v>
      </x:c>
      <x:c r="D7" t="str">
        <x:v>A002_Link08</x:v>
      </x:c>
      <x:c r="E7" t="str">
        <x:v>Mbarara(Bushenyi Junction) - Ntungamo</x:v>
      </x:c>
      <x:c r="F7" t="str">
        <x:v>A</x:v>
      </x:c>
      <x:c r="G7" t="str">
        <x:v>Southern</x:v>
      </x:c>
      <x:c r="H7" t="str">
        <x:v>Mbarara</x:v>
      </x:c>
      <x:c r="I7" t="str">
        <x:v>RIVER RWIZI</x:v>
      </x:c>
      <x:c r="J7" t="str">
        <x:v>Satisfactory</x:v>
      </x:c>
      <x:c r="K7" t="n">
        <x:v>30.644039</x:v>
      </x:c>
      <x:c r="L7" t="n">
        <x:v>-0.61817</x:v>
      </x:c>
      <x:c r="M7" t="n">
        <x:v>30.645356</x:v>
      </x:c>
      <x:c r="N7" t="n">
        <x:v>-0.618523</x:v>
      </x:c>
      <x:c r="O7" t="n">
        <x:v>3048.58</x:v>
      </x:c>
      <x:c r="P7" t="n">
        <x:f>IFERROR(INDEX(Assumptions!$B$9:$B$13,MATCH(F7,Assumptions!$A$9:$A$13,0)),0.15)</x:f>
        <x:v>0.12</x:v>
      </x:c>
      <x:c r="Q7" t="n">
        <x:f>ROUND(O7*(1-P7),0)</x:f>
        <x:v>2683</x:v>
      </x:c>
      <x:c r="R7" t="n">
        <x:f>ROUND(O7*P7,0)</x:f>
        <x:v>366</x:v>
      </x:c>
      <x:c r="S7" t="n">
        <x:f>ROUND(O7*IFERROR(INDEX(Assumptions!$C$9:$C$13,MATCH(F7,Assumptions!$A$9:$A$13,0)),0.55),0)</x:f>
        <x:v>1768</x:v>
      </x:c>
      <x:c r="T7" t="n">
        <x:f>ROUND(O7*IFERROR(INDEX(Assumptions!$D$9:$D$13,MATCH(F7,Assumptions!$A$9:$A$13,0)),0.06),0)</x:f>
        <x:v>244</x:v>
      </x:c>
      <x:c r="U7" t="n">
        <x:f>ROUND(O7*IFERROR(INDEX(Assumptions!$E$9:$E$13,MATCH(F7,Assumptions!$A$9:$A$13,0)),0.15),0)</x:f>
        <x:v>549</x:v>
      </x:c>
      <x:c r="V7" t="n">
        <x:f>MAX(0,O7-SUM(R7:U7))</x:f>
        <x:v>121.57999999999993</x:v>
      </x:c>
      <x:c r="W7" t="n">
        <x:f>MIN(100,40+IF(O7&gt;0,20,0)+IF(M7&lt;&gt;"",20,0)+IF(AF7&lt;&gt;"",20,0))</x:f>
        <x:v>100</x:v>
      </x:c>
      <x:c r="X7" t="str">
        <x:v>Placed on exact national road host link</x:v>
      </x:c>
      <x:c r="Y7" t="str">
        <x:v>Paved</x:v>
      </x:c>
      <x:c r="Z7" t="str">
        <x:v>A</x:v>
      </x:c>
      <x:c r="AA7" t="str">
        <x:v>Not available in governed source</x:v>
      </x:c>
      <x:c r="AB7" t="str">
        <x:v>Not available in governed source</x:v>
      </x:c>
      <x:c r="AC7" t="str">
        <x:v>FY2025/26</x:v>
      </x:c>
      <x:c r="AD7" t="str">
        <x:v>Modelled</x:v>
      </x:c>
      <x:c r="AE7" t="str">
        <x:v>2026 bridge AADT rebuilt from host-link traffic history, annual collection-link history, same-road corridor history and spatial count-station influence. Vehicle-class values are assigned from functional-class shares.</x:v>
      </x:c>
      <x:c r="AF7" t="str">
        <x:v>Placed on exact national road host link</x:v>
      </x:c>
    </x:row>
    <x:row r="8" ht="15" hidden="0" customHeight="1">
      <x:c r="A8" t="str">
        <x:v>bridge-007</x:v>
      </x:c>
      <x:c r="B8" t="str">
        <x:v>B006</x:v>
      </x:c>
      <x:c r="C8" t="str">
        <x:v>KAMIRA BRIDGE</x:v>
      </x:c>
      <x:c r="D8" t="str">
        <x:v>A002_Link09</x:v>
      </x:c>
      <x:c r="E8" t="str">
        <x:v>Ntungamo - Rubaale</x:v>
      </x:c>
      <x:c r="F8" t="str">
        <x:v>A</x:v>
      </x:c>
      <x:c r="G8" t="str">
        <x:v>Southern</x:v>
      </x:c>
      <x:c r="H8" t="str">
        <x:v>Kabale</x:v>
      </x:c>
      <x:c r="I8" t="str">
        <x:v>KAMIRA RIVER</x:v>
      </x:c>
      <x:c r="J8" t="str">
        <x:v>Good</x:v>
      </x:c>
      <x:c r="K8" t="n">
        <x:v>30.223</x:v>
      </x:c>
      <x:c r="L8" t="n">
        <x:v>-0.92715</x:v>
      </x:c>
      <x:c r="M8" t="n">
        <x:v>30.264758</x:v>
      </x:c>
      <x:c r="N8" t="n">
        <x:v>-0.884379</x:v>
      </x:c>
      <x:c r="O8" t="n">
        <x:v>2320.79</x:v>
      </x:c>
      <x:c r="P8" t="n">
        <x:f>IFERROR(INDEX(Assumptions!$B$9:$B$13,MATCH(F8,Assumptions!$A$9:$A$13,0)),0.15)</x:f>
        <x:v>0.12</x:v>
      </x:c>
      <x:c r="Q8" t="n">
        <x:f>ROUND(O8*(1-P8),0)</x:f>
        <x:v>2042</x:v>
      </x:c>
      <x:c r="R8" t="n">
        <x:f>ROUND(O8*P8,0)</x:f>
        <x:v>278</x:v>
      </x:c>
      <x:c r="S8" t="n">
        <x:f>ROUND(O8*IFERROR(INDEX(Assumptions!$C$9:$C$13,MATCH(F8,Assumptions!$A$9:$A$13,0)),0.55),0)</x:f>
        <x:v>1346</x:v>
      </x:c>
      <x:c r="T8" t="n">
        <x:f>ROUND(O8*IFERROR(INDEX(Assumptions!$D$9:$D$13,MATCH(F8,Assumptions!$A$9:$A$13,0)),0.06),0)</x:f>
        <x:v>186</x:v>
      </x:c>
      <x:c r="U8" t="n">
        <x:f>ROUND(O8*IFERROR(INDEX(Assumptions!$E$9:$E$13,MATCH(F8,Assumptions!$A$9:$A$13,0)),0.15),0)</x:f>
        <x:v>418</x:v>
      </x:c>
      <x:c r="V8" t="n">
        <x:f>MAX(0,O8-SUM(R8:U8))</x:f>
        <x:v>92.78999999999996</x:v>
      </x:c>
      <x:c r="W8" t="n">
        <x:f>MIN(100,40+IF(O8&gt;0,20,0)+IF(M8&lt;&gt;"",20,0)+IF(AF8&lt;&gt;"",20,0))</x:f>
        <x:v>100</x:v>
      </x:c>
      <x:c r="X8" t="str">
        <x:v>Placed on exact national road host link</x:v>
      </x:c>
      <x:c r="Y8" t="str">
        <x:v>Paved</x:v>
      </x:c>
      <x:c r="Z8" t="str">
        <x:v>A</x:v>
      </x:c>
      <x:c r="AA8" t="str">
        <x:v>Not available in governed source</x:v>
      </x:c>
      <x:c r="AB8" t="str">
        <x:v>Not available in governed source</x:v>
      </x:c>
      <x:c r="AC8" t="str">
        <x:v>FY2025/26</x:v>
      </x:c>
      <x:c r="AD8" t="str">
        <x:v>Modelled</x:v>
      </x:c>
      <x:c r="AE8" t="str">
        <x:v>2026 bridge AADT rebuilt from host-link traffic history, annual collection-link history, same-road corridor history and spatial count-station influence. Vehicle-class values are assigned from functional-class shares.</x:v>
      </x:c>
      <x:c r="AF8" t="str">
        <x:v>Placed on exact national road host link</x:v>
      </x:c>
    </x:row>
    <x:row r="9" ht="15" hidden="0" customHeight="1">
      <x:c r="A9" t="str">
        <x:v>bridge-008</x:v>
      </x:c>
      <x:c r="B9" t="str">
        <x:v>B007</x:v>
      </x:c>
      <x:c r="C9" t="str">
        <x:v>RUBANGA BRIDGE</x:v>
      </x:c>
      <x:c r="D9" t="str">
        <x:v>A002_Link09</x:v>
      </x:c>
      <x:c r="E9" t="str">
        <x:v>Ntungamo - Rubaale</x:v>
      </x:c>
      <x:c r="F9" t="str">
        <x:v>A</x:v>
      </x:c>
      <x:c r="G9" t="str">
        <x:v>Southern</x:v>
      </x:c>
      <x:c r="H9" t="str">
        <x:v>Kabale</x:v>
      </x:c>
      <x:c r="I9" t="str">
        <x:v>RUBANGA RIVER</x:v>
      </x:c>
      <x:c r="J9" t="str">
        <x:v>Satisfactory</x:v>
      </x:c>
      <x:c r="K9" t="n">
        <x:v>30.20702</x:v>
      </x:c>
      <x:c r="L9" t="n">
        <x:v>-0.95836</x:v>
      </x:c>
      <x:c r="M9" t="n">
        <x:v>30.264751</x:v>
      </x:c>
      <x:c r="N9" t="n">
        <x:v>-0.884414</x:v>
      </x:c>
      <x:c r="O9" t="n">
        <x:v>2320.79</x:v>
      </x:c>
      <x:c r="P9" t="n">
        <x:f>IFERROR(INDEX(Assumptions!$B$9:$B$13,MATCH(F9,Assumptions!$A$9:$A$13,0)),0.15)</x:f>
        <x:v>0.12</x:v>
      </x:c>
      <x:c r="Q9" t="n">
        <x:f>ROUND(O9*(1-P9),0)</x:f>
        <x:v>2042</x:v>
      </x:c>
      <x:c r="R9" t="n">
        <x:f>ROUND(O9*P9,0)</x:f>
        <x:v>278</x:v>
      </x:c>
      <x:c r="S9" t="n">
        <x:f>ROUND(O9*IFERROR(INDEX(Assumptions!$C$9:$C$13,MATCH(F9,Assumptions!$A$9:$A$13,0)),0.55),0)</x:f>
        <x:v>1346</x:v>
      </x:c>
      <x:c r="T9" t="n">
        <x:f>ROUND(O9*IFERROR(INDEX(Assumptions!$D$9:$D$13,MATCH(F9,Assumptions!$A$9:$A$13,0)),0.06),0)</x:f>
        <x:v>186</x:v>
      </x:c>
      <x:c r="U9" t="n">
        <x:f>ROUND(O9*IFERROR(INDEX(Assumptions!$E$9:$E$13,MATCH(F9,Assumptions!$A$9:$A$13,0)),0.15),0)</x:f>
        <x:v>418</x:v>
      </x:c>
      <x:c r="V9" t="n">
        <x:f>MAX(0,O9-SUM(R9:U9))</x:f>
        <x:v>92.78999999999996</x:v>
      </x:c>
      <x:c r="W9" t="n">
        <x:f>MIN(100,40+IF(O9&gt;0,20,0)+IF(M9&lt;&gt;"",20,0)+IF(AF9&lt;&gt;"",20,0))</x:f>
        <x:v>100</x:v>
      </x:c>
      <x:c r="X9" t="str">
        <x:v>Placed on exact national road host link</x:v>
      </x:c>
      <x:c r="Y9" t="str">
        <x:v>Paved</x:v>
      </x:c>
      <x:c r="Z9" t="str">
        <x:v>A</x:v>
      </x:c>
      <x:c r="AA9" t="str">
        <x:v>Not available in governed source</x:v>
      </x:c>
      <x:c r="AB9" t="str">
        <x:v>Not available in governed source</x:v>
      </x:c>
      <x:c r="AC9" t="str">
        <x:v>FY2025/26</x:v>
      </x:c>
      <x:c r="AD9" t="str">
        <x:v>Modelled</x:v>
      </x:c>
      <x:c r="AE9" t="str">
        <x:v>2026 bridge AADT rebuilt from host-link traffic history, annual collection-link history, same-road corridor history and spatial count-station influence. Vehicle-class values are assigned from functional-class shares.</x:v>
      </x:c>
      <x:c r="AF9" t="str">
        <x:v>Placed on exact national road host link</x:v>
      </x:c>
    </x:row>
    <x:row r="10" ht="15" hidden="0" customHeight="1">
      <x:c r="A10" t="str">
        <x:v>bridge-009</x:v>
      </x:c>
      <x:c r="B10" t="str">
        <x:v>B008</x:v>
      </x:c>
      <x:c r="C10" t="str">
        <x:v>KATINADA BRIDGE</x:v>
      </x:c>
      <x:c r="D10" t="str">
        <x:v>A002_Link09</x:v>
      </x:c>
      <x:c r="E10" t="str">
        <x:v>Ntungamo - Rubaale</x:v>
      </x:c>
      <x:c r="F10" t="str">
        <x:v>A</x:v>
      </x:c>
      <x:c r="G10" t="str">
        <x:v>Southern</x:v>
      </x:c>
      <x:c r="H10" t="str">
        <x:v>Kabale</x:v>
      </x:c>
      <x:c r="I10" t="str">
        <x:v>KEMYENDA RIVER</x:v>
      </x:c>
      <x:c r="J10" t="str">
        <x:v>Satisfactory</x:v>
      </x:c>
      <x:c r="K10" t="n">
        <x:v>30.18478</x:v>
      </x:c>
      <x:c r="L10" t="n">
        <x:v>-1.03785</x:v>
      </x:c>
      <x:c r="M10" t="n">
        <x:v>30.20008</x:v>
      </x:c>
      <x:c r="N10" t="n">
        <x:v>-0.98598</x:v>
      </x:c>
      <x:c r="O10" t="n">
        <x:v>2320.79</x:v>
      </x:c>
      <x:c r="P10" t="n">
        <x:f>IFERROR(INDEX(Assumptions!$B$9:$B$13,MATCH(F10,Assumptions!$A$9:$A$13,0)),0.15)</x:f>
        <x:v>0.12</x:v>
      </x:c>
      <x:c r="Q10" t="n">
        <x:f>ROUND(O10*(1-P10),0)</x:f>
        <x:v>2042</x:v>
      </x:c>
      <x:c r="R10" t="n">
        <x:f>ROUND(O10*P10,0)</x:f>
        <x:v>278</x:v>
      </x:c>
      <x:c r="S10" t="n">
        <x:f>ROUND(O10*IFERROR(INDEX(Assumptions!$C$9:$C$13,MATCH(F10,Assumptions!$A$9:$A$13,0)),0.55),0)</x:f>
        <x:v>1346</x:v>
      </x:c>
      <x:c r="T10" t="n">
        <x:f>ROUND(O10*IFERROR(INDEX(Assumptions!$D$9:$D$13,MATCH(F10,Assumptions!$A$9:$A$13,0)),0.06),0)</x:f>
        <x:v>186</x:v>
      </x:c>
      <x:c r="U10" t="n">
        <x:f>ROUND(O10*IFERROR(INDEX(Assumptions!$E$9:$E$13,MATCH(F10,Assumptions!$A$9:$A$13,0)),0.15),0)</x:f>
        <x:v>418</x:v>
      </x:c>
      <x:c r="V10" t="n">
        <x:f>MAX(0,O10-SUM(R10:U10))</x:f>
        <x:v>92.78999999999996</x:v>
      </x:c>
      <x:c r="W10" t="n">
        <x:f>MIN(100,40+IF(O10&gt;0,20,0)+IF(M10&lt;&gt;"",20,0)+IF(AF10&lt;&gt;"",20,0))</x:f>
        <x:v>100</x:v>
      </x:c>
      <x:c r="X10" t="str">
        <x:v>Placed on exact national road host link</x:v>
      </x:c>
      <x:c r="Y10" t="str">
        <x:v>Paved</x:v>
      </x:c>
      <x:c r="Z10" t="str">
        <x:v>A</x:v>
      </x:c>
      <x:c r="AA10" t="str">
        <x:v>Not available in governed source</x:v>
      </x:c>
      <x:c r="AB10" t="str">
        <x:v>Not available in governed source</x:v>
      </x:c>
      <x:c r="AC10" t="str">
        <x:v>FY2025/26</x:v>
      </x:c>
      <x:c r="AD10" t="str">
        <x:v>Modelled</x:v>
      </x:c>
      <x:c r="AE10" t="str">
        <x:v>2026 bridge AADT rebuilt from host-link traffic history, annual collection-link history, same-road corridor history and spatial count-station influence. Vehicle-class values are assigned from functional-class shares.</x:v>
      </x:c>
      <x:c r="AF10" t="str">
        <x:v>Placed on exact national road host link</x:v>
      </x:c>
    </x:row>
    <x:row r="11" ht="15" hidden="0" customHeight="1">
      <x:c r="A11" t="str">
        <x:v>bridge-010</x:v>
      </x:c>
      <x:c r="B11" t="str">
        <x:v>B009</x:v>
      </x:c>
      <x:c r="C11" t="str">
        <x:v>Rubaale - Muhanga - Kabale</x:v>
      </x:c>
      <x:c r="D11" t="str">
        <x:v>A002_Link10</x:v>
      </x:c>
      <x:c r="E11" t="str">
        <x:v>Rubaale - Muhanga - Kabale</x:v>
      </x:c>
      <x:c r="F11" t="str">
        <x:v>A</x:v>
      </x:c>
      <x:c r="G11" t="str">
        <x:v>Southern</x:v>
      </x:c>
      <x:c r="H11" t="str">
        <x:v>Kabale</x:v>
      </x:c>
      <x:c r="I11" t="str">
        <x:v>KYANAMIRA</x:v>
      </x:c>
      <x:c r="J11" t="str">
        <x:v>Satisfactory</x:v>
      </x:c>
      <x:c r="K11" t="n">
        <x:v>30.028669</x:v>
      </x:c>
      <x:c r="L11" t="n">
        <x:v>-1.26244</x:v>
      </x:c>
      <x:c r="M11" t="n">
        <x:v>30.044739</x:v>
      </x:c>
      <x:c r="N11" t="n">
        <x:v>-1.250167</x:v>
      </x:c>
      <x:c r="O11" t="n">
        <x:v>2333.2</x:v>
      </x:c>
      <x:c r="P11" t="n">
        <x:f>IFERROR(INDEX(Assumptions!$B$9:$B$13,MATCH(F11,Assumptions!$A$9:$A$13,0)),0.15)</x:f>
        <x:v>0.12</x:v>
      </x:c>
      <x:c r="Q11" t="n">
        <x:f>ROUND(O11*(1-P11),0)</x:f>
        <x:v>2053</x:v>
      </x:c>
      <x:c r="R11" t="n">
        <x:f>ROUND(O11*P11,0)</x:f>
        <x:v>280</x:v>
      </x:c>
      <x:c r="S11" t="n">
        <x:f>ROUND(O11*IFERROR(INDEX(Assumptions!$C$9:$C$13,MATCH(F11,Assumptions!$A$9:$A$13,0)),0.55),0)</x:f>
        <x:v>1353</x:v>
      </x:c>
      <x:c r="T11" t="n">
        <x:f>ROUND(O11*IFERROR(INDEX(Assumptions!$D$9:$D$13,MATCH(F11,Assumptions!$A$9:$A$13,0)),0.06),0)</x:f>
        <x:v>187</x:v>
      </x:c>
      <x:c r="U11" t="n">
        <x:f>ROUND(O11*IFERROR(INDEX(Assumptions!$E$9:$E$13,MATCH(F11,Assumptions!$A$9:$A$13,0)),0.15),0)</x:f>
        <x:v>420</x:v>
      </x:c>
      <x:c r="V11" t="n">
        <x:f>MAX(0,O11-SUM(R11:U11))</x:f>
        <x:v>93.19999999999982</x:v>
      </x:c>
      <x:c r="W11" t="n">
        <x:f>MIN(100,40+IF(O11&gt;0,20,0)+IF(M11&lt;&gt;"",20,0)+IF(AF11&lt;&gt;"",20,0))</x:f>
        <x:v>100</x:v>
      </x:c>
      <x:c r="X11" t="str">
        <x:v>Placed on exact national road host link</x:v>
      </x:c>
      <x:c r="Y11" t="str">
        <x:v>Paved</x:v>
      </x:c>
      <x:c r="Z11" t="str">
        <x:v>A</x:v>
      </x:c>
      <x:c r="AA11" t="str">
        <x:v>Not available in governed source</x:v>
      </x:c>
      <x:c r="AB11" t="str">
        <x:v>Not available in governed source</x:v>
      </x:c>
      <x:c r="AC11" t="str">
        <x:v>FY2025/26</x:v>
      </x:c>
      <x:c r="AD11" t="str">
        <x:v>Modelled</x:v>
      </x:c>
      <x:c r="AE11" t="str">
        <x:v>2026 bridge AADT rebuilt from host-link traffic history, annual collection-link history, same-road corridor history and spatial count-station influence. Vehicle-class values are assigned from functional-class shares.</x:v>
      </x:c>
      <x:c r="AF11" t="str">
        <x:v>Placed on exact national road host link</x:v>
      </x:c>
    </x:row>
    <x:row r="12" ht="15" hidden="0" customHeight="1">
      <x:c r="A12" t="str">
        <x:v>bridge-011</x:v>
      </x:c>
      <x:c r="B12" t="str">
        <x:v>B045</x:v>
      </x:c>
      <x:c r="C12" t="str">
        <x:v>Bumuli overbridge 2</x:v>
      </x:c>
      <x:c r="D12" t="str">
        <x:v>M3_Link01</x:v>
      </x:c>
      <x:c r="E12" t="str">
        <x:v>Kampala - Entebbe Expressway</x:v>
      </x:c>
      <x:c r="F12" t="str">
        <x:v>M</x:v>
      </x:c>
      <x:c r="G12" t="str">
        <x:v>Central</x:v>
      </x:c>
      <x:c r="H12" t="str">
        <x:v>Kampala</x:v>
      </x:c>
      <x:c r="I12" t="str">
        <x:v>Road Over Road</x:v>
      </x:c>
      <x:c r="J12" t="str">
        <x:v>Good</x:v>
      </x:c>
      <x:c r="K12" t="n">
        <x:v>32.5173</x:v>
      </x:c>
      <x:c r="L12" t="n">
        <x:v>0.176</x:v>
      </x:c>
      <x:c r="M12" t="n">
        <x:v>32.517581</x:v>
      </x:c>
      <x:c r="N12" t="n">
        <x:v>0.175826</x:v>
      </x:c>
      <x:c r="O12" t="n">
        <x:v>20711.35</x:v>
      </x:c>
      <x:c r="P12" t="n">
        <x:f>IFERROR(INDEX(Assumptions!$B$9:$B$13,MATCH(F12,Assumptions!$A$9:$A$13,0)),0.15)</x:f>
        <x:v>0.08</x:v>
      </x:c>
      <x:c r="Q12" t="n">
        <x:f>ROUND(O12*(1-P12),0)</x:f>
        <x:v>19054</x:v>
      </x:c>
      <x:c r="R12" t="n">
        <x:f>ROUND(O12*P12,0)</x:f>
        <x:v>1657</x:v>
      </x:c>
      <x:c r="S12" t="n">
        <x:f>ROUND(O12*IFERROR(INDEX(Assumptions!$C$9:$C$13,MATCH(F12,Assumptions!$A$9:$A$13,0)),0.55),0)</x:f>
        <x:v>12841</x:v>
      </x:c>
      <x:c r="T12" t="n">
        <x:f>ROUND(O12*IFERROR(INDEX(Assumptions!$D$9:$D$13,MATCH(F12,Assumptions!$A$9:$A$13,0)),0.06),0)</x:f>
        <x:v>1657</x:v>
      </x:c>
      <x:c r="U12" t="n">
        <x:f>ROUND(O12*IFERROR(INDEX(Assumptions!$E$9:$E$13,MATCH(F12,Assumptions!$A$9:$A$13,0)),0.15),0)</x:f>
        <x:v>3728</x:v>
      </x:c>
      <x:c r="V12" t="n">
        <x:f>MAX(0,O12-SUM(R12:U12))</x:f>
        <x:v>828.3499999999985</x:v>
      </x:c>
      <x:c r="W12" t="n">
        <x:f>MIN(100,40+IF(O12&gt;0,20,0)+IF(M12&lt;&gt;"",20,0)+IF(AF12&lt;&gt;"",20,0))</x:f>
        <x:v>100</x:v>
      </x:c>
      <x:c r="X12" t="str">
        <x:v>Placed on exact national road host link</x:v>
      </x:c>
      <x:c r="Y12" t="str">
        <x:v>Paved</x:v>
      </x:c>
      <x:c r="Z12" t="str">
        <x:v>M</x:v>
      </x:c>
      <x:c r="AA12" t="str">
        <x:v>Not available in governed source</x:v>
      </x:c>
      <x:c r="AB12" t="str">
        <x:v>Not available in governed source</x:v>
      </x:c>
      <x:c r="AC12" t="str">
        <x:v>FY2025/26</x:v>
      </x:c>
      <x:c r="AD12" t="str">
        <x:v>Modelled</x:v>
      </x:c>
      <x:c r="AE12" t="str">
        <x:v>2026 bridge AADT rebuilt from host-link traffic history, annual collection-link history, same-road corridor history and spatial count-station influence. Vehicle-class values are assigned from functional-class shares.</x:v>
      </x:c>
      <x:c r="AF12" t="str">
        <x:v>Placed on exact national road host link</x:v>
      </x:c>
    </x:row>
    <x:row r="13" ht="15" hidden="0" customHeight="1">
      <x:c r="A13" t="str">
        <x:v>bridge-012</x:v>
      </x:c>
      <x:c r="B13" t="str">
        <x:v>B046</x:v>
      </x:c>
      <x:c r="C13" t="str">
        <x:v>Bumuli overbridge 2</x:v>
      </x:c>
      <x:c r="D13" t="str">
        <x:v>A001N1_Link01</x:v>
      </x:c>
      <x:c r="E13" t="str">
        <x:v>Njeru - Jinja (Dual Section)</x:v>
      </x:c>
      <x:c r="F13" t="str">
        <x:v>A</x:v>
      </x:c>
      <x:c r="G13" t="str">
        <x:v>Central</x:v>
      </x:c>
      <x:c r="H13" t="str">
        <x:v>Kampala</x:v>
      </x:c>
      <x:c r="I13" t="str">
        <x:v>NILE</x:v>
      </x:c>
      <x:c r="J13" t="str">
        <x:v>Good</x:v>
      </x:c>
      <x:c r="K13" t="n">
        <x:v>33.186661</x:v>
      </x:c>
      <x:c r="L13" t="n">
        <x:v>0.43834</x:v>
      </x:c>
      <x:c r="M13" t="n">
        <x:v>33.186628</x:v>
      </x:c>
      <x:c r="N13" t="n">
        <x:v>0.439214</x:v>
      </x:c>
      <x:c r="O13" t="n">
        <x:v>18798.83</x:v>
      </x:c>
      <x:c r="P13" t="n">
        <x:f>IFERROR(INDEX(Assumptions!$B$9:$B$13,MATCH(F13,Assumptions!$A$9:$A$13,0)),0.15)</x:f>
        <x:v>0.12</x:v>
      </x:c>
      <x:c r="Q13" t="n">
        <x:f>ROUND(O13*(1-P13),0)</x:f>
        <x:v>16543</x:v>
      </x:c>
      <x:c r="R13" t="n">
        <x:f>ROUND(O13*P13,0)</x:f>
        <x:v>2256</x:v>
      </x:c>
      <x:c r="S13" t="n">
        <x:f>ROUND(O13*IFERROR(INDEX(Assumptions!$C$9:$C$13,MATCH(F13,Assumptions!$A$9:$A$13,0)),0.55),0)</x:f>
        <x:v>10903</x:v>
      </x:c>
      <x:c r="T13" t="n">
        <x:f>ROUND(O13*IFERROR(INDEX(Assumptions!$D$9:$D$13,MATCH(F13,Assumptions!$A$9:$A$13,0)),0.06),0)</x:f>
        <x:v>1504</x:v>
      </x:c>
      <x:c r="U13" t="n">
        <x:f>ROUND(O13*IFERROR(INDEX(Assumptions!$E$9:$E$13,MATCH(F13,Assumptions!$A$9:$A$13,0)),0.15),0)</x:f>
        <x:v>3384</x:v>
      </x:c>
      <x:c r="V13" t="n">
        <x:f>MAX(0,O13-SUM(R13:U13))</x:f>
        <x:v>751.8300000000017</x:v>
      </x:c>
      <x:c r="W13" t="n">
        <x:f>MIN(100,40+IF(O13&gt;0,20,0)+IF(M13&lt;&gt;"",20,0)+IF(AF13&lt;&gt;"",20,0))</x:f>
        <x:v>100</x:v>
      </x:c>
      <x:c r="X13" t="str">
        <x:v>Placed on exact national road host link</x:v>
      </x:c>
      <x:c r="Y13" t="str">
        <x:v>Paved</x:v>
      </x:c>
      <x:c r="Z13" t="str">
        <x:v>A</x:v>
      </x:c>
      <x:c r="AA13" t="str">
        <x:v>Not available in governed source</x:v>
      </x:c>
      <x:c r="AB13" t="str">
        <x:v>Not available in governed source</x:v>
      </x:c>
      <x:c r="AC13" t="str">
        <x:v>FY2025/26</x:v>
      </x:c>
      <x:c r="AD13" t="str">
        <x:v>Modelled</x:v>
      </x:c>
      <x:c r="AE13" t="str">
        <x:v>2026 bridge AADT rebuilt from host-link traffic history, annual collection-link history, same-road corridor history and spatial count-station influence. Vehicle-class values are assigned from functional-class shares.</x:v>
      </x:c>
      <x:c r="AF13" t="str">
        <x:v>Placed on exact national road host link</x:v>
      </x:c>
    </x:row>
    <x:row r="14" ht="15" hidden="0" customHeight="1">
      <x:c r="A14" t="str">
        <x:v>bridge-013</x:v>
      </x:c>
      <x:c r="B14" t="str">
        <x:v>B063</x:v>
      </x:c>
      <x:c r="C14" t="str">
        <x:v>KEE B7 Overbridge</x:v>
      </x:c>
      <x:c r="D14" t="str">
        <x:v>M3_Link01</x:v>
      </x:c>
      <x:c r="E14" t="str">
        <x:v>Kampala - Entebbe Expressway</x:v>
      </x:c>
      <x:c r="F14" t="str">
        <x:v>M</x:v>
      </x:c>
      <x:c r="G14" t="str">
        <x:v>Central</x:v>
      </x:c>
      <x:c r="H14" t="str">
        <x:v>Kampala</x:v>
      </x:c>
      <x:c r="I14" t="str">
        <x:v>Road Over Road</x:v>
      </x:c>
      <x:c r="J14" t="str">
        <x:v>Good</x:v>
      </x:c>
      <x:c r="K14" t="n">
        <x:v>32.5215</x:v>
      </x:c>
      <x:c r="L14" t="n">
        <x:v>0.2596</x:v>
      </x:c>
      <x:c r="M14" t="n">
        <x:v>32.521202</x:v>
      </x:c>
      <x:c r="N14" t="n">
        <x:v>0.259571</x:v>
      </x:c>
      <x:c r="O14" t="n">
        <x:v>20711.35</x:v>
      </x:c>
      <x:c r="P14" t="n">
        <x:f>IFERROR(INDEX(Assumptions!$B$9:$B$13,MATCH(F14,Assumptions!$A$9:$A$13,0)),0.15)</x:f>
        <x:v>0.08</x:v>
      </x:c>
      <x:c r="Q14" t="n">
        <x:f>ROUND(O14*(1-P14),0)</x:f>
        <x:v>19054</x:v>
      </x:c>
      <x:c r="R14" t="n">
        <x:f>ROUND(O14*P14,0)</x:f>
        <x:v>1657</x:v>
      </x:c>
      <x:c r="S14" t="n">
        <x:f>ROUND(O14*IFERROR(INDEX(Assumptions!$C$9:$C$13,MATCH(F14,Assumptions!$A$9:$A$13,0)),0.55),0)</x:f>
        <x:v>12841</x:v>
      </x:c>
      <x:c r="T14" t="n">
        <x:f>ROUND(O14*IFERROR(INDEX(Assumptions!$D$9:$D$13,MATCH(F14,Assumptions!$A$9:$A$13,0)),0.06),0)</x:f>
        <x:v>1657</x:v>
      </x:c>
      <x:c r="U14" t="n">
        <x:f>ROUND(O14*IFERROR(INDEX(Assumptions!$E$9:$E$13,MATCH(F14,Assumptions!$A$9:$A$13,0)),0.15),0)</x:f>
        <x:v>3728</x:v>
      </x:c>
      <x:c r="V14" t="n">
        <x:f>MAX(0,O14-SUM(R14:U14))</x:f>
        <x:v>828.3499999999985</x:v>
      </x:c>
      <x:c r="W14" t="n">
        <x:f>MIN(100,40+IF(O14&gt;0,20,0)+IF(M14&lt;&gt;"",20,0)+IF(AF14&lt;&gt;"",20,0))</x:f>
        <x:v>100</x:v>
      </x:c>
      <x:c r="X14" t="str">
        <x:v>Placed on exact national road host link</x:v>
      </x:c>
      <x:c r="Y14" t="str">
        <x:v>Paved</x:v>
      </x:c>
      <x:c r="Z14" t="str">
        <x:v>M</x:v>
      </x:c>
      <x:c r="AA14" t="str">
        <x:v>Not available in governed source</x:v>
      </x:c>
      <x:c r="AB14" t="str">
        <x:v>Not available in governed source</x:v>
      </x:c>
      <x:c r="AC14" t="str">
        <x:v>FY2025/26</x:v>
      </x:c>
      <x:c r="AD14" t="str">
        <x:v>Modelled</x:v>
      </x:c>
      <x:c r="AE14" t="str">
        <x:v>2026 bridge AADT rebuilt from host-link traffic history, annual collection-link history, same-road corridor history and spatial count-station influence. Vehicle-class values are assigned from functional-class shares.</x:v>
      </x:c>
      <x:c r="AF14" t="str">
        <x:v>Placed on exact national road host link</x:v>
      </x:c>
    </x:row>
    <x:row r="15" ht="15" hidden="0" customHeight="1">
      <x:c r="A15" t="str">
        <x:v>bridge-014</x:v>
      </x:c>
      <x:c r="B15" t="str">
        <x:v>B064</x:v>
      </x:c>
      <x:c r="C15" t="str">
        <x:v>Sisa Bridge underpass</x:v>
      </x:c>
      <x:c r="D15" t="str">
        <x:v>M3_Link01</x:v>
      </x:c>
      <x:c r="E15" t="str">
        <x:v>Kampala - Entebbe Expressway</x:v>
      </x:c>
      <x:c r="F15" t="str">
        <x:v>M</x:v>
      </x:c>
      <x:c r="G15" t="str">
        <x:v>Central</x:v>
      </x:c>
      <x:c r="H15" t="str">
        <x:v>Kampala</x:v>
      </x:c>
      <x:c r="I15" t="str">
        <x:v>Road Underpass</x:v>
      </x:c>
      <x:c r="J15" t="str">
        <x:v>Good</x:v>
      </x:c>
      <x:c r="K15" t="n">
        <x:v>32.5124</x:v>
      </x:c>
      <x:c r="L15" t="n">
        <x:v>0.1594</x:v>
      </x:c>
      <x:c r="M15" t="n">
        <x:v>32.512424</x:v>
      </x:c>
      <x:c r="N15" t="n">
        <x:v>0.159395</x:v>
      </x:c>
      <x:c r="O15" t="n">
        <x:v>20711.35</x:v>
      </x:c>
      <x:c r="P15" t="n">
        <x:f>IFERROR(INDEX(Assumptions!$B$9:$B$13,MATCH(F15,Assumptions!$A$9:$A$13,0)),0.15)</x:f>
        <x:v>0.08</x:v>
      </x:c>
      <x:c r="Q15" t="n">
        <x:f>ROUND(O15*(1-P15),0)</x:f>
        <x:v>19054</x:v>
      </x:c>
      <x:c r="R15" t="n">
        <x:f>ROUND(O15*P15,0)</x:f>
        <x:v>1657</x:v>
      </x:c>
      <x:c r="S15" t="n">
        <x:f>ROUND(O15*IFERROR(INDEX(Assumptions!$C$9:$C$13,MATCH(F15,Assumptions!$A$9:$A$13,0)),0.55),0)</x:f>
        <x:v>12841</x:v>
      </x:c>
      <x:c r="T15" t="n">
        <x:f>ROUND(O15*IFERROR(INDEX(Assumptions!$D$9:$D$13,MATCH(F15,Assumptions!$A$9:$A$13,0)),0.06),0)</x:f>
        <x:v>1657</x:v>
      </x:c>
      <x:c r="U15" t="n">
        <x:f>ROUND(O15*IFERROR(INDEX(Assumptions!$E$9:$E$13,MATCH(F15,Assumptions!$A$9:$A$13,0)),0.15),0)</x:f>
        <x:v>3728</x:v>
      </x:c>
      <x:c r="V15" t="n">
        <x:f>MAX(0,O15-SUM(R15:U15))</x:f>
        <x:v>828.3499999999985</x:v>
      </x:c>
      <x:c r="W15" t="n">
        <x:f>MIN(100,40+IF(O15&gt;0,20,0)+IF(M15&lt;&gt;"",20,0)+IF(AF15&lt;&gt;"",20,0))</x:f>
        <x:v>100</x:v>
      </x:c>
      <x:c r="X15" t="str">
        <x:v>Placed on exact national road host link</x:v>
      </x:c>
      <x:c r="Y15" t="str">
        <x:v>Paved</x:v>
      </x:c>
      <x:c r="Z15" t="str">
        <x:v>M</x:v>
      </x:c>
      <x:c r="AA15" t="str">
        <x:v>Not available in governed source</x:v>
      </x:c>
      <x:c r="AB15" t="str">
        <x:v>Not available in governed source</x:v>
      </x:c>
      <x:c r="AC15" t="str">
        <x:v>FY2025/26</x:v>
      </x:c>
      <x:c r="AD15" t="str">
        <x:v>Modelled</x:v>
      </x:c>
      <x:c r="AE15" t="str">
        <x:v>2026 bridge AADT rebuilt from host-link traffic history, annual collection-link history, same-road corridor history and spatial count-station influence. Vehicle-class values are assigned from functional-class shares.</x:v>
      </x:c>
      <x:c r="AF15" t="str">
        <x:v>Placed on exact national road host link</x:v>
      </x:c>
    </x:row>
    <x:row r="16" ht="15" hidden="0" customHeight="1">
      <x:c r="A16" t="str">
        <x:v>bridge-015</x:v>
      </x:c>
      <x:c r="B16" t="str">
        <x:v>B010</x:v>
      </x:c>
      <x:c r="C16" t="str">
        <x:v>Mwanyare</x:v>
      </x:c>
      <x:c r="D16" t="str">
        <x:v>A002_Link11</x:v>
      </x:c>
      <x:c r="E16" t="str">
        <x:v>Kabale - Katuna</x:v>
      </x:c>
      <x:c r="F16" t="str">
        <x:v>A</x:v>
      </x:c>
      <x:c r="G16" t="str">
        <x:v>Southern</x:v>
      </x:c>
      <x:c r="H16" t="str">
        <x:v>Kabale</x:v>
      </x:c>
      <x:c r="I16" t="str">
        <x:v>Mwanyare River</x:v>
      </x:c>
      <x:c r="J16" t="str">
        <x:v>Good</x:v>
      </x:c>
      <x:c r="K16" t="n">
        <x:v>30.01174</x:v>
      </x:c>
      <x:c r="L16" t="n">
        <x:v>-1.42476</x:v>
      </x:c>
      <x:c r="M16" t="n">
        <x:v>30.011746</x:v>
      </x:c>
      <x:c r="N16" t="n">
        <x:v>-1.424762</x:v>
      </x:c>
      <x:c r="O16" t="n">
        <x:v>2333.2</x:v>
      </x:c>
      <x:c r="P16" t="n">
        <x:f>IFERROR(INDEX(Assumptions!$B$9:$B$13,MATCH(F16,Assumptions!$A$9:$A$13,0)),0.15)</x:f>
        <x:v>0.12</x:v>
      </x:c>
      <x:c r="Q16" t="n">
        <x:f>ROUND(O16*(1-P16),0)</x:f>
        <x:v>2053</x:v>
      </x:c>
      <x:c r="R16" t="n">
        <x:f>ROUND(O16*P16,0)</x:f>
        <x:v>280</x:v>
      </x:c>
      <x:c r="S16" t="n">
        <x:f>ROUND(O16*IFERROR(INDEX(Assumptions!$C$9:$C$13,MATCH(F16,Assumptions!$A$9:$A$13,0)),0.55),0)</x:f>
        <x:v>1353</x:v>
      </x:c>
      <x:c r="T16" t="n">
        <x:f>ROUND(O16*IFERROR(INDEX(Assumptions!$D$9:$D$13,MATCH(F16,Assumptions!$A$9:$A$13,0)),0.06),0)</x:f>
        <x:v>187</x:v>
      </x:c>
      <x:c r="U16" t="n">
        <x:f>ROUND(O16*IFERROR(INDEX(Assumptions!$E$9:$E$13,MATCH(F16,Assumptions!$A$9:$A$13,0)),0.15),0)</x:f>
        <x:v>420</x:v>
      </x:c>
      <x:c r="V16" t="n">
        <x:f>MAX(0,O16-SUM(R16:U16))</x:f>
        <x:v>93.19999999999982</x:v>
      </x:c>
      <x:c r="W16" t="n">
        <x:f>MIN(100,40+IF(O16&gt;0,20,0)+IF(M16&lt;&gt;"",20,0)+IF(AF16&lt;&gt;"",20,0))</x:f>
        <x:v>100</x:v>
      </x:c>
      <x:c r="X16" t="str">
        <x:v>Placed on exact national road host link</x:v>
      </x:c>
      <x:c r="Y16" t="str">
        <x:v>Paved</x:v>
      </x:c>
      <x:c r="Z16" t="str">
        <x:v>A</x:v>
      </x:c>
      <x:c r="AA16" t="str">
        <x:v>Not available in governed source</x:v>
      </x:c>
      <x:c r="AB16" t="str">
        <x:v>Not available in governed source</x:v>
      </x:c>
      <x:c r="AC16" t="str">
        <x:v>FY2025/26</x:v>
      </x:c>
      <x:c r="AD16" t="str">
        <x:v>Modelled</x:v>
      </x:c>
      <x:c r="AE16" t="str">
        <x:v>2026 bridge AADT rebuilt from host-link traffic history, annual collection-link history, same-road corridor history and spatial count-station influence. Vehicle-class values are assigned from functional-class shares.</x:v>
      </x:c>
      <x:c r="AF16" t="str">
        <x:v>Placed on exact national road host link</x:v>
      </x:c>
    </x:row>
    <x:row r="17" ht="15" hidden="0" customHeight="1">
      <x:c r="A17" t="str">
        <x:v>bridge-016</x:v>
      </x:c>
      <x:c r="B17" t="str">
        <x:v>B065</x:v>
      </x:c>
      <x:c r="C17" t="str">
        <x:v>KEE B8 overbridge</x:v>
      </x:c>
      <x:c r="D17" t="str">
        <x:v>M3_Link01</x:v>
      </x:c>
      <x:c r="E17" t="str">
        <x:v>Kampala - Entebbe Expressway</x:v>
      </x:c>
      <x:c r="F17" t="str">
        <x:v>M</x:v>
      </x:c>
      <x:c r="G17" t="str">
        <x:v>Central</x:v>
      </x:c>
      <x:c r="H17" t="str">
        <x:v>Kampala</x:v>
      </x:c>
      <x:c r="I17" t="str">
        <x:v>Road Over Road</x:v>
      </x:c>
      <x:c r="J17" t="str">
        <x:v>Satisfactory</x:v>
      </x:c>
      <x:c r="K17" t="n">
        <x:v>32.5224</x:v>
      </x:c>
      <x:c r="L17" t="n">
        <x:v>0.2525</x:v>
      </x:c>
      <x:c r="M17" t="n">
        <x:v>32.521838</x:v>
      </x:c>
      <x:c r="N17" t="n">
        <x:v>0.252446</x:v>
      </x:c>
      <x:c r="O17" t="n">
        <x:v>20711.35</x:v>
      </x:c>
      <x:c r="P17" t="n">
        <x:f>IFERROR(INDEX(Assumptions!$B$9:$B$13,MATCH(F17,Assumptions!$A$9:$A$13,0)),0.15)</x:f>
        <x:v>0.08</x:v>
      </x:c>
      <x:c r="Q17" t="n">
        <x:f>ROUND(O17*(1-P17),0)</x:f>
        <x:v>19054</x:v>
      </x:c>
      <x:c r="R17" t="n">
        <x:f>ROUND(O17*P17,0)</x:f>
        <x:v>1657</x:v>
      </x:c>
      <x:c r="S17" t="n">
        <x:f>ROUND(O17*IFERROR(INDEX(Assumptions!$C$9:$C$13,MATCH(F17,Assumptions!$A$9:$A$13,0)),0.55),0)</x:f>
        <x:v>12841</x:v>
      </x:c>
      <x:c r="T17" t="n">
        <x:f>ROUND(O17*IFERROR(INDEX(Assumptions!$D$9:$D$13,MATCH(F17,Assumptions!$A$9:$A$13,0)),0.06),0)</x:f>
        <x:v>1657</x:v>
      </x:c>
      <x:c r="U17" t="n">
        <x:f>ROUND(O17*IFERROR(INDEX(Assumptions!$E$9:$E$13,MATCH(F17,Assumptions!$A$9:$A$13,0)),0.15),0)</x:f>
        <x:v>3728</x:v>
      </x:c>
      <x:c r="V17" t="n">
        <x:f>MAX(0,O17-SUM(R17:U17))</x:f>
        <x:v>828.3499999999985</x:v>
      </x:c>
      <x:c r="W17" t="n">
        <x:f>MIN(100,40+IF(O17&gt;0,20,0)+IF(M17&lt;&gt;"",20,0)+IF(AF17&lt;&gt;"",20,0))</x:f>
        <x:v>100</x:v>
      </x:c>
      <x:c r="X17" t="str">
        <x:v>Placed on exact national road host link</x:v>
      </x:c>
      <x:c r="Y17" t="str">
        <x:v>Paved</x:v>
      </x:c>
      <x:c r="Z17" t="str">
        <x:v>M</x:v>
      </x:c>
      <x:c r="AA17" t="str">
        <x:v>Not available in governed source</x:v>
      </x:c>
      <x:c r="AB17" t="str">
        <x:v>Not available in governed source</x:v>
      </x:c>
      <x:c r="AC17" t="str">
        <x:v>FY2025/26</x:v>
      </x:c>
      <x:c r="AD17" t="str">
        <x:v>Modelled</x:v>
      </x:c>
      <x:c r="AE17" t="str">
        <x:v>2026 bridge AADT rebuilt from host-link traffic history, annual collection-link history, same-road corridor history and spatial count-station influence. Vehicle-class values are assigned from functional-class shares.</x:v>
      </x:c>
      <x:c r="AF17" t="str">
        <x:v>Placed on exact national road host link</x:v>
      </x:c>
    </x:row>
    <x:row r="18" ht="15" hidden="0" customHeight="1">
      <x:c r="A18" t="str">
        <x:v>bridge-017</x:v>
      </x:c>
      <x:c r="B18" t="str">
        <x:v>B066</x:v>
      </x:c>
      <x:c r="C18" t="str">
        <x:v>19+580 Over-bridge</x:v>
      </x:c>
      <x:c r="D18" t="str">
        <x:v>M3_Link01</x:v>
      </x:c>
      <x:c r="E18" t="str">
        <x:v>Kampala - Entebbe Expressway</x:v>
      </x:c>
      <x:c r="F18" t="str">
        <x:v>M</x:v>
      </x:c>
      <x:c r="G18" t="str">
        <x:v>Central</x:v>
      </x:c>
      <x:c r="H18" t="str">
        <x:v>Kampala</x:v>
      </x:c>
      <x:c r="I18" t="str">
        <x:v>Road Over Road</x:v>
      </x:c>
      <x:c r="J18" t="str">
        <x:v>Good</x:v>
      </x:c>
      <x:c r="K18" t="n">
        <x:v>32.5107</x:v>
      </x:c>
      <x:c r="L18" t="n">
        <x:v>0.1485</x:v>
      </x:c>
      <x:c r="M18" t="n">
        <x:v>32.511006</x:v>
      </x:c>
      <x:c r="N18" t="n">
        <x:v>0.148477</x:v>
      </x:c>
      <x:c r="O18" t="n">
        <x:v>20711.35</x:v>
      </x:c>
      <x:c r="P18" t="n">
        <x:f>IFERROR(INDEX(Assumptions!$B$9:$B$13,MATCH(F18,Assumptions!$A$9:$A$13,0)),0.15)</x:f>
        <x:v>0.08</x:v>
      </x:c>
      <x:c r="Q18" t="n">
        <x:f>ROUND(O18*(1-P18),0)</x:f>
        <x:v>19054</x:v>
      </x:c>
      <x:c r="R18" t="n">
        <x:f>ROUND(O18*P18,0)</x:f>
        <x:v>1657</x:v>
      </x:c>
      <x:c r="S18" t="n">
        <x:f>ROUND(O18*IFERROR(INDEX(Assumptions!$C$9:$C$13,MATCH(F18,Assumptions!$A$9:$A$13,0)),0.55),0)</x:f>
        <x:v>12841</x:v>
      </x:c>
      <x:c r="T18" t="n">
        <x:f>ROUND(O18*IFERROR(INDEX(Assumptions!$D$9:$D$13,MATCH(F18,Assumptions!$A$9:$A$13,0)),0.06),0)</x:f>
        <x:v>1657</x:v>
      </x:c>
      <x:c r="U18" t="n">
        <x:f>ROUND(O18*IFERROR(INDEX(Assumptions!$E$9:$E$13,MATCH(F18,Assumptions!$A$9:$A$13,0)),0.15),0)</x:f>
        <x:v>3728</x:v>
      </x:c>
      <x:c r="V18" t="n">
        <x:f>MAX(0,O18-SUM(R18:U18))</x:f>
        <x:v>828.3499999999985</x:v>
      </x:c>
      <x:c r="W18" t="n">
        <x:f>MIN(100,40+IF(O18&gt;0,20,0)+IF(M18&lt;&gt;"",20,0)+IF(AF18&lt;&gt;"",20,0))</x:f>
        <x:v>100</x:v>
      </x:c>
      <x:c r="X18" t="str">
        <x:v>Placed on exact national road host link</x:v>
      </x:c>
      <x:c r="Y18" t="str">
        <x:v>Paved</x:v>
      </x:c>
      <x:c r="Z18" t="str">
        <x:v>M</x:v>
      </x:c>
      <x:c r="AA18" t="str">
        <x:v>Not available in governed source</x:v>
      </x:c>
      <x:c r="AB18" t="str">
        <x:v>Not available in governed source</x:v>
      </x:c>
      <x:c r="AC18" t="str">
        <x:v>FY2025/26</x:v>
      </x:c>
      <x:c r="AD18" t="str">
        <x:v>Modelled</x:v>
      </x:c>
      <x:c r="AE18" t="str">
        <x:v>2026 bridge AADT rebuilt from host-link traffic history, annual collection-link history, same-road corridor history and spatial count-station influence. Vehicle-class values are assigned from functional-class shares.</x:v>
      </x:c>
      <x:c r="AF18" t="str">
        <x:v>Placed on exact national road host link</x:v>
      </x:c>
    </x:row>
    <x:row r="19" ht="15" hidden="0" customHeight="1">
      <x:c r="A19" t="str">
        <x:v>bridge-018</x:v>
      </x:c>
      <x:c r="B19" t="str">
        <x:v>B011</x:v>
      </x:c>
      <x:c r="C19" t="str">
        <x:v>BUKOOLA</x:v>
      </x:c>
      <x:c r="D19" t="str">
        <x:v>A004_Link02</x:v>
      </x:c>
      <x:c r="E19" t="str">
        <x:v>Kyotera - Mutukula</x:v>
      </x:c>
      <x:c r="F19" t="str">
        <x:v>A</x:v>
      </x:c>
      <x:c r="G19" t="str">
        <x:v>Central</x:v>
      </x:c>
      <x:c r="H19" t="str">
        <x:v>Masaka</x:v>
      </x:c>
      <x:c r="I19" t="str">
        <x:v>River Bukoola</x:v>
      </x:c>
      <x:c r="J19" t="str">
        <x:v>Satisfactory</x:v>
      </x:c>
      <x:c r="K19" t="n">
        <x:v>31.4886</x:v>
      </x:c>
      <x:c r="L19" t="n">
        <x:v>-0.84316</x:v>
      </x:c>
      <x:c r="M19" t="n">
        <x:v>31.488546</x:v>
      </x:c>
      <x:c r="N19" t="n">
        <x:v>-0.842608</x:v>
      </x:c>
      <x:c r="O19" t="n">
        <x:v>3647.09</x:v>
      </x:c>
      <x:c r="P19" t="n">
        <x:f>IFERROR(INDEX(Assumptions!$B$9:$B$13,MATCH(F19,Assumptions!$A$9:$A$13,0)),0.15)</x:f>
        <x:v>0.12</x:v>
      </x:c>
      <x:c r="Q19" t="n">
        <x:f>ROUND(O19*(1-P19),0)</x:f>
        <x:v>3209</x:v>
      </x:c>
      <x:c r="R19" t="n">
        <x:f>ROUND(O19*P19,0)</x:f>
        <x:v>438</x:v>
      </x:c>
      <x:c r="S19" t="n">
        <x:f>ROUND(O19*IFERROR(INDEX(Assumptions!$C$9:$C$13,MATCH(F19,Assumptions!$A$9:$A$13,0)),0.55),0)</x:f>
        <x:v>2115</x:v>
      </x:c>
      <x:c r="T19" t="n">
        <x:f>ROUND(O19*IFERROR(INDEX(Assumptions!$D$9:$D$13,MATCH(F19,Assumptions!$A$9:$A$13,0)),0.06),0)</x:f>
        <x:v>292</x:v>
      </x:c>
      <x:c r="U19" t="n">
        <x:f>ROUND(O19*IFERROR(INDEX(Assumptions!$E$9:$E$13,MATCH(F19,Assumptions!$A$9:$A$13,0)),0.15),0)</x:f>
        <x:v>656</x:v>
      </x:c>
      <x:c r="V19" t="n">
        <x:f>MAX(0,O19-SUM(R19:U19))</x:f>
        <x:v>146.09000000000015</x:v>
      </x:c>
      <x:c r="W19" t="n">
        <x:f>MIN(100,40+IF(O19&gt;0,20,0)+IF(M19&lt;&gt;"",20,0)+IF(AF19&lt;&gt;"",20,0))</x:f>
        <x:v>100</x:v>
      </x:c>
      <x:c r="X19" t="str">
        <x:v>Placed on exact national road host link</x:v>
      </x:c>
      <x:c r="Y19" t="str">
        <x:v>Paved</x:v>
      </x:c>
      <x:c r="Z19" t="str">
        <x:v>A</x:v>
      </x:c>
      <x:c r="AA19" t="str">
        <x:v>Not available in governed source</x:v>
      </x:c>
      <x:c r="AB19" t="str">
        <x:v>Not available in governed source</x:v>
      </x:c>
      <x:c r="AC19" t="str">
        <x:v>FY2025/26</x:v>
      </x:c>
      <x:c r="AD19" t="str">
        <x:v>Modelled</x:v>
      </x:c>
      <x:c r="AE19" t="str">
        <x:v>2026 bridge AADT rebuilt from host-link traffic history, annual collection-link history, same-road corridor history and spatial count-station influence. Vehicle-class values are assigned from functional-class shares.</x:v>
      </x:c>
      <x:c r="AF19" t="str">
        <x:v>Placed on exact national road host link</x:v>
      </x:c>
    </x:row>
    <x:row r="20" ht="15" hidden="0" customHeight="1">
      <x:c r="A20" t="str">
        <x:v>bridge-019</x:v>
      </x:c>
      <x:c r="B20" t="str">
        <x:v>B083</x:v>
      </x:c>
      <x:c r="C20" t="str">
        <x:v>KEE B9 overbridge</x:v>
      </x:c>
      <x:c r="D20" t="str">
        <x:v>M3_Link01</x:v>
      </x:c>
      <x:c r="E20" t="str">
        <x:v>Kampala - Entebbe Expressway</x:v>
      </x:c>
      <x:c r="F20" t="str">
        <x:v>M</x:v>
      </x:c>
      <x:c r="G20" t="str">
        <x:v>Central</x:v>
      </x:c>
      <x:c r="H20" t="str">
        <x:v>Kampala</x:v>
      </x:c>
      <x:c r="I20" t="str">
        <x:v>Road Over Road</x:v>
      </x:c>
      <x:c r="J20" t="str">
        <x:v>Marginal</x:v>
      </x:c>
      <x:c r="K20" t="n">
        <x:v>32.5235</x:v>
      </x:c>
      <x:c r="L20" t="n">
        <x:v>0.2324</x:v>
      </x:c>
      <x:c r="M20" t="n">
        <x:v>32.523626</x:v>
      </x:c>
      <x:c r="N20" t="n">
        <x:v>0.23241</x:v>
      </x:c>
      <x:c r="O20" t="n">
        <x:v>20711.35</x:v>
      </x:c>
      <x:c r="P20" t="n">
        <x:f>IFERROR(INDEX(Assumptions!$B$9:$B$13,MATCH(F20,Assumptions!$A$9:$A$13,0)),0.15)</x:f>
        <x:v>0.08</x:v>
      </x:c>
      <x:c r="Q20" t="n">
        <x:f>ROUND(O20*(1-P20),0)</x:f>
        <x:v>19054</x:v>
      </x:c>
      <x:c r="R20" t="n">
        <x:f>ROUND(O20*P20,0)</x:f>
        <x:v>1657</x:v>
      </x:c>
      <x:c r="S20" t="n">
        <x:f>ROUND(O20*IFERROR(INDEX(Assumptions!$C$9:$C$13,MATCH(F20,Assumptions!$A$9:$A$13,0)),0.55),0)</x:f>
        <x:v>12841</x:v>
      </x:c>
      <x:c r="T20" t="n">
        <x:f>ROUND(O20*IFERROR(INDEX(Assumptions!$D$9:$D$13,MATCH(F20,Assumptions!$A$9:$A$13,0)),0.06),0)</x:f>
        <x:v>1657</x:v>
      </x:c>
      <x:c r="U20" t="n">
        <x:f>ROUND(O20*IFERROR(INDEX(Assumptions!$E$9:$E$13,MATCH(F20,Assumptions!$A$9:$A$13,0)),0.15),0)</x:f>
        <x:v>3728</x:v>
      </x:c>
      <x:c r="V20" t="n">
        <x:f>MAX(0,O20-SUM(R20:U20))</x:f>
        <x:v>828.3499999999985</x:v>
      </x:c>
      <x:c r="W20" t="n">
        <x:f>MIN(100,40+IF(O20&gt;0,20,0)+IF(M20&lt;&gt;"",20,0)+IF(AF20&lt;&gt;"",20,0))</x:f>
        <x:v>100</x:v>
      </x:c>
      <x:c r="X20" t="str">
        <x:v>Placed on exact national road host link</x:v>
      </x:c>
      <x:c r="Y20" t="str">
        <x:v>Paved</x:v>
      </x:c>
      <x:c r="Z20" t="str">
        <x:v>M</x:v>
      </x:c>
      <x:c r="AA20" t="str">
        <x:v>Not available in governed source</x:v>
      </x:c>
      <x:c r="AB20" t="str">
        <x:v>Not available in governed source</x:v>
      </x:c>
      <x:c r="AC20" t="str">
        <x:v>FY2025/26</x:v>
      </x:c>
      <x:c r="AD20" t="str">
        <x:v>Modelled</x:v>
      </x:c>
      <x:c r="AE20" t="str">
        <x:v>2026 bridge AADT rebuilt from host-link traffic history, annual collection-link history, same-road corridor history and spatial count-station influence. Vehicle-class values are assigned from functional-class shares.</x:v>
      </x:c>
      <x:c r="AF20" t="str">
        <x:v>Placed on exact national road host link</x:v>
      </x:c>
    </x:row>
    <x:row r="21" ht="15" hidden="0" customHeight="1">
      <x:c r="A21" t="str">
        <x:v>bridge-020</x:v>
      </x:c>
      <x:c r="B21" t="str">
        <x:v>B084</x:v>
      </x:c>
      <x:c r="C21" t="str">
        <x:v>Ziiru overbridge</x:v>
      </x:c>
      <x:c r="D21" t="str">
        <x:v>M3_Link01</x:v>
      </x:c>
      <x:c r="E21" t="str">
        <x:v>Kampala - Entebbe Expressway</x:v>
      </x:c>
      <x:c r="F21" t="str">
        <x:v>M</x:v>
      </x:c>
      <x:c r="G21" t="str">
        <x:v>Central</x:v>
      </x:c>
      <x:c r="H21" t="str">
        <x:v>Kampala</x:v>
      </x:c>
      <x:c r="I21" t="str">
        <x:v>Road Over Road</x:v>
      </x:c>
      <x:c r="J21" t="str">
        <x:v>Marginal</x:v>
      </x:c>
      <x:c r="K21" t="n">
        <x:v>32.5104</x:v>
      </x:c>
      <x:c r="L21" t="n">
        <x:v>0.1452</x:v>
      </x:c>
      <x:c r="M21" t="n">
        <x:v>32.510718</x:v>
      </x:c>
      <x:c r="N21" t="n">
        <x:v>0.145173</x:v>
      </x:c>
      <x:c r="O21" t="n">
        <x:v>20711.35</x:v>
      </x:c>
      <x:c r="P21" t="n">
        <x:f>IFERROR(INDEX(Assumptions!$B$9:$B$13,MATCH(F21,Assumptions!$A$9:$A$13,0)),0.15)</x:f>
        <x:v>0.08</x:v>
      </x:c>
      <x:c r="Q21" t="n">
        <x:f>ROUND(O21*(1-P21),0)</x:f>
        <x:v>19054</x:v>
      </x:c>
      <x:c r="R21" t="n">
        <x:f>ROUND(O21*P21,0)</x:f>
        <x:v>1657</x:v>
      </x:c>
      <x:c r="S21" t="n">
        <x:f>ROUND(O21*IFERROR(INDEX(Assumptions!$C$9:$C$13,MATCH(F21,Assumptions!$A$9:$A$13,0)),0.55),0)</x:f>
        <x:v>12841</x:v>
      </x:c>
      <x:c r="T21" t="n">
        <x:f>ROUND(O21*IFERROR(INDEX(Assumptions!$D$9:$D$13,MATCH(F21,Assumptions!$A$9:$A$13,0)),0.06),0)</x:f>
        <x:v>1657</x:v>
      </x:c>
      <x:c r="U21" t="n">
        <x:f>ROUND(O21*IFERROR(INDEX(Assumptions!$E$9:$E$13,MATCH(F21,Assumptions!$A$9:$A$13,0)),0.15),0)</x:f>
        <x:v>3728</x:v>
      </x:c>
      <x:c r="V21" t="n">
        <x:f>MAX(0,O21-SUM(R21:U21))</x:f>
        <x:v>828.3499999999985</x:v>
      </x:c>
      <x:c r="W21" t="n">
        <x:f>MIN(100,40+IF(O21&gt;0,20,0)+IF(M21&lt;&gt;"",20,0)+IF(AF21&lt;&gt;"",20,0))</x:f>
        <x:v>100</x:v>
      </x:c>
      <x:c r="X21" t="str">
        <x:v>Placed on exact national road host link</x:v>
      </x:c>
      <x:c r="Y21" t="str">
        <x:v>Paved</x:v>
      </x:c>
      <x:c r="Z21" t="str">
        <x:v>M</x:v>
      </x:c>
      <x:c r="AA21" t="str">
        <x:v>Not available in governed source</x:v>
      </x:c>
      <x:c r="AB21" t="str">
        <x:v>Not available in governed source</x:v>
      </x:c>
      <x:c r="AC21" t="str">
        <x:v>FY2025/26</x:v>
      </x:c>
      <x:c r="AD21" t="str">
        <x:v>Modelled</x:v>
      </x:c>
      <x:c r="AE21" t="str">
        <x:v>2026 bridge AADT rebuilt from host-link traffic history, annual collection-link history, same-road corridor history and spatial count-station influence. Vehicle-class values are assigned from functional-class shares.</x:v>
      </x:c>
      <x:c r="AF21" t="str">
        <x:v>Placed on exact national road host link</x:v>
      </x:c>
    </x:row>
    <x:row r="22" ht="15" hidden="0" customHeight="1">
      <x:c r="A22" t="str">
        <x:v>bridge-021</x:v>
      </x:c>
      <x:c r="B22" t="str">
        <x:v>B012</x:v>
      </x:c>
      <x:c r="C22" t="str">
        <x:v>BUYALA</x:v>
      </x:c>
      <x:c r="D22" t="str">
        <x:v>A005_Link01</x:v>
      </x:c>
      <x:c r="E22" t="str">
        <x:v>Busega - Bujuuko</x:v>
      </x:c>
      <x:c r="F22" t="str">
        <x:v>A</x:v>
      </x:c>
      <x:c r="G22" t="str">
        <x:v>Central</x:v>
      </x:c>
      <x:c r="H22" t="str">
        <x:v>Mpigi</x:v>
      </x:c>
      <x:c r="I22" t="str">
        <x:v>Road Over Rail</x:v>
      </x:c>
      <x:c r="J22" t="str">
        <x:v>Satisfactory</x:v>
      </x:c>
      <x:c r="K22" t="n">
        <x:v>32.41803</x:v>
      </x:c>
      <x:c r="L22" t="n">
        <x:v>0.32933</x:v>
      </x:c>
      <x:c r="M22" t="n">
        <x:v>32.418442</x:v>
      </x:c>
      <x:c r="N22" t="n">
        <x:v>0.329366</x:v>
      </x:c>
      <x:c r="O22" t="n">
        <x:v>8329.03</x:v>
      </x:c>
      <x:c r="P22" t="n">
        <x:f>IFERROR(INDEX(Assumptions!$B$9:$B$13,MATCH(F22,Assumptions!$A$9:$A$13,0)),0.15)</x:f>
        <x:v>0.12</x:v>
      </x:c>
      <x:c r="Q22" t="n">
        <x:f>ROUND(O22*(1-P22),0)</x:f>
        <x:v>7330</x:v>
      </x:c>
      <x:c r="R22" t="n">
        <x:f>ROUND(O22*P22,0)</x:f>
        <x:v>999</x:v>
      </x:c>
      <x:c r="S22" t="n">
        <x:f>ROUND(O22*IFERROR(INDEX(Assumptions!$C$9:$C$13,MATCH(F22,Assumptions!$A$9:$A$13,0)),0.55),0)</x:f>
        <x:v>4831</x:v>
      </x:c>
      <x:c r="T22" t="n">
        <x:f>ROUND(O22*IFERROR(INDEX(Assumptions!$D$9:$D$13,MATCH(F22,Assumptions!$A$9:$A$13,0)),0.06),0)</x:f>
        <x:v>666</x:v>
      </x:c>
      <x:c r="U22" t="n">
        <x:f>ROUND(O22*IFERROR(INDEX(Assumptions!$E$9:$E$13,MATCH(F22,Assumptions!$A$9:$A$13,0)),0.15),0)</x:f>
        <x:v>1499</x:v>
      </x:c>
      <x:c r="V22" t="n">
        <x:f>MAX(0,O22-SUM(R22:U22))</x:f>
        <x:v>334.03000000000065</x:v>
      </x:c>
      <x:c r="W22" t="n">
        <x:f>MIN(100,40+IF(O22&gt;0,20,0)+IF(M22&lt;&gt;"",20,0)+IF(AF22&lt;&gt;"",20,0))</x:f>
        <x:v>100</x:v>
      </x:c>
      <x:c r="X22" t="str">
        <x:v>Placed on exact national road host link</x:v>
      </x:c>
      <x:c r="Y22" t="str">
        <x:v>Paved</x:v>
      </x:c>
      <x:c r="Z22" t="str">
        <x:v>A</x:v>
      </x:c>
      <x:c r="AA22" t="str">
        <x:v>Not available in governed source</x:v>
      </x:c>
      <x:c r="AB22" t="str">
        <x:v>Not available in governed source</x:v>
      </x:c>
      <x:c r="AC22" t="str">
        <x:v>FY2025/26</x:v>
      </x:c>
      <x:c r="AD22" t="str">
        <x:v>Modelled</x:v>
      </x:c>
      <x:c r="AE22" t="str">
        <x:v>2026 bridge AADT rebuilt from host-link traffic history, annual collection-link history, same-road corridor history and spatial count-station influence. Vehicle-class values are assigned from functional-class shares.</x:v>
      </x:c>
      <x:c r="AF22" t="str">
        <x:v>Placed on exact national road host link</x:v>
      </x:c>
    </x:row>
    <x:row r="23" ht="15" hidden="0" customHeight="1">
      <x:c r="A23" t="str">
        <x:v>bridge-022</x:v>
      </x:c>
      <x:c r="B23" t="str">
        <x:v>B086</x:v>
      </x:c>
      <x:c r="C23" t="str">
        <x:v>Kajjansi interchange KEE B10</x:v>
      </x:c>
      <x:c r="D23" t="str">
        <x:v>M3_Link01</x:v>
      </x:c>
      <x:c r="E23" t="str">
        <x:v>Kampala - Entebbe Expressway</x:v>
      </x:c>
      <x:c r="F23" t="str">
        <x:v>M</x:v>
      </x:c>
      <x:c r="G23" t="str">
        <x:v>Central</x:v>
      </x:c>
      <x:c r="H23" t="str">
        <x:v>Kampala</x:v>
      </x:c>
      <x:c r="I23" t="str">
        <x:v>Road Over Road</x:v>
      </x:c>
      <x:c r="J23" t="str">
        <x:v>Good</x:v>
      </x:c>
      <x:c r="K23" t="n">
        <x:v>32.5313</x:v>
      </x:c>
      <x:c r="L23" t="n">
        <x:v>0.2153</x:v>
      </x:c>
      <x:c r="M23" t="n">
        <x:v>32.531218</x:v>
      </x:c>
      <x:c r="N23" t="n">
        <x:v>0.215266</x:v>
      </x:c>
      <x:c r="O23" t="n">
        <x:v>20711.35</x:v>
      </x:c>
      <x:c r="P23" t="n">
        <x:f>IFERROR(INDEX(Assumptions!$B$9:$B$13,MATCH(F23,Assumptions!$A$9:$A$13,0)),0.15)</x:f>
        <x:v>0.08</x:v>
      </x:c>
      <x:c r="Q23" t="n">
        <x:f>ROUND(O23*(1-P23),0)</x:f>
        <x:v>19054</x:v>
      </x:c>
      <x:c r="R23" t="n">
        <x:f>ROUND(O23*P23,0)</x:f>
        <x:v>1657</x:v>
      </x:c>
      <x:c r="S23" t="n">
        <x:f>ROUND(O23*IFERROR(INDEX(Assumptions!$C$9:$C$13,MATCH(F23,Assumptions!$A$9:$A$13,0)),0.55),0)</x:f>
        <x:v>12841</x:v>
      </x:c>
      <x:c r="T23" t="n">
        <x:f>ROUND(O23*IFERROR(INDEX(Assumptions!$D$9:$D$13,MATCH(F23,Assumptions!$A$9:$A$13,0)),0.06),0)</x:f>
        <x:v>1657</x:v>
      </x:c>
      <x:c r="U23" t="n">
        <x:f>ROUND(O23*IFERROR(INDEX(Assumptions!$E$9:$E$13,MATCH(F23,Assumptions!$A$9:$A$13,0)),0.15),0)</x:f>
        <x:v>3728</x:v>
      </x:c>
      <x:c r="V23" t="n">
        <x:f>MAX(0,O23-SUM(R23:U23))</x:f>
        <x:v>828.3499999999985</x:v>
      </x:c>
      <x:c r="W23" t="n">
        <x:f>MIN(100,40+IF(O23&gt;0,20,0)+IF(M23&lt;&gt;"",20,0)+IF(AF23&lt;&gt;"",20,0))</x:f>
        <x:v>100</x:v>
      </x:c>
      <x:c r="X23" t="str">
        <x:v>Placed on exact national road host link</x:v>
      </x:c>
      <x:c r="Y23" t="str">
        <x:v>Paved</x:v>
      </x:c>
      <x:c r="Z23" t="str">
        <x:v>M</x:v>
      </x:c>
      <x:c r="AA23" t="str">
        <x:v>Not available in governed source</x:v>
      </x:c>
      <x:c r="AB23" t="str">
        <x:v>Not available in governed source</x:v>
      </x:c>
      <x:c r="AC23" t="str">
        <x:v>FY2025/26</x:v>
      </x:c>
      <x:c r="AD23" t="str">
        <x:v>Modelled</x:v>
      </x:c>
      <x:c r="AE23" t="str">
        <x:v>2026 bridge AADT rebuilt from host-link traffic history, annual collection-link history, same-road corridor history and spatial count-station influence. Vehicle-class values are assigned from functional-class shares.</x:v>
      </x:c>
      <x:c r="AF23" t="str">
        <x:v>Placed on exact national road host link</x:v>
      </x:c>
    </x:row>
    <x:row r="24" ht="15" hidden="0" customHeight="1">
      <x:c r="A24" t="str">
        <x:v>bridge-023</x:v>
      </x:c>
      <x:c r="B24" t="str">
        <x:v>B273</x:v>
      </x:c>
      <x:c r="C24" t="str">
        <x:v>Ziiru overbridge 2</x:v>
      </x:c>
      <x:c r="D24" t="str">
        <x:v>M3_Link01</x:v>
      </x:c>
      <x:c r="E24" t="str">
        <x:v>Kampala - Entebbe Expressway</x:v>
      </x:c>
      <x:c r="F24" t="str">
        <x:v>M</x:v>
      </x:c>
      <x:c r="G24" t="str">
        <x:v>Central</x:v>
      </x:c>
      <x:c r="H24" t="str">
        <x:v>Kampala</x:v>
      </x:c>
      <x:c r="I24" t="str">
        <x:v>Road Over Road</x:v>
      </x:c>
      <x:c r="J24" t="str">
        <x:v>Good</x:v>
      </x:c>
      <x:c r="K24" t="n">
        <x:v>32.5104</x:v>
      </x:c>
      <x:c r="L24" t="n">
        <x:v>0.1358</x:v>
      </x:c>
      <x:c r="M24" t="n">
        <x:v>32.510405</x:v>
      </x:c>
      <x:c r="N24" t="n">
        <x:v>0.135803</x:v>
      </x:c>
      <x:c r="O24" t="n">
        <x:v>20711.35</x:v>
      </x:c>
      <x:c r="P24" t="n">
        <x:f>IFERROR(INDEX(Assumptions!$B$9:$B$13,MATCH(F24,Assumptions!$A$9:$A$13,0)),0.15)</x:f>
        <x:v>0.08</x:v>
      </x:c>
      <x:c r="Q24" t="n">
        <x:f>ROUND(O24*(1-P24),0)</x:f>
        <x:v>19054</x:v>
      </x:c>
      <x:c r="R24" t="n">
        <x:f>ROUND(O24*P24,0)</x:f>
        <x:v>1657</x:v>
      </x:c>
      <x:c r="S24" t="n">
        <x:f>ROUND(O24*IFERROR(INDEX(Assumptions!$C$9:$C$13,MATCH(F24,Assumptions!$A$9:$A$13,0)),0.55),0)</x:f>
        <x:v>12841</x:v>
      </x:c>
      <x:c r="T24" t="n">
        <x:f>ROUND(O24*IFERROR(INDEX(Assumptions!$D$9:$D$13,MATCH(F24,Assumptions!$A$9:$A$13,0)),0.06),0)</x:f>
        <x:v>1657</x:v>
      </x:c>
      <x:c r="U24" t="n">
        <x:f>ROUND(O24*IFERROR(INDEX(Assumptions!$E$9:$E$13,MATCH(F24,Assumptions!$A$9:$A$13,0)),0.15),0)</x:f>
        <x:v>3728</x:v>
      </x:c>
      <x:c r="V24" t="n">
        <x:f>MAX(0,O24-SUM(R24:U24))</x:f>
        <x:v>828.3499999999985</x:v>
      </x:c>
      <x:c r="W24" t="n">
        <x:f>MIN(100,40+IF(O24&gt;0,20,0)+IF(M24&lt;&gt;"",20,0)+IF(AF24&lt;&gt;"",20,0))</x:f>
        <x:v>100</x:v>
      </x:c>
      <x:c r="X24" t="str">
        <x:v>Placed on exact national road host link</x:v>
      </x:c>
      <x:c r="Y24" t="str">
        <x:v>Paved</x:v>
      </x:c>
      <x:c r="Z24" t="str">
        <x:v>M</x:v>
      </x:c>
      <x:c r="AA24" t="str">
        <x:v>Not available in governed source</x:v>
      </x:c>
      <x:c r="AB24" t="str">
        <x:v>Not available in governed source</x:v>
      </x:c>
      <x:c r="AC24" t="str">
        <x:v>FY2025/26</x:v>
      </x:c>
      <x:c r="AD24" t="str">
        <x:v>Modelled</x:v>
      </x:c>
      <x:c r="AE24" t="str">
        <x:v>2026 bridge AADT rebuilt from host-link traffic history, annual collection-link history, same-road corridor history and spatial count-station influence. Vehicle-class values are assigned from functional-class shares.</x:v>
      </x:c>
      <x:c r="AF24" t="str">
        <x:v>Placed on exact national road host link</x:v>
      </x:c>
    </x:row>
    <x:row r="25" ht="15" hidden="0" customHeight="1">
      <x:c r="A25" t="str">
        <x:v>bridge-024</x:v>
      </x:c>
      <x:c r="B25" t="str">
        <x:v>B013</x:v>
      </x:c>
      <x:c r="C25" t="str">
        <x:v>Mpanga</x:v>
      </x:c>
      <x:c r="D25" t="str">
        <x:v>A005_Link10</x:v>
      </x:c>
      <x:c r="E25" t="str">
        <x:v>Kyenjojo - Rugombe - Fortportal</x:v>
      </x:c>
      <x:c r="F25" t="str">
        <x:v>A</x:v>
      </x:c>
      <x:c r="G25" t="str">
        <x:v>Western</x:v>
      </x:c>
      <x:c r="H25" t="str">
        <x:v>Fort Portal</x:v>
      </x:c>
      <x:c r="I25" t="str">
        <x:v>Mpanga</x:v>
      </x:c>
      <x:c r="J25" t="str">
        <x:v>Good</x:v>
      </x:c>
      <x:c r="K25" t="n">
        <x:v>30.39365</x:v>
      </x:c>
      <x:c r="L25" t="n">
        <x:v>0.64335</x:v>
      </x:c>
      <x:c r="M25" t="n">
        <x:v>30.39366</x:v>
      </x:c>
      <x:c r="N25" t="n">
        <x:v>0.643257</x:v>
      </x:c>
      <x:c r="O25" t="n">
        <x:v>3674.32</x:v>
      </x:c>
      <x:c r="P25" t="n">
        <x:f>IFERROR(INDEX(Assumptions!$B$9:$B$13,MATCH(F25,Assumptions!$A$9:$A$13,0)),0.15)</x:f>
        <x:v>0.12</x:v>
      </x:c>
      <x:c r="Q25" t="n">
        <x:f>ROUND(O25*(1-P25),0)</x:f>
        <x:v>3233</x:v>
      </x:c>
      <x:c r="R25" t="n">
        <x:f>ROUND(O25*P25,0)</x:f>
        <x:v>441</x:v>
      </x:c>
      <x:c r="S25" t="n">
        <x:f>ROUND(O25*IFERROR(INDEX(Assumptions!$C$9:$C$13,MATCH(F25,Assumptions!$A$9:$A$13,0)),0.55),0)</x:f>
        <x:v>2131</x:v>
      </x:c>
      <x:c r="T25" t="n">
        <x:f>ROUND(O25*IFERROR(INDEX(Assumptions!$D$9:$D$13,MATCH(F25,Assumptions!$A$9:$A$13,0)),0.06),0)</x:f>
        <x:v>294</x:v>
      </x:c>
      <x:c r="U25" t="n">
        <x:f>ROUND(O25*IFERROR(INDEX(Assumptions!$E$9:$E$13,MATCH(F25,Assumptions!$A$9:$A$13,0)),0.15),0)</x:f>
        <x:v>661</x:v>
      </x:c>
      <x:c r="V25" t="n">
        <x:f>MAX(0,O25-SUM(R25:U25))</x:f>
        <x:v>147.32000000000016</x:v>
      </x:c>
      <x:c r="W25" t="n">
        <x:f>MIN(100,40+IF(O25&gt;0,20,0)+IF(M25&lt;&gt;"",20,0)+IF(AF25&lt;&gt;"",20,0))</x:f>
        <x:v>100</x:v>
      </x:c>
      <x:c r="X25" t="str">
        <x:v>Placed on exact national road host link</x:v>
      </x:c>
      <x:c r="Y25" t="str">
        <x:v>Paved</x:v>
      </x:c>
      <x:c r="Z25" t="str">
        <x:v>A</x:v>
      </x:c>
      <x:c r="AA25" t="str">
        <x:v>Not available in governed source</x:v>
      </x:c>
      <x:c r="AB25" t="str">
        <x:v>Not available in governed source</x:v>
      </x:c>
      <x:c r="AC25" t="str">
        <x:v>FY2025/26</x:v>
      </x:c>
      <x:c r="AD25" t="str">
        <x:v>Modelled</x:v>
      </x:c>
      <x:c r="AE25" t="str">
        <x:v>2026 bridge AADT rebuilt from host-link traffic history, annual collection-link history, same-road corridor history and spatial count-station influence. Vehicle-class values are assigned from functional-class shares.</x:v>
      </x:c>
      <x:c r="AF25" t="str">
        <x:v>Placed on exact national road host link</x:v>
      </x:c>
    </x:row>
    <x:row r="26" ht="15" hidden="0" customHeight="1">
      <x:c r="A26" t="str">
        <x:v>bridge-025</x:v>
      </x:c>
      <x:c r="B26" t="str">
        <x:v>B132</x:v>
      </x:c>
      <x:c r="C26" t="str">
        <x:v>Kajjansi interchange KEE B11</x:v>
      </x:c>
      <x:c r="D26" t="str">
        <x:v>M3_Link01</x:v>
      </x:c>
      <x:c r="E26" t="str">
        <x:v>Kampala - Entebbe Expressway</x:v>
      </x:c>
      <x:c r="F26" t="str">
        <x:v>M</x:v>
      </x:c>
      <x:c r="G26" t="str">
        <x:v>Central</x:v>
      </x:c>
      <x:c r="H26" t="str">
        <x:v>Kampala</x:v>
      </x:c>
      <x:c r="I26" t="str">
        <x:v>Expressway Grade Separation</x:v>
      </x:c>
      <x:c r="J26" t="str">
        <x:v>Satisfactory</x:v>
      </x:c>
      <x:c r="K26" t="n">
        <x:v>32.5313</x:v>
      </x:c>
      <x:c r="L26" t="n">
        <x:v>0.2153</x:v>
      </x:c>
      <x:c r="M26" t="n">
        <x:v>32.51892</x:v>
      </x:c>
      <x:c r="N26" t="n">
        <x:v>0.31555</x:v>
      </x:c>
      <x:c r="O26" t="n">
        <x:v>20711.35</x:v>
      </x:c>
      <x:c r="P26" t="n">
        <x:f>IFERROR(INDEX(Assumptions!$B$9:$B$13,MATCH(F26,Assumptions!$A$9:$A$13,0)),0.15)</x:f>
        <x:v>0.08</x:v>
      </x:c>
      <x:c r="Q26" t="n">
        <x:f>ROUND(O26*(1-P26),0)</x:f>
        <x:v>19054</x:v>
      </x:c>
      <x:c r="R26" t="n">
        <x:f>ROUND(O26*P26,0)</x:f>
        <x:v>1657</x:v>
      </x:c>
      <x:c r="S26" t="n">
        <x:f>ROUND(O26*IFERROR(INDEX(Assumptions!$C$9:$C$13,MATCH(F26,Assumptions!$A$9:$A$13,0)),0.55),0)</x:f>
        <x:v>12841</x:v>
      </x:c>
      <x:c r="T26" t="n">
        <x:f>ROUND(O26*IFERROR(INDEX(Assumptions!$D$9:$D$13,MATCH(F26,Assumptions!$A$9:$A$13,0)),0.06),0)</x:f>
        <x:v>1657</x:v>
      </x:c>
      <x:c r="U26" t="n">
        <x:f>ROUND(O26*IFERROR(INDEX(Assumptions!$E$9:$E$13,MATCH(F26,Assumptions!$A$9:$A$13,0)),0.15),0)</x:f>
        <x:v>3728</x:v>
      </x:c>
      <x:c r="V26" t="n">
        <x:f>MAX(0,O26-SUM(R26:U26))</x:f>
        <x:v>828.3499999999985</x:v>
      </x:c>
      <x:c r="W26" t="n">
        <x:f>MIN(100,40+IF(O26&gt;0,20,0)+IF(M26&lt;&gt;"",20,0)+IF(AF26&lt;&gt;"",20,0))</x:f>
        <x:v>100</x:v>
      </x:c>
      <x:c r="X26" t="str">
        <x:v>Placed on exact national road host link</x:v>
      </x:c>
      <x:c r="Y26" t="str">
        <x:v>Paved</x:v>
      </x:c>
      <x:c r="Z26" t="str">
        <x:v>M</x:v>
      </x:c>
      <x:c r="AA26" t="str">
        <x:v>Not available in governed source</x:v>
      </x:c>
      <x:c r="AB26" t="str">
        <x:v>Not available in governed source</x:v>
      </x:c>
      <x:c r="AC26" t="str">
        <x:v>FY2025/26</x:v>
      </x:c>
      <x:c r="AD26" t="str">
        <x:v>Modelled</x:v>
      </x:c>
      <x:c r="AE26" t="str">
        <x:v>2026 bridge AADT rebuilt from host-link traffic history, annual collection-link history, same-road corridor history and spatial count-station influence. Vehicle-class values are assigned from functional-class shares.</x:v>
      </x:c>
      <x:c r="AF26" t="str">
        <x:v>Placed on exact national road host link</x:v>
      </x:c>
    </x:row>
    <x:row r="27" ht="15" hidden="0" customHeight="1">
      <x:c r="A27" t="str">
        <x:v>bridge-026</x:v>
      </x:c>
      <x:c r="B27" t="str">
        <x:v>B133</x:v>
      </x:c>
      <x:c r="C27" t="str">
        <x:v>Nambigirwa Bridge 1</x:v>
      </x:c>
      <x:c r="D27" t="str">
        <x:v>M3_Link01</x:v>
      </x:c>
      <x:c r="E27" t="str">
        <x:v>Kampala - Entebbe Expressway</x:v>
      </x:c>
      <x:c r="F27" t="str">
        <x:v>M</x:v>
      </x:c>
      <x:c r="G27" t="str">
        <x:v>Central</x:v>
      </x:c>
      <x:c r="H27" t="str">
        <x:v>Kampala</x:v>
      </x:c>
      <x:c r="I27" t="str">
        <x:v>Nambigirwa Wetland</x:v>
      </x:c>
      <x:c r="J27" t="str">
        <x:v>Satisfactory</x:v>
      </x:c>
      <x:c r="K27" t="n">
        <x:v>32.5114</x:v>
      </x:c>
      <x:c r="L27" t="n">
        <x:v>0.1266</x:v>
      </x:c>
      <x:c r="M27" t="n">
        <x:v>32.51892</x:v>
      </x:c>
      <x:c r="N27" t="n">
        <x:v>0.31555</x:v>
      </x:c>
      <x:c r="O27" t="n">
        <x:v>20711.35</x:v>
      </x:c>
      <x:c r="P27" t="n">
        <x:f>IFERROR(INDEX(Assumptions!$B$9:$B$13,MATCH(F27,Assumptions!$A$9:$A$13,0)),0.15)</x:f>
        <x:v>0.08</x:v>
      </x:c>
      <x:c r="Q27" t="n">
        <x:f>ROUND(O27*(1-P27),0)</x:f>
        <x:v>19054</x:v>
      </x:c>
      <x:c r="R27" t="n">
        <x:f>ROUND(O27*P27,0)</x:f>
        <x:v>1657</x:v>
      </x:c>
      <x:c r="S27" t="n">
        <x:f>ROUND(O27*IFERROR(INDEX(Assumptions!$C$9:$C$13,MATCH(F27,Assumptions!$A$9:$A$13,0)),0.55),0)</x:f>
        <x:v>12841</x:v>
      </x:c>
      <x:c r="T27" t="n">
        <x:f>ROUND(O27*IFERROR(INDEX(Assumptions!$D$9:$D$13,MATCH(F27,Assumptions!$A$9:$A$13,0)),0.06),0)</x:f>
        <x:v>1657</x:v>
      </x:c>
      <x:c r="U27" t="n">
        <x:f>ROUND(O27*IFERROR(INDEX(Assumptions!$E$9:$E$13,MATCH(F27,Assumptions!$A$9:$A$13,0)),0.15),0)</x:f>
        <x:v>3728</x:v>
      </x:c>
      <x:c r="V27" t="n">
        <x:f>MAX(0,O27-SUM(R27:U27))</x:f>
        <x:v>828.3499999999985</x:v>
      </x:c>
      <x:c r="W27" t="n">
        <x:f>MIN(100,40+IF(O27&gt;0,20,0)+IF(M27&lt;&gt;"",20,0)+IF(AF27&lt;&gt;"",20,0))</x:f>
        <x:v>100</x:v>
      </x:c>
      <x:c r="X27" t="str">
        <x:v>Placed on exact national road host link</x:v>
      </x:c>
      <x:c r="Y27" t="str">
        <x:v>Paved</x:v>
      </x:c>
      <x:c r="Z27" t="str">
        <x:v>M</x:v>
      </x:c>
      <x:c r="AA27" t="str">
        <x:v>Not available in governed source</x:v>
      </x:c>
      <x:c r="AB27" t="str">
        <x:v>Not available in governed source</x:v>
      </x:c>
      <x:c r="AC27" t="str">
        <x:v>FY2025/26</x:v>
      </x:c>
      <x:c r="AD27" t="str">
        <x:v>Modelled</x:v>
      </x:c>
      <x:c r="AE27" t="str">
        <x:v>2026 bridge AADT rebuilt from host-link traffic history, annual collection-link history, same-road corridor history and spatial count-station influence. Vehicle-class values are assigned from functional-class shares.</x:v>
      </x:c>
      <x:c r="AF27" t="str">
        <x:v>Placed on exact national road host link</x:v>
      </x:c>
    </x:row>
    <x:row r="28" ht="15" hidden="0" customHeight="1">
      <x:c r="A28" t="str">
        <x:v>bridge-027</x:v>
      </x:c>
      <x:c r="B28" t="str">
        <x:v>B014</x:v>
      </x:c>
      <x:c r="C28" t="str">
        <x:v>Mpanga</x:v>
      </x:c>
      <x:c r="D28" t="str">
        <x:v>C542_Link01</x:v>
      </x:c>
      <x:c r="E28" t="str">
        <x:v>Fortportal - Kijura - Kabende Bridge-Sogahe-Kyarusozi</x:v>
      </x:c>
      <x:c r="F28" t="str">
        <x:v>C</x:v>
      </x:c>
      <x:c r="G28" t="str">
        <x:v>Western</x:v>
      </x:c>
      <x:c r="H28" t="str">
        <x:v>Fort Portal</x:v>
      </x:c>
      <x:c r="I28" t="str">
        <x:v>Mpanga River</x:v>
      </x:c>
      <x:c r="J28" t="str">
        <x:v>Critical</x:v>
      </x:c>
      <x:c r="K28" t="n">
        <x:v>30.296738</x:v>
      </x:c>
      <x:c r="L28" t="n">
        <x:v>0.660422</x:v>
      </x:c>
      <x:c r="M28" t="n">
        <x:v>30.297238</x:v>
      </x:c>
      <x:c r="N28" t="n">
        <x:v>0.65954</x:v>
      </x:c>
      <x:c r="O28" t="n">
        <x:v>1151.09</x:v>
      </x:c>
      <x:c r="P28" t="n">
        <x:f>IFERROR(INDEX(Assumptions!$B$9:$B$13,MATCH(F28,Assumptions!$A$9:$A$13,0)),0.15)</x:f>
        <x:v>0.28</x:v>
      </x:c>
      <x:c r="Q28" t="n">
        <x:f>ROUND(O28*(1-P28),0)</x:f>
        <x:v>829</x:v>
      </x:c>
      <x:c r="R28" t="n">
        <x:f>ROUND(O28*P28,0)</x:f>
        <x:v>322</x:v>
      </x:c>
      <x:c r="S28" t="n">
        <x:f>ROUND(O28*IFERROR(INDEX(Assumptions!$C$9:$C$13,MATCH(F28,Assumptions!$A$9:$A$13,0)),0.55),0)</x:f>
        <x:v>576</x:v>
      </x:c>
      <x:c r="T28" t="n">
        <x:f>ROUND(O28*IFERROR(INDEX(Assumptions!$D$9:$D$13,MATCH(F28,Assumptions!$A$9:$A$13,0)),0.06),0)</x:f>
        <x:v>58</x:v>
      </x:c>
      <x:c r="U28" t="n">
        <x:f>ROUND(O28*IFERROR(INDEX(Assumptions!$E$9:$E$13,MATCH(F28,Assumptions!$A$9:$A$13,0)),0.15),0)</x:f>
        <x:v>127</x:v>
      </x:c>
      <x:c r="V28" t="n">
        <x:f>MAX(0,O28-SUM(R28:U28))</x:f>
        <x:v>68.08999999999992</x:v>
      </x:c>
      <x:c r="W28" t="n">
        <x:f>MIN(100,40+IF(O28&gt;0,20,0)+IF(M28&lt;&gt;"",20,0)+IF(AF28&lt;&gt;"",20,0))</x:f>
        <x:v>100</x:v>
      </x:c>
      <x:c r="X28" t="str">
        <x:v>Placed on exact national road host link</x:v>
      </x:c>
      <x:c r="Y28" t="str">
        <x:v>Unpaved</x:v>
      </x:c>
      <x:c r="Z28" t="str">
        <x:v>C</x:v>
      </x:c>
      <x:c r="AA28" t="str">
        <x:v>Not available in governed source</x:v>
      </x:c>
      <x:c r="AB28" t="str">
        <x:v>Not available in governed source</x:v>
      </x:c>
      <x:c r="AC28" t="str">
        <x:v>FY2025/26</x:v>
      </x:c>
      <x:c r="AD28" t="str">
        <x:v>Modelled</x:v>
      </x:c>
      <x:c r="AE28" t="str">
        <x:v>2026 bridge AADT rebuilt from host-link traffic history, annual collection-link history, same-road corridor history and spatial count-station influence. Vehicle-class values are assigned from functional-class shares.</x:v>
      </x:c>
      <x:c r="AF28" t="str">
        <x:v>Placed on exact national road host link</x:v>
      </x:c>
    </x:row>
    <x:row r="29" ht="15" hidden="0" customHeight="1">
      <x:c r="A29" t="str">
        <x:v>bridge-028</x:v>
      </x:c>
      <x:c r="B29" t="str">
        <x:v>B375</x:v>
      </x:c>
      <x:c r="C29" t="str">
        <x:v>Kajjansi overbridge 1 KEE B11</x:v>
      </x:c>
      <x:c r="D29" t="str">
        <x:v>M3_Link01</x:v>
      </x:c>
      <x:c r="E29" t="str">
        <x:v>Kampala - Entebbe Expressway</x:v>
      </x:c>
      <x:c r="F29" t="str">
        <x:v>M</x:v>
      </x:c>
      <x:c r="G29" t="str">
        <x:v>Central</x:v>
      </x:c>
      <x:c r="H29" t="str">
        <x:v>Kampala</x:v>
      </x:c>
      <x:c r="I29" t="str">
        <x:v>Mpanga River</x:v>
      </x:c>
      <x:c r="J29" t="str">
        <x:v>Marginal</x:v>
      </x:c>
      <x:c r="K29" t="n">
        <x:v>32.5295</x:v>
      </x:c>
      <x:c r="L29" t="n">
        <x:v>0.2087</x:v>
      </x:c>
      <x:c r="M29" t="n">
        <x:v>32.529725</x:v>
      </x:c>
      <x:c r="N29" t="n">
        <x:v>0.208645</x:v>
      </x:c>
      <x:c r="O29" t="n">
        <x:v>20711.35</x:v>
      </x:c>
      <x:c r="P29" t="n">
        <x:f>IFERROR(INDEX(Assumptions!$B$9:$B$13,MATCH(F29,Assumptions!$A$9:$A$13,0)),0.15)</x:f>
        <x:v>0.08</x:v>
      </x:c>
      <x:c r="Q29" t="n">
        <x:f>ROUND(O29*(1-P29),0)</x:f>
        <x:v>19054</x:v>
      </x:c>
      <x:c r="R29" t="n">
        <x:f>ROUND(O29*P29,0)</x:f>
        <x:v>1657</x:v>
      </x:c>
      <x:c r="S29" t="n">
        <x:f>ROUND(O29*IFERROR(INDEX(Assumptions!$C$9:$C$13,MATCH(F29,Assumptions!$A$9:$A$13,0)),0.55),0)</x:f>
        <x:v>12841</x:v>
      </x:c>
      <x:c r="T29" t="n">
        <x:f>ROUND(O29*IFERROR(INDEX(Assumptions!$D$9:$D$13,MATCH(F29,Assumptions!$A$9:$A$13,0)),0.06),0)</x:f>
        <x:v>1657</x:v>
      </x:c>
      <x:c r="U29" t="n">
        <x:f>ROUND(O29*IFERROR(INDEX(Assumptions!$E$9:$E$13,MATCH(F29,Assumptions!$A$9:$A$13,0)),0.15),0)</x:f>
        <x:v>3728</x:v>
      </x:c>
      <x:c r="V29" t="n">
        <x:f>MAX(0,O29-SUM(R29:U29))</x:f>
        <x:v>828.3499999999985</x:v>
      </x:c>
      <x:c r="W29" t="n">
        <x:f>MIN(100,40+IF(O29&gt;0,20,0)+IF(M29&lt;&gt;"",20,0)+IF(AF29&lt;&gt;"",20,0))</x:f>
        <x:v>100</x:v>
      </x:c>
      <x:c r="X29" t="str">
        <x:v>Placed on exact national road host link</x:v>
      </x:c>
      <x:c r="Y29" t="str">
        <x:v>Paved</x:v>
      </x:c>
      <x:c r="Z29" t="str">
        <x:v>M</x:v>
      </x:c>
      <x:c r="AA29" t="str">
        <x:v>Not available in governed source</x:v>
      </x:c>
      <x:c r="AB29" t="str">
        <x:v>Not available in governed source</x:v>
      </x:c>
      <x:c r="AC29" t="str">
        <x:v>FY2025/26</x:v>
      </x:c>
      <x:c r="AD29" t="str">
        <x:v>Modelled</x:v>
      </x:c>
      <x:c r="AE29" t="str">
        <x:v>2026 bridge AADT rebuilt from host-link traffic history, annual collection-link history, same-road corridor history and spatial count-station influence. Vehicle-class values are assigned from functional-class shares.</x:v>
      </x:c>
      <x:c r="AF29" t="str">
        <x:v>Placed on exact national road host link</x:v>
      </x:c>
    </x:row>
    <x:row r="30" ht="15" hidden="0" customHeight="1">
      <x:c r="A30" t="str">
        <x:v>bridge-029</x:v>
      </x:c>
      <x:c r="B30" t="str">
        <x:v>B633</x:v>
      </x:c>
      <x:c r="C30" t="str">
        <x:v>Nambigirwa Bridge 2</x:v>
      </x:c>
      <x:c r="D30" t="str">
        <x:v>C575_Link01</x:v>
      </x:c>
      <x:c r="E30" t="str">
        <x:v>Kibuku - Nyabushozi</x:v>
      </x:c>
      <x:c r="F30" t="str">
        <x:v>C</x:v>
      </x:c>
      <x:c r="G30" t="str">
        <x:v>Western</x:v>
      </x:c>
      <x:c r="H30" t="str">
        <x:v>Fort Portal</x:v>
      </x:c>
      <x:c r="I30" t="str">
        <x:v>Mpanga River</x:v>
      </x:c>
      <x:c r="J30" t="str">
        <x:v>Marginal</x:v>
      </x:c>
      <x:c r="K30" t="n">
        <x:v>32.5114</x:v>
      </x:c>
      <x:c r="L30" t="n">
        <x:v>0.1266</x:v>
      </x:c>
      <x:c r="M30" t="n">
        <x:v>32.51145</x:v>
      </x:c>
      <x:c r="N30" t="n">
        <x:v>0.126609</x:v>
      </x:c>
      <x:c r="O30" t="n">
        <x:v>20711.35</x:v>
      </x:c>
      <x:c r="P30" t="n">
        <x:f>IFERROR(INDEX(Assumptions!$B$9:$B$13,MATCH(F30,Assumptions!$A$9:$A$13,0)),0.15)</x:f>
        <x:v>0.28</x:v>
      </x:c>
      <x:c r="Q30" t="n">
        <x:f>ROUND(O30*(1-P30),0)</x:f>
        <x:v>14912</x:v>
      </x:c>
      <x:c r="R30" t="n">
        <x:f>ROUND(O30*P30,0)</x:f>
        <x:v>5799</x:v>
      </x:c>
      <x:c r="S30" t="n">
        <x:f>ROUND(O30*IFERROR(INDEX(Assumptions!$C$9:$C$13,MATCH(F30,Assumptions!$A$9:$A$13,0)),0.55),0)</x:f>
        <x:v>10356</x:v>
      </x:c>
      <x:c r="T30" t="n">
        <x:f>ROUND(O30*IFERROR(INDEX(Assumptions!$D$9:$D$13,MATCH(F30,Assumptions!$A$9:$A$13,0)),0.06),0)</x:f>
        <x:v>1036</x:v>
      </x:c>
      <x:c r="U30" t="n">
        <x:f>ROUND(O30*IFERROR(INDEX(Assumptions!$E$9:$E$13,MATCH(F30,Assumptions!$A$9:$A$13,0)),0.15),0)</x:f>
        <x:v>2278</x:v>
      </x:c>
      <x:c r="V30" t="n">
        <x:f>MAX(0,O30-SUM(R30:U30))</x:f>
        <x:v>1242.3499999999985</x:v>
      </x:c>
      <x:c r="W30" t="n">
        <x:f>MIN(100,40+IF(O30&gt;0,20,0)+IF(M30&lt;&gt;"",20,0)+IF(AF30&lt;&gt;"",20,0))</x:f>
        <x:v>100</x:v>
      </x:c>
      <x:c r="X30" t="str">
        <x:v>Placed on exact national road host link</x:v>
      </x:c>
      <x:c r="Y30" t="str">
        <x:v>Paved</x:v>
      </x:c>
      <x:c r="Z30" t="str">
        <x:v>C</x:v>
      </x:c>
      <x:c r="AA30" t="str">
        <x:v>Not available in governed source</x:v>
      </x:c>
      <x:c r="AB30" t="str">
        <x:v>Not available in governed source</x:v>
      </x:c>
      <x:c r="AC30" t="str">
        <x:v>FY2025/26</x:v>
      </x:c>
      <x:c r="AD30" t="str">
        <x:v>Modelled</x:v>
      </x:c>
      <x:c r="AE30" t="str">
        <x:v>2026 bridge AADT rebuilt from host-link traffic history, annual collection-link history, same-road corridor history and spatial count-station influence. Vehicle-class values are assigned from functional-class shares.</x:v>
      </x:c>
      <x:c r="AF30" t="str">
        <x:v>Placed on exact national road host link</x:v>
      </x:c>
    </x:row>
    <x:row r="31" ht="15" hidden="0" customHeight="1">
      <x:c r="A31" t="str">
        <x:v>bridge-030</x:v>
      </x:c>
      <x:c r="B31" t="str">
        <x:v>B015</x:v>
      </x:c>
      <x:c r="C31" t="str">
        <x:v>Mpanga</x:v>
      </x:c>
      <x:c r="D31" t="str">
        <x:v>A005_Link10</x:v>
      </x:c>
      <x:c r="E31" t="str">
        <x:v>Kyenjojo - Rugombe - Fortportal</x:v>
      </x:c>
      <x:c r="F31" t="str">
        <x:v>A</x:v>
      </x:c>
      <x:c r="G31" t="str">
        <x:v>Western</x:v>
      </x:c>
      <x:c r="H31" t="str">
        <x:v>Fort Portal</x:v>
      </x:c>
      <x:c r="I31" t="str">
        <x:v>Mpanga River</x:v>
      </x:c>
      <x:c r="J31" t="str">
        <x:v>Satisfactory</x:v>
      </x:c>
      <x:c r="K31" t="n">
        <x:v>30.2780990600586</x:v>
      </x:c>
      <x:c r="L31" t="n">
        <x:v>0.656899988651276</x:v>
      </x:c>
      <x:c r="M31" t="n">
        <x:v>30.2780990600586</x:v>
      </x:c>
      <x:c r="N31" t="n">
        <x:v>0.656899988651276</x:v>
      </x:c>
      <x:c r="O31" t="n">
        <x:v>0</x:v>
      </x:c>
      <x:c r="P31" t="n">
        <x:f>IFERROR(INDEX(Assumptions!$B$9:$B$13,MATCH(F31,Assumptions!$A$9:$A$13,0)),0.15)</x:f>
        <x:v>0.12</x:v>
      </x:c>
      <x:c r="Q31" t="n">
        <x:f>ROUND(O31*(1-P31),0)</x:f>
        <x:v>0</x:v>
      </x:c>
      <x:c r="R31" t="n">
        <x:f>ROUND(O31*P31,0)</x:f>
        <x:v>0</x:v>
      </x:c>
      <x:c r="S31" t="n">
        <x:f>ROUND(O31*IFERROR(INDEX(Assumptions!$C$9:$C$13,MATCH(F31,Assumptions!$A$9:$A$13,0)),0.55),0)</x:f>
        <x:v>0</x:v>
      </x:c>
      <x:c r="T31" t="n">
        <x:f>ROUND(O31*IFERROR(INDEX(Assumptions!$D$9:$D$13,MATCH(F31,Assumptions!$A$9:$A$13,0)),0.06),0)</x:f>
        <x:v>0</x:v>
      </x:c>
      <x:c r="U31" t="n">
        <x:f>ROUND(O31*IFERROR(INDEX(Assumptions!$E$9:$E$13,MATCH(F31,Assumptions!$A$9:$A$13,0)),0.15),0)</x:f>
        <x:v>0</x:v>
      </x:c>
      <x:c r="V31" t="n">
        <x:f>MAX(0,O31-SUM(R31:U31))</x:f>
        <x:v>0</x:v>
      </x:c>
      <x:c r="W31" t="n">
        <x:f>MIN(100,40+IF(O31&gt;0,20,0)+IF(M31&lt;&gt;"",20,0)+IF(AF31&lt;&gt;"",20,0))</x:f>
        <x:v>80</x:v>
      </x:c>
      <x:c r="X31" t="str">
        <x:v>manual</x:v>
      </x:c>
      <x:c r="Y31" t="str">
        <x:v>Unpaved</x:v>
      </x:c>
      <x:c r="Z31" t="str">
        <x:v>A</x:v>
      </x:c>
      <x:c r="AA31" t="str">
        <x:v>Not available in governed source</x:v>
      </x:c>
      <x:c r="AB31" t="str">
        <x:v>Not available in governed source</x:v>
      </x:c>
      <x:c r="AC31" t="str">
        <x:v>FY2025/26</x:v>
      </x:c>
      <x:c r="AD31" t="str">
        <x:v>Modelled</x:v>
      </x:c>
      <x:c r="AE31" t="str">
        <x:v>2026 bridge AADT rebuilt from host-link traffic history, annual collection-link history, same-road corridor history and spatial count-station influence. Vehicle-class values are assigned from functional-class shares.</x:v>
      </x:c>
      <x:c r="AF31" t="str">
        <x:v>manual</x:v>
      </x:c>
    </x:row>
    <x:row r="32" ht="15" hidden="0" customHeight="1">
      <x:c r="A32" t="str">
        <x:v>bridge-031</x:v>
      </x:c>
      <x:c r="B32" t="str">
        <x:v>B721</x:v>
      </x:c>
      <x:c r="C32" t="str">
        <x:v>Kajjansi overbridge 2 KEE B12</x:v>
      </x:c>
      <x:c r="D32" t="str">
        <x:v>M3_Link01</x:v>
      </x:c>
      <x:c r="E32" t="str">
        <x:v>Kampala - Entebbe Expressway</x:v>
      </x:c>
      <x:c r="F32" t="str">
        <x:v>M</x:v>
      </x:c>
      <x:c r="G32" t="str">
        <x:v>Central</x:v>
      </x:c>
      <x:c r="H32" t="str">
        <x:v>Kampala</x:v>
      </x:c>
      <x:c r="I32" t="str">
        <x:v>RWIMI</x:v>
      </x:c>
      <x:c r="J32" t="str">
        <x:v>Good</x:v>
      </x:c>
      <x:c r="K32" t="n">
        <x:v>32.5282</x:v>
      </x:c>
      <x:c r="L32" t="n">
        <x:v>0.2053</x:v>
      </x:c>
      <x:c r="M32" t="n">
        <x:v>32.528892</x:v>
      </x:c>
      <x:c r="N32" t="n">
        <x:v>0.20514</x:v>
      </x:c>
      <x:c r="O32" t="n">
        <x:v>20711.35</x:v>
      </x:c>
      <x:c r="P32" t="n">
        <x:f>IFERROR(INDEX(Assumptions!$B$9:$B$13,MATCH(F32,Assumptions!$A$9:$A$13,0)),0.15)</x:f>
        <x:v>0.08</x:v>
      </x:c>
      <x:c r="Q32" t="n">
        <x:f>ROUND(O32*(1-P32),0)</x:f>
        <x:v>19054</x:v>
      </x:c>
      <x:c r="R32" t="n">
        <x:f>ROUND(O32*P32,0)</x:f>
        <x:v>1657</x:v>
      </x:c>
      <x:c r="S32" t="n">
        <x:f>ROUND(O32*IFERROR(INDEX(Assumptions!$C$9:$C$13,MATCH(F32,Assumptions!$A$9:$A$13,0)),0.55),0)</x:f>
        <x:v>12841</x:v>
      </x:c>
      <x:c r="T32" t="n">
        <x:f>ROUND(O32*IFERROR(INDEX(Assumptions!$D$9:$D$13,MATCH(F32,Assumptions!$A$9:$A$13,0)),0.06),0)</x:f>
        <x:v>1657</x:v>
      </x:c>
      <x:c r="U32" t="n">
        <x:f>ROUND(O32*IFERROR(INDEX(Assumptions!$E$9:$E$13,MATCH(F32,Assumptions!$A$9:$A$13,0)),0.15),0)</x:f>
        <x:v>3728</x:v>
      </x:c>
      <x:c r="V32" t="n">
        <x:f>MAX(0,O32-SUM(R32:U32))</x:f>
        <x:v>828.3499999999985</x:v>
      </x:c>
      <x:c r="W32" t="n">
        <x:f>MIN(100,40+IF(O32&gt;0,20,0)+IF(M32&lt;&gt;"",20,0)+IF(AF32&lt;&gt;"",20,0))</x:f>
        <x:v>100</x:v>
      </x:c>
      <x:c r="X32" t="str">
        <x:v>Placed on exact national road host link</x:v>
      </x:c>
      <x:c r="Y32" t="str">
        <x:v>Paved</x:v>
      </x:c>
      <x:c r="Z32" t="str">
        <x:v>M</x:v>
      </x:c>
      <x:c r="AA32" t="str">
        <x:v>Not available in governed source</x:v>
      </x:c>
      <x:c r="AB32" t="str">
        <x:v>Not available in governed source</x:v>
      </x:c>
      <x:c r="AC32" t="str">
        <x:v>FY2025/26</x:v>
      </x:c>
      <x:c r="AD32" t="str">
        <x:v>Modelled</x:v>
      </x:c>
      <x:c r="AE32" t="str">
        <x:v>2026 bridge AADT rebuilt from host-link traffic history, annual collection-link history, same-road corridor history and spatial count-station influence. Vehicle-class values are assigned from functional-class shares.</x:v>
      </x:c>
      <x:c r="AF32" t="str">
        <x:v>Placed on exact national road host link</x:v>
      </x:c>
    </x:row>
    <x:row r="33" ht="15" hidden="0" customHeight="1">
      <x:c r="A33" t="str">
        <x:v>bridge-032</x:v>
      </x:c>
      <x:c r="B33" t="str">
        <x:v>B722</x:v>
      </x:c>
      <x:c r="C33" t="str">
        <x:v>Mpalla 1</x:v>
      </x:c>
      <x:c r="D33" t="str">
        <x:v>C677_Link02</x:v>
      </x:c>
      <x:c r="E33" t="str">
        <x:v>Kalongo - Kitgum Matidi</x:v>
      </x:c>
      <x:c r="F33" t="str">
        <x:v>C</x:v>
      </x:c>
      <x:c r="G33" t="str">
        <x:v>Northern</x:v>
      </x:c>
      <x:c r="H33" t="str">
        <x:v>Kitgum</x:v>
      </x:c>
      <x:c r="I33" t="str">
        <x:v>RWIMI</x:v>
      </x:c>
      <x:c r="J33" t="str">
        <x:v>Good</x:v>
      </x:c>
      <x:c r="K33" t="n">
        <x:v>32.5126</x:v>
      </x:c>
      <x:c r="L33" t="n">
        <x:v>0.1064</x:v>
      </x:c>
      <x:c r="M33" t="n">
        <x:v>33.270755</x:v>
      </x:c>
      <x:c r="N33" t="n">
        <x:v>3.091984</x:v>
      </x:c>
      <x:c r="O33" t="n">
        <x:v>726.62</x:v>
      </x:c>
      <x:c r="P33" t="n">
        <x:f>IFERROR(INDEX(Assumptions!$B$9:$B$13,MATCH(F33,Assumptions!$A$9:$A$13,0)),0.15)</x:f>
        <x:v>0.28</x:v>
      </x:c>
      <x:c r="Q33" t="n">
        <x:f>ROUND(O33*(1-P33),0)</x:f>
        <x:v>523</x:v>
      </x:c>
      <x:c r="R33" t="n">
        <x:f>ROUND(O33*P33,0)</x:f>
        <x:v>203</x:v>
      </x:c>
      <x:c r="S33" t="n">
        <x:f>ROUND(O33*IFERROR(INDEX(Assumptions!$C$9:$C$13,MATCH(F33,Assumptions!$A$9:$A$13,0)),0.55),0)</x:f>
        <x:v>363</x:v>
      </x:c>
      <x:c r="T33" t="n">
        <x:f>ROUND(O33*IFERROR(INDEX(Assumptions!$D$9:$D$13,MATCH(F33,Assumptions!$A$9:$A$13,0)),0.06),0)</x:f>
        <x:v>36</x:v>
      </x:c>
      <x:c r="U33" t="n">
        <x:f>ROUND(O33*IFERROR(INDEX(Assumptions!$E$9:$E$13,MATCH(F33,Assumptions!$A$9:$A$13,0)),0.15),0)</x:f>
        <x:v>80</x:v>
      </x:c>
      <x:c r="V33" t="n">
        <x:f>MAX(0,O33-SUM(R33:U33))</x:f>
        <x:v>44.620000000000005</x:v>
      </x:c>
      <x:c r="W33" t="n">
        <x:f>MIN(100,40+IF(O33&gt;0,20,0)+IF(M33&lt;&gt;"",20,0)+IF(AF33&lt;&gt;"",20,0))</x:f>
        <x:v>100</x:v>
      </x:c>
      <x:c r="X33" t="str">
        <x:v>Placed on exact national road host link</x:v>
      </x:c>
      <x:c r="Y33" t="str">
        <x:v>Unpaved</x:v>
      </x:c>
      <x:c r="Z33" t="str">
        <x:v>C</x:v>
      </x:c>
      <x:c r="AA33" t="str">
        <x:v>Not available in governed source</x:v>
      </x:c>
      <x:c r="AB33" t="str">
        <x:v>Not available in governed source</x:v>
      </x:c>
      <x:c r="AC33" t="str">
        <x:v>FY2025/26</x:v>
      </x:c>
      <x:c r="AD33" t="str">
        <x:v>Modelled</x:v>
      </x:c>
      <x:c r="AE33" t="str">
        <x:v>2026 bridge AADT rebuilt from host-link traffic history, annual collection-link history, same-road corridor history and spatial count-station influence. Vehicle-class values are assigned from functional-class shares.</x:v>
      </x:c>
      <x:c r="AF33" t="str">
        <x:v>Placed on exact national road host link</x:v>
      </x:c>
    </x:row>
    <x:row r="34" ht="15" hidden="0" customHeight="1">
      <x:c r="A34" t="str">
        <x:v>bridge-033</x:v>
      </x:c>
      <x:c r="B34" t="str">
        <x:v>B016</x:v>
      </x:c>
      <x:c r="C34" t="str">
        <x:v>RWIMI</x:v>
      </x:c>
      <x:c r="D34" t="str">
        <x:v>A005_Link11</x:v>
      </x:c>
      <x:c r="E34" t="str">
        <x:v>FortPortal - Rwimi(bridge)</x:v>
      </x:c>
      <x:c r="F34" t="str">
        <x:v>A</x:v>
      </x:c>
      <x:c r="G34" t="str">
        <x:v>Western</x:v>
      </x:c>
      <x:c r="H34" t="str">
        <x:v>Fort Portal</x:v>
      </x:c>
      <x:c r="I34" t="str">
        <x:v>RWIMI</x:v>
      </x:c>
      <x:c r="J34" t="str">
        <x:v>Good</x:v>
      </x:c>
      <x:c r="K34" t="n">
        <x:v>30.211411</x:v>
      </x:c>
      <x:c r="L34" t="n">
        <x:v>0.37333</x:v>
      </x:c>
      <x:c r="M34" t="n">
        <x:v>30.211397</x:v>
      </x:c>
      <x:c r="N34" t="n">
        <x:v>0.373341</x:v>
      </x:c>
      <x:c r="O34" t="n">
        <x:v>5246.59</x:v>
      </x:c>
      <x:c r="P34" t="n">
        <x:f>IFERROR(INDEX(Assumptions!$B$9:$B$13,MATCH(F34,Assumptions!$A$9:$A$13,0)),0.15)</x:f>
        <x:v>0.12</x:v>
      </x:c>
      <x:c r="Q34" t="n">
        <x:f>ROUND(O34*(1-P34),0)</x:f>
        <x:v>4617</x:v>
      </x:c>
      <x:c r="R34" t="n">
        <x:f>ROUND(O34*P34,0)</x:f>
        <x:v>630</x:v>
      </x:c>
      <x:c r="S34" t="n">
        <x:f>ROUND(O34*IFERROR(INDEX(Assumptions!$C$9:$C$13,MATCH(F34,Assumptions!$A$9:$A$13,0)),0.55),0)</x:f>
        <x:v>3043</x:v>
      </x:c>
      <x:c r="T34" t="n">
        <x:f>ROUND(O34*IFERROR(INDEX(Assumptions!$D$9:$D$13,MATCH(F34,Assumptions!$A$9:$A$13,0)),0.06),0)</x:f>
        <x:v>420</x:v>
      </x:c>
      <x:c r="U34" t="n">
        <x:f>ROUND(O34*IFERROR(INDEX(Assumptions!$E$9:$E$13,MATCH(F34,Assumptions!$A$9:$A$13,0)),0.15),0)</x:f>
        <x:v>944</x:v>
      </x:c>
      <x:c r="V34" t="n">
        <x:f>MAX(0,O34-SUM(R34:U34))</x:f>
        <x:v>209.59000000000015</x:v>
      </x:c>
      <x:c r="W34" t="n">
        <x:f>MIN(100,40+IF(O34&gt;0,20,0)+IF(M34&lt;&gt;"",20,0)+IF(AF34&lt;&gt;"",20,0))</x:f>
        <x:v>100</x:v>
      </x:c>
      <x:c r="X34" t="str">
        <x:v>Placed on exact national road host link</x:v>
      </x:c>
      <x:c r="Y34" t="str">
        <x:v>Paved</x:v>
      </x:c>
      <x:c r="Z34" t="str">
        <x:v>A</x:v>
      </x:c>
      <x:c r="AA34" t="str">
        <x:v>Not available in governed source</x:v>
      </x:c>
      <x:c r="AB34" t="str">
        <x:v>Not available in governed source</x:v>
      </x:c>
      <x:c r="AC34" t="str">
        <x:v>FY2025/26</x:v>
      </x:c>
      <x:c r="AD34" t="str">
        <x:v>Modelled</x:v>
      </x:c>
      <x:c r="AE34" t="str">
        <x:v>2026 bridge AADT rebuilt from host-link traffic history, annual collection-link history, same-road corridor history and spatial count-station influence. Vehicle-class values are assigned from functional-class shares.</x:v>
      </x:c>
      <x:c r="AF34" t="str">
        <x:v>Placed on exact national road host link</x:v>
      </x:c>
    </x:row>
    <x:row r="35" ht="15" hidden="0" customHeight="1">
      <x:c r="A35" t="str">
        <x:v>bridge-034</x:v>
      </x:c>
      <x:c r="B35" t="str">
        <x:v>B723</x:v>
      </x:c>
      <x:c r="C35" t="str">
        <x:v>Kajjansi overbridge 3 KEE 13</x:v>
      </x:c>
      <x:c r="D35" t="str">
        <x:v>M3_Link01</x:v>
      </x:c>
      <x:c r="E35" t="str">
        <x:v>Kampala - Entebbe Expressway</x:v>
      </x:c>
      <x:c r="F35" t="str">
        <x:v>M</x:v>
      </x:c>
      <x:c r="G35" t="str">
        <x:v>Central</x:v>
      </x:c>
      <x:c r="H35" t="str">
        <x:v>Kampala</x:v>
      </x:c>
      <x:c r="I35" t="str">
        <x:v>Road Over Road</x:v>
      </x:c>
      <x:c r="J35" t="str">
        <x:v>Marginal</x:v>
      </x:c>
      <x:c r="K35" t="n">
        <x:v>32.5262</x:v>
      </x:c>
      <x:c r="L35" t="n">
        <x:v>0.1974</x:v>
      </x:c>
      <x:c r="M35" t="n">
        <x:v>32.527008</x:v>
      </x:c>
      <x:c r="N35" t="n">
        <x:v>0.197212</x:v>
      </x:c>
      <x:c r="O35" t="n">
        <x:v>20711.35</x:v>
      </x:c>
      <x:c r="P35" t="n">
        <x:f>IFERROR(INDEX(Assumptions!$B$9:$B$13,MATCH(F35,Assumptions!$A$9:$A$13,0)),0.15)</x:f>
        <x:v>0.08</x:v>
      </x:c>
      <x:c r="Q35" t="n">
        <x:f>ROUND(O35*(1-P35),0)</x:f>
        <x:v>19054</x:v>
      </x:c>
      <x:c r="R35" t="n">
        <x:f>ROUND(O35*P35,0)</x:f>
        <x:v>1657</x:v>
      </x:c>
      <x:c r="S35" t="n">
        <x:f>ROUND(O35*IFERROR(INDEX(Assumptions!$C$9:$C$13,MATCH(F35,Assumptions!$A$9:$A$13,0)),0.55),0)</x:f>
        <x:v>12841</x:v>
      </x:c>
      <x:c r="T35" t="n">
        <x:f>ROUND(O35*IFERROR(INDEX(Assumptions!$D$9:$D$13,MATCH(F35,Assumptions!$A$9:$A$13,0)),0.06),0)</x:f>
        <x:v>1657</x:v>
      </x:c>
      <x:c r="U35" t="n">
        <x:f>ROUND(O35*IFERROR(INDEX(Assumptions!$E$9:$E$13,MATCH(F35,Assumptions!$A$9:$A$13,0)),0.15),0)</x:f>
        <x:v>3728</x:v>
      </x:c>
      <x:c r="V35" t="n">
        <x:f>MAX(0,O35-SUM(R35:U35))</x:f>
        <x:v>828.3499999999985</x:v>
      </x:c>
      <x:c r="W35" t="n">
        <x:f>MIN(100,40+IF(O35&gt;0,20,0)+IF(M35&lt;&gt;"",20,0)+IF(AF35&lt;&gt;"",20,0))</x:f>
        <x:v>100</x:v>
      </x:c>
      <x:c r="X35" t="str">
        <x:v>Placed on exact national road host link</x:v>
      </x:c>
      <x:c r="Y35" t="str">
        <x:v>Paved</x:v>
      </x:c>
      <x:c r="Z35" t="str">
        <x:v>M</x:v>
      </x:c>
      <x:c r="AA35" t="str">
        <x:v>Not available in governed source</x:v>
      </x:c>
      <x:c r="AB35" t="str">
        <x:v>Not available in governed source</x:v>
      </x:c>
      <x:c r="AC35" t="str">
        <x:v>FY2025/26</x:v>
      </x:c>
      <x:c r="AD35" t="str">
        <x:v>Modelled</x:v>
      </x:c>
      <x:c r="AE35" t="str">
        <x:v>2026 bridge AADT rebuilt from host-link traffic history, annual collection-link history, same-road corridor history and spatial count-station influence. Vehicle-class values are assigned from functional-class shares.</x:v>
      </x:c>
      <x:c r="AF35" t="str">
        <x:v>Placed on exact national road host link</x:v>
      </x:c>
    </x:row>
    <x:row r="36" ht="15" hidden="0" customHeight="1">
      <x:c r="A36" t="str">
        <x:v>bridge-035</x:v>
      </x:c>
      <x:c r="B36" t="str">
        <x:v>B017</x:v>
      </x:c>
      <x:c r="C36" t="str">
        <x:v>Mpalla 2</x:v>
      </x:c>
      <x:c r="D36" t="str">
        <x:v>C963_Link02</x:v>
      </x:c>
      <x:c r="E36" t="str">
        <x:v>Lokitanyara-Loro-Amudat</x:v>
      </x:c>
      <x:c r="F36" t="str">
        <x:v>C</x:v>
      </x:c>
      <x:c r="G36" t="str">
        <x:v>North Eastern</x:v>
      </x:c>
      <x:c r="H36" t="str">
        <x:v>Moroto</x:v>
      </x:c>
      <x:c r="I36" t="str">
        <x:v>Mpalla Stream</x:v>
      </x:c>
      <x:c r="J36" t="str">
        <x:v>Marginal</x:v>
      </x:c>
      <x:c r="K36" t="n">
        <x:v>32.5123</x:v>
      </x:c>
      <x:c r="L36" t="n">
        <x:v>0.1058</x:v>
      </x:c>
      <x:c r="M36" t="n">
        <x:v>34.91421</x:v>
      </x:c>
      <x:c r="N36" t="n">
        <x:v>2.317555</x:v>
      </x:c>
      <x:c r="O36" t="n">
        <x:v>126.84</x:v>
      </x:c>
      <x:c r="P36" t="n">
        <x:f>IFERROR(INDEX(Assumptions!$B$9:$B$13,MATCH(F36,Assumptions!$A$9:$A$13,0)),0.15)</x:f>
        <x:v>0.28</x:v>
      </x:c>
      <x:c r="Q36" t="n">
        <x:f>ROUND(O36*(1-P36),0)</x:f>
        <x:v>91</x:v>
      </x:c>
      <x:c r="R36" t="n">
        <x:f>ROUND(O36*P36,0)</x:f>
        <x:v>36</x:v>
      </x:c>
      <x:c r="S36" t="n">
        <x:f>ROUND(O36*IFERROR(INDEX(Assumptions!$C$9:$C$13,MATCH(F36,Assumptions!$A$9:$A$13,0)),0.55),0)</x:f>
        <x:v>63</x:v>
      </x:c>
      <x:c r="T36" t="n">
        <x:f>ROUND(O36*IFERROR(INDEX(Assumptions!$D$9:$D$13,MATCH(F36,Assumptions!$A$9:$A$13,0)),0.06),0)</x:f>
        <x:v>6</x:v>
      </x:c>
      <x:c r="U36" t="n">
        <x:f>ROUND(O36*IFERROR(INDEX(Assumptions!$E$9:$E$13,MATCH(F36,Assumptions!$A$9:$A$13,0)),0.15),0)</x:f>
        <x:v>14</x:v>
      </x:c>
      <x:c r="V36" t="n">
        <x:f>MAX(0,O36-SUM(R36:U36))</x:f>
        <x:v>7.840000000000003</x:v>
      </x:c>
      <x:c r="W36" t="n">
        <x:f>MIN(100,40+IF(O36&gt;0,20,0)+IF(M36&lt;&gt;"",20,0)+IF(AF36&lt;&gt;"",20,0))</x:f>
        <x:v>100</x:v>
      </x:c>
      <x:c r="X36" t="str">
        <x:v>Placed on exact national road host link</x:v>
      </x:c>
      <x:c r="Y36" t="str">
        <x:v>Unpaved</x:v>
      </x:c>
      <x:c r="Z36" t="str">
        <x:v>C</x:v>
      </x:c>
      <x:c r="AA36" t="str">
        <x:v>Not available in governed source</x:v>
      </x:c>
      <x:c r="AB36" t="str">
        <x:v>Not available in governed source</x:v>
      </x:c>
      <x:c r="AC36" t="str">
        <x:v>FY2025/26</x:v>
      </x:c>
      <x:c r="AD36" t="str">
        <x:v>Modelled</x:v>
      </x:c>
      <x:c r="AE36" t="str">
        <x:v>2026 bridge AADT rebuilt from host-link traffic history, annual collection-link history, same-road corridor history and spatial count-station influence. Vehicle-class values are assigned from functional-class shares.</x:v>
      </x:c>
      <x:c r="AF36" t="str">
        <x:v>Placed on exact national road host link</x:v>
      </x:c>
    </x:row>
    <x:row r="37" ht="15" hidden="0" customHeight="1">
      <x:c r="A37" t="str">
        <x:v>bridge-036</x:v>
      </x:c>
      <x:c r="B37" t="str">
        <x:v>B644</x:v>
      </x:c>
      <x:c r="C37" t="str">
        <x:v>Nsonja</x:v>
      </x:c>
      <x:c r="D37" t="str">
        <x:v>C547_Link01</x:v>
      </x:c>
      <x:c r="E37" t="str">
        <x:v>Rwimi-Dura-Kamwenge</x:v>
      </x:c>
      <x:c r="F37" t="str">
        <x:v>C</x:v>
      </x:c>
      <x:c r="G37" t="str">
        <x:v>Western</x:v>
      </x:c>
      <x:c r="H37" t="str">
        <x:v>Fort Portal</x:v>
      </x:c>
      <x:c r="I37" t="str">
        <x:v>Nsonja River</x:v>
      </x:c>
      <x:c r="J37" t="str">
        <x:v>Marginal</x:v>
      </x:c>
      <x:c r="K37" t="n">
        <x:v>30.27809</x:v>
      </x:c>
      <x:c r="L37" t="n">
        <x:v>0.349995</x:v>
      </x:c>
      <x:c r="M37" t="n">
        <x:v>30.380972</x:v>
      </x:c>
      <x:c r="N37" t="n">
        <x:v>0.132079</x:v>
      </x:c>
      <x:c r="O37" t="n">
        <x:v>3312.86</x:v>
      </x:c>
      <x:c r="P37" t="n">
        <x:f>IFERROR(INDEX(Assumptions!$B$9:$B$13,MATCH(F37,Assumptions!$A$9:$A$13,0)),0.15)</x:f>
        <x:v>0.28</x:v>
      </x:c>
      <x:c r="Q37" t="n">
        <x:f>ROUND(O37*(1-P37),0)</x:f>
        <x:v>2385</x:v>
      </x:c>
      <x:c r="R37" t="n">
        <x:f>ROUND(O37*P37,0)</x:f>
        <x:v>928</x:v>
      </x:c>
      <x:c r="S37" t="n">
        <x:f>ROUND(O37*IFERROR(INDEX(Assumptions!$C$9:$C$13,MATCH(F37,Assumptions!$A$9:$A$13,0)),0.55),0)</x:f>
        <x:v>1656</x:v>
      </x:c>
      <x:c r="T37" t="n">
        <x:f>ROUND(O37*IFERROR(INDEX(Assumptions!$D$9:$D$13,MATCH(F37,Assumptions!$A$9:$A$13,0)),0.06),0)</x:f>
        <x:v>166</x:v>
      </x:c>
      <x:c r="U37" t="n">
        <x:f>ROUND(O37*IFERROR(INDEX(Assumptions!$E$9:$E$13,MATCH(F37,Assumptions!$A$9:$A$13,0)),0.15),0)</x:f>
        <x:v>364</x:v>
      </x:c>
      <x:c r="V37" t="n">
        <x:f>MAX(0,O37-SUM(R37:U37))</x:f>
        <x:v>198.86000000000013</x:v>
      </x:c>
      <x:c r="W37" t="n">
        <x:f>MIN(100,40+IF(O37&gt;0,20,0)+IF(M37&lt;&gt;"",20,0)+IF(AF37&lt;&gt;"",20,0))</x:f>
        <x:v>100</x:v>
      </x:c>
      <x:c r="X37" t="str">
        <x:v>Placed on exact national road host link</x:v>
      </x:c>
      <x:c r="Y37" t="str">
        <x:v>Unpaved</x:v>
      </x:c>
      <x:c r="Z37" t="str">
        <x:v>C</x:v>
      </x:c>
      <x:c r="AA37" t="str">
        <x:v>Not available in governed source</x:v>
      </x:c>
      <x:c r="AB37" t="str">
        <x:v>Not available in governed source</x:v>
      </x:c>
      <x:c r="AC37" t="str">
        <x:v>FY2025/26</x:v>
      </x:c>
      <x:c r="AD37" t="str">
        <x:v>Modelled</x:v>
      </x:c>
      <x:c r="AE37" t="str">
        <x:v>2026 bridge AADT rebuilt from host-link traffic history, annual collection-link history, same-road corridor history and spatial count-station influence. Vehicle-class values are assigned from functional-class shares.</x:v>
      </x:c>
      <x:c r="AF37" t="str">
        <x:v>Placed on exact national road host link</x:v>
      </x:c>
    </x:row>
    <x:row r="38" ht="15" hidden="0" customHeight="1">
      <x:c r="A38" t="str">
        <x:v>bridge-037</x:v>
      </x:c>
      <x:c r="B38" t="str">
        <x:v>B767</x:v>
      </x:c>
      <x:c r="C38" t="str">
        <x:v>Bumuli overbridge</x:v>
      </x:c>
      <x:c r="D38" t="str">
        <x:v>C963_Link03</x:v>
      </x:c>
      <x:c r="E38" t="str">
        <x:v>Amudat-Alakasi-Kalita</x:v>
      </x:c>
      <x:c r="F38" t="str">
        <x:v>C</x:v>
      </x:c>
      <x:c r="G38" t="str">
        <x:v>North Eastern</x:v>
      </x:c>
      <x:c r="H38" t="str">
        <x:v>Moroto</x:v>
      </x:c>
      <x:c r="I38" t="str">
        <x:v>MUBUKU RIVER</x:v>
      </x:c>
      <x:c r="J38" t="str">
        <x:v>Satisfactory</x:v>
      </x:c>
      <x:c r="K38" t="n">
        <x:v>32.5234</x:v>
      </x:c>
      <x:c r="L38" t="n">
        <x:v>0.1849</x:v>
      </x:c>
      <x:c r="M38" t="n">
        <x:v>30.117778</x:v>
      </x:c>
      <x:c r="N38" t="n">
        <x:v>0.258476</x:v>
      </x:c>
      <x:c r="O38" t="n">
        <x:v>5246.59</x:v>
      </x:c>
      <x:c r="P38" t="n">
        <x:f>IFERROR(INDEX(Assumptions!$B$9:$B$13,MATCH(F38,Assumptions!$A$9:$A$13,0)),0.15)</x:f>
        <x:v>0.28</x:v>
      </x:c>
      <x:c r="Q38" t="n">
        <x:f>ROUND(O38*(1-P38),0)</x:f>
        <x:v>3778</x:v>
      </x:c>
      <x:c r="R38" t="n">
        <x:f>ROUND(O38*P38,0)</x:f>
        <x:v>1469</x:v>
      </x:c>
      <x:c r="S38" t="n">
        <x:f>ROUND(O38*IFERROR(INDEX(Assumptions!$C$9:$C$13,MATCH(F38,Assumptions!$A$9:$A$13,0)),0.55),0)</x:f>
        <x:v>2623</x:v>
      </x:c>
      <x:c r="T38" t="n">
        <x:f>ROUND(O38*IFERROR(INDEX(Assumptions!$D$9:$D$13,MATCH(F38,Assumptions!$A$9:$A$13,0)),0.06),0)</x:f>
        <x:v>262</x:v>
      </x:c>
      <x:c r="U38" t="n">
        <x:f>ROUND(O38*IFERROR(INDEX(Assumptions!$E$9:$E$13,MATCH(F38,Assumptions!$A$9:$A$13,0)),0.15),0)</x:f>
        <x:v>577</x:v>
      </x:c>
      <x:c r="V38" t="n">
        <x:f>MAX(0,O38-SUM(R38:U38))</x:f>
        <x:v>315.59000000000015</x:v>
      </x:c>
      <x:c r="W38" t="n">
        <x:f>MIN(100,40+IF(O38&gt;0,20,0)+IF(M38&lt;&gt;"",20,0)+IF(AF38&lt;&gt;"",20,0))</x:f>
        <x:v>100</x:v>
      </x:c>
      <x:c r="X38" t="str">
        <x:v>Placed on exact national road host link</x:v>
      </x:c>
      <x:c r="Y38" t="str">
        <x:v>Paved</x:v>
      </x:c>
      <x:c r="Z38" t="str">
        <x:v>C</x:v>
      </x:c>
      <x:c r="AA38" t="str">
        <x:v>Not available in governed source</x:v>
      </x:c>
      <x:c r="AB38" t="str">
        <x:v>Not available in governed source</x:v>
      </x:c>
      <x:c r="AC38" t="str">
        <x:v>FY2025/26</x:v>
      </x:c>
      <x:c r="AD38" t="str">
        <x:v>Modelled</x:v>
      </x:c>
      <x:c r="AE38" t="str">
        <x:v>2026 bridge AADT rebuilt from host-link traffic history, annual collection-link history, same-road corridor history and spatial count-station influence. Vehicle-class values are assigned from functional-class shares.</x:v>
      </x:c>
      <x:c r="AF38" t="str">
        <x:v>Placed on exact national road host link</x:v>
      </x:c>
    </x:row>
    <x:row r="39" ht="15" hidden="0" customHeight="1">
      <x:c r="A39" t="str">
        <x:v>bridge-038</x:v>
      </x:c>
      <x:c r="B39" t="str">
        <x:v>B768</x:v>
      </x:c>
      <x:c r="C39" t="str">
        <x:v>Mpalla 3</x:v>
      </x:c>
      <x:c r="D39" t="str">
        <x:v>C964_Link02</x:v>
      </x:c>
      <x:c r="E39" t="str">
        <x:v>Toroma-Magoro</x:v>
      </x:c>
      <x:c r="F39" t="str">
        <x:v>C</x:v>
      </x:c>
      <x:c r="G39" t="str">
        <x:v>North Eastern</x:v>
      </x:c>
      <x:c r="H39" t="str">
        <x:v>Soroti</x:v>
      </x:c>
      <x:c r="I39" t="str">
        <x:v>MUBUKU RIVER</x:v>
      </x:c>
      <x:c r="J39" t="str">
        <x:v>Satisfactory</x:v>
      </x:c>
      <x:c r="K39" t="n">
        <x:v>32.5118</x:v>
      </x:c>
      <x:c r="L39" t="n">
        <x:v>0.105</x:v>
      </x:c>
      <x:c r="M39" t="n">
        <x:v>32.51194</x:v>
      </x:c>
      <x:c r="N39" t="n">
        <x:v>0.105169</x:v>
      </x:c>
      <x:c r="O39" t="n">
        <x:v>20711.35</x:v>
      </x:c>
      <x:c r="P39" t="n">
        <x:f>IFERROR(INDEX(Assumptions!$B$9:$B$13,MATCH(F39,Assumptions!$A$9:$A$13,0)),0.15)</x:f>
        <x:v>0.28</x:v>
      </x:c>
      <x:c r="Q39" t="n">
        <x:f>ROUND(O39*(1-P39),0)</x:f>
        <x:v>14912</x:v>
      </x:c>
      <x:c r="R39" t="n">
        <x:f>ROUND(O39*P39,0)</x:f>
        <x:v>5799</x:v>
      </x:c>
      <x:c r="S39" t="n">
        <x:f>ROUND(O39*IFERROR(INDEX(Assumptions!$C$9:$C$13,MATCH(F39,Assumptions!$A$9:$A$13,0)),0.55),0)</x:f>
        <x:v>10356</x:v>
      </x:c>
      <x:c r="T39" t="n">
        <x:f>ROUND(O39*IFERROR(INDEX(Assumptions!$D$9:$D$13,MATCH(F39,Assumptions!$A$9:$A$13,0)),0.06),0)</x:f>
        <x:v>1036</x:v>
      </x:c>
      <x:c r="U39" t="n">
        <x:f>ROUND(O39*IFERROR(INDEX(Assumptions!$E$9:$E$13,MATCH(F39,Assumptions!$A$9:$A$13,0)),0.15),0)</x:f>
        <x:v>2278</x:v>
      </x:c>
      <x:c r="V39" t="n">
        <x:f>MAX(0,O39-SUM(R39:U39))</x:f>
        <x:v>1242.3499999999985</x:v>
      </x:c>
      <x:c r="W39" t="n">
        <x:f>MIN(100,40+IF(O39&gt;0,20,0)+IF(M39&lt;&gt;"",20,0)+IF(AF39&lt;&gt;"",20,0))</x:f>
        <x:v>100</x:v>
      </x:c>
      <x:c r="X39" t="str">
        <x:v>Placed on exact national road host link</x:v>
      </x:c>
      <x:c r="Y39" t="str">
        <x:v>Paved</x:v>
      </x:c>
      <x:c r="Z39" t="str">
        <x:v>C</x:v>
      </x:c>
      <x:c r="AA39" t="str">
        <x:v>Not available in governed source</x:v>
      </x:c>
      <x:c r="AB39" t="str">
        <x:v>Not available in governed source</x:v>
      </x:c>
      <x:c r="AC39" t="str">
        <x:v>FY2025/26</x:v>
      </x:c>
      <x:c r="AD39" t="str">
        <x:v>Modelled</x:v>
      </x:c>
      <x:c r="AE39" t="str">
        <x:v>2026 bridge AADT rebuilt from host-link traffic history, annual collection-link history, same-road corridor history and spatial count-station influence. Vehicle-class values are assigned from functional-class shares.</x:v>
      </x:c>
      <x:c r="AF39" t="str">
        <x:v>Placed on exact national road host link</x:v>
      </x:c>
    </x:row>
    <x:row r="40" ht="15" hidden="0" customHeight="1">
      <x:c r="A40" t="str">
        <x:v>bridge-039</x:v>
      </x:c>
      <x:c r="B40" t="str">
        <x:v>B018</x:v>
      </x:c>
      <x:c r="C40" t="str">
        <x:v>MUBUKU BRIDGE</x:v>
      </x:c>
      <x:c r="D40" t="str">
        <x:v>A005_Link13</x:v>
      </x:c>
      <x:c r="E40" t="str">
        <x:v>Mubuku - Kasese</x:v>
      </x:c>
      <x:c r="F40" t="str">
        <x:v>A</x:v>
      </x:c>
      <x:c r="G40" t="str">
        <x:v>Southern</x:v>
      </x:c>
      <x:c r="H40" t="str">
        <x:v>Kasese</x:v>
      </x:c>
      <x:c r="I40" t="str">
        <x:v>MUBUKU RIVER</x:v>
      </x:c>
      <x:c r="J40" t="str">
        <x:v>Satisfactory</x:v>
      </x:c>
      <x:c r="K40" t="n">
        <x:v>30.120991</x:v>
      </x:c>
      <x:c r="L40" t="n">
        <x:v>0.2614</x:v>
      </x:c>
      <x:c r="M40" t="n">
        <x:v>30.117778</x:v>
      </x:c>
      <x:c r="N40" t="n">
        <x:v>0.258476</x:v>
      </x:c>
      <x:c r="O40" t="n">
        <x:v>5246.59</x:v>
      </x:c>
      <x:c r="P40" t="n">
        <x:f>IFERROR(INDEX(Assumptions!$B$9:$B$13,MATCH(F40,Assumptions!$A$9:$A$13,0)),0.15)</x:f>
        <x:v>0.12</x:v>
      </x:c>
      <x:c r="Q40" t="n">
        <x:f>ROUND(O40*(1-P40),0)</x:f>
        <x:v>4617</x:v>
      </x:c>
      <x:c r="R40" t="n">
        <x:f>ROUND(O40*P40,0)</x:f>
        <x:v>630</x:v>
      </x:c>
      <x:c r="S40" t="n">
        <x:f>ROUND(O40*IFERROR(INDEX(Assumptions!$C$9:$C$13,MATCH(F40,Assumptions!$A$9:$A$13,0)),0.55),0)</x:f>
        <x:v>3043</x:v>
      </x:c>
      <x:c r="T40" t="n">
        <x:f>ROUND(O40*IFERROR(INDEX(Assumptions!$D$9:$D$13,MATCH(F40,Assumptions!$A$9:$A$13,0)),0.06),0)</x:f>
        <x:v>420</x:v>
      </x:c>
      <x:c r="U40" t="n">
        <x:f>ROUND(O40*IFERROR(INDEX(Assumptions!$E$9:$E$13,MATCH(F40,Assumptions!$A$9:$A$13,0)),0.15),0)</x:f>
        <x:v>944</x:v>
      </x:c>
      <x:c r="V40" t="n">
        <x:f>MAX(0,O40-SUM(R40:U40))</x:f>
        <x:v>209.59000000000015</x:v>
      </x:c>
      <x:c r="W40" t="n">
        <x:f>MIN(100,40+IF(O40&gt;0,20,0)+IF(M40&lt;&gt;"",20,0)+IF(AF40&lt;&gt;"",20,0))</x:f>
        <x:v>100</x:v>
      </x:c>
      <x:c r="X40" t="str">
        <x:v>Placed on exact national road host link</x:v>
      </x:c>
      <x:c r="Y40" t="str">
        <x:v>Paved</x:v>
      </x:c>
      <x:c r="Z40" t="str">
        <x:v>A</x:v>
      </x:c>
      <x:c r="AA40" t="str">
        <x:v>Not available in governed source</x:v>
      </x:c>
      <x:c r="AB40" t="str">
        <x:v>Not available in governed source</x:v>
      </x:c>
      <x:c r="AC40" t="str">
        <x:v>FY2025/26</x:v>
      </x:c>
      <x:c r="AD40" t="str">
        <x:v>Modelled</x:v>
      </x:c>
      <x:c r="AE40" t="str">
        <x:v>2026 bridge AADT rebuilt from host-link traffic history, annual collection-link history, same-road corridor history and spatial count-station influence. Vehicle-class values are assigned from functional-class shares.</x:v>
      </x:c>
      <x:c r="AF40" t="str">
        <x:v>Placed on exact national road host link</x:v>
      </x:c>
    </x:row>
    <x:row r="41" ht="15" hidden="0" customHeight="1">
      <x:c r="A41" t="str">
        <x:v>bridge-040</x:v>
      </x:c>
      <x:c r="B41" t="str">
        <x:v>B769</x:v>
      </x:c>
      <x:c r="C41" t="str">
        <x:v>MUBUKU</x:v>
      </x:c>
      <x:c r="D41" t="str">
        <x:v>C967_Link01</x:v>
      </x:c>
      <x:c r="E41" t="str">
        <x:v>Kokeris - Lopei</x:v>
      </x:c>
      <x:c r="F41" t="str">
        <x:v>C</x:v>
      </x:c>
      <x:c r="G41" t="str">
        <x:v>North Eastern</x:v>
      </x:c>
      <x:c r="H41" t="str">
        <x:v>Moroto</x:v>
      </x:c>
      <x:c r="I41" t="str">
        <x:v>RIVER MUBUKU</x:v>
      </x:c>
      <x:c r="J41" t="str">
        <x:v>Marginal</x:v>
      </x:c>
      <x:c r="K41" t="n">
        <x:v>30.11684</x:v>
      </x:c>
      <x:c r="L41" t="n">
        <x:v>0.25201</x:v>
      </x:c>
      <x:c r="M41" t="n">
        <x:v>30.117351</x:v>
      </x:c>
      <x:c r="N41" t="n">
        <x:v>0.252003</x:v>
      </x:c>
      <x:c r="O41" t="n">
        <x:v>5246.59</x:v>
      </x:c>
      <x:c r="P41" t="n">
        <x:f>IFERROR(INDEX(Assumptions!$B$9:$B$13,MATCH(F41,Assumptions!$A$9:$A$13,0)),0.15)</x:f>
        <x:v>0.28</x:v>
      </x:c>
      <x:c r="Q41" t="n">
        <x:f>ROUND(O41*(1-P41),0)</x:f>
        <x:v>3778</x:v>
      </x:c>
      <x:c r="R41" t="n">
        <x:f>ROUND(O41*P41,0)</x:f>
        <x:v>1469</x:v>
      </x:c>
      <x:c r="S41" t="n">
        <x:f>ROUND(O41*IFERROR(INDEX(Assumptions!$C$9:$C$13,MATCH(F41,Assumptions!$A$9:$A$13,0)),0.55),0)</x:f>
        <x:v>2623</x:v>
      </x:c>
      <x:c r="T41" t="n">
        <x:f>ROUND(O41*IFERROR(INDEX(Assumptions!$D$9:$D$13,MATCH(F41,Assumptions!$A$9:$A$13,0)),0.06),0)</x:f>
        <x:v>262</x:v>
      </x:c>
      <x:c r="U41" t="n">
        <x:f>ROUND(O41*IFERROR(INDEX(Assumptions!$E$9:$E$13,MATCH(F41,Assumptions!$A$9:$A$13,0)),0.15),0)</x:f>
        <x:v>577</x:v>
      </x:c>
      <x:c r="V41" t="n">
        <x:f>MAX(0,O41-SUM(R41:U41))</x:f>
        <x:v>315.59000000000015</x:v>
      </x:c>
      <x:c r="W41" t="n">
        <x:f>MIN(100,40+IF(O41&gt;0,20,0)+IF(M41&lt;&gt;"",20,0)+IF(AF41&lt;&gt;"",20,0))</x:f>
        <x:v>100</x:v>
      </x:c>
      <x:c r="X41" t="str">
        <x:v>Placed on exact national road host link</x:v>
      </x:c>
      <x:c r="Y41" t="str">
        <x:v>Paved</x:v>
      </x:c>
      <x:c r="Z41" t="str">
        <x:v>C</x:v>
      </x:c>
      <x:c r="AA41" t="str">
        <x:v>Not available in governed source</x:v>
      </x:c>
      <x:c r="AB41" t="str">
        <x:v>Not available in governed source</x:v>
      </x:c>
      <x:c r="AC41" t="str">
        <x:v>FY2025/26</x:v>
      </x:c>
      <x:c r="AD41" t="str">
        <x:v>Modelled</x:v>
      </x:c>
      <x:c r="AE41" t="str">
        <x:v>2026 bridge AADT rebuilt from host-link traffic history, annual collection-link history, same-road corridor history and spatial count-station influence. Vehicle-class values are assigned from functional-class shares.</x:v>
      </x:c>
      <x:c r="AF41" t="str">
        <x:v>Placed on exact national road host link</x:v>
      </x:c>
    </x:row>
    <x:row r="42" ht="15" hidden="0" customHeight="1">
      <x:c r="A42" t="str">
        <x:v>bridge-041</x:v>
      </x:c>
      <x:c r="B42" t="str">
        <x:v>B544</x:v>
      </x:c>
      <x:c r="C42" t="str">
        <x:v>NYAMWAMBA BRIDGE</x:v>
      </x:c>
      <x:c r="D42" t="str">
        <x:v>A005_Link13</x:v>
      </x:c>
      <x:c r="E42" t="str">
        <x:v>Mubuku - Kasese</x:v>
      </x:c>
      <x:c r="F42" t="str">
        <x:v>A</x:v>
      </x:c>
      <x:c r="G42" t="str">
        <x:v>Southern</x:v>
      </x:c>
      <x:c r="H42" t="str">
        <x:v>Kasese</x:v>
      </x:c>
      <x:c r="I42" t="str">
        <x:v>NYAMWAMBA RIVER</x:v>
      </x:c>
      <x:c r="J42" t="str">
        <x:v>Good</x:v>
      </x:c>
      <x:c r="K42" t="n">
        <x:v>30.105</x:v>
      </x:c>
      <x:c r="L42" t="n">
        <x:v>0.19445</x:v>
      </x:c>
      <x:c r="M42" t="n">
        <x:v>30.100704</x:v>
      </x:c>
      <x:c r="N42" t="n">
        <x:v>0.191362</x:v>
      </x:c>
      <x:c r="O42" t="n">
        <x:v>5246.59</x:v>
      </x:c>
      <x:c r="P42" t="n">
        <x:f>IFERROR(INDEX(Assumptions!$B$9:$B$13,MATCH(F42,Assumptions!$A$9:$A$13,0)),0.15)</x:f>
        <x:v>0.12</x:v>
      </x:c>
      <x:c r="Q42" t="n">
        <x:f>ROUND(O42*(1-P42),0)</x:f>
        <x:v>4617</x:v>
      </x:c>
      <x:c r="R42" t="n">
        <x:f>ROUND(O42*P42,0)</x:f>
        <x:v>630</x:v>
      </x:c>
      <x:c r="S42" t="n">
        <x:f>ROUND(O42*IFERROR(INDEX(Assumptions!$C$9:$C$13,MATCH(F42,Assumptions!$A$9:$A$13,0)),0.55),0)</x:f>
        <x:v>3043</x:v>
      </x:c>
      <x:c r="T42" t="n">
        <x:f>ROUND(O42*IFERROR(INDEX(Assumptions!$D$9:$D$13,MATCH(F42,Assumptions!$A$9:$A$13,0)),0.06),0)</x:f>
        <x:v>420</x:v>
      </x:c>
      <x:c r="U42" t="n">
        <x:f>ROUND(O42*IFERROR(INDEX(Assumptions!$E$9:$E$13,MATCH(F42,Assumptions!$A$9:$A$13,0)),0.15),0)</x:f>
        <x:v>944</x:v>
      </x:c>
      <x:c r="V42" t="n">
        <x:f>MAX(0,O42-SUM(R42:U42))</x:f>
        <x:v>209.59000000000015</x:v>
      </x:c>
      <x:c r="W42" t="n">
        <x:f>MIN(100,40+IF(O42&gt;0,20,0)+IF(M42&lt;&gt;"",20,0)+IF(AF42&lt;&gt;"",20,0))</x:f>
        <x:v>100</x:v>
      </x:c>
      <x:c r="X42" t="str">
        <x:v>Placed on exact national road host link</x:v>
      </x:c>
      <x:c r="Y42" t="str">
        <x:v>Paved</x:v>
      </x:c>
      <x:c r="Z42" t="str">
        <x:v>A</x:v>
      </x:c>
      <x:c r="AA42" t="str">
        <x:v>Not available in governed source</x:v>
      </x:c>
      <x:c r="AB42" t="str">
        <x:v>Not available in governed source</x:v>
      </x:c>
      <x:c r="AC42" t="str">
        <x:v>FY2025/26</x:v>
      </x:c>
      <x:c r="AD42" t="str">
        <x:v>Modelled</x:v>
      </x:c>
      <x:c r="AE42" t="str">
        <x:v>2026 bridge AADT rebuilt from host-link traffic history, annual collection-link history, same-road corridor history and spatial count-station influence. Vehicle-class values are assigned from functional-class shares.</x:v>
      </x:c>
      <x:c r="AF42" t="str">
        <x:v>Placed on exact national road host link</x:v>
      </x:c>
    </x:row>
    <x:row r="43" ht="15" hidden="0" customHeight="1">
      <x:c r="A43" t="str">
        <x:v>bridge-042</x:v>
      </x:c>
      <x:c r="B43" t="str">
        <x:v>B387</x:v>
      </x:c>
      <x:c r="C43" t="str">
        <x:v>KASEIGA</x:v>
      </x:c>
      <x:c r="D43" t="str">
        <x:v>B152_Link04</x:v>
      </x:c>
      <x:c r="E43" t="str">
        <x:v>Rugazi - Katunguru - Kikorongo</x:v>
      </x:c>
      <x:c r="F43" t="str">
        <x:v>B</x:v>
      </x:c>
      <x:c r="G43" t="str">
        <x:v>Southern</x:v>
      </x:c>
      <x:c r="H43" t="str">
        <x:v>Kasese</x:v>
      </x:c>
      <x:c r="I43" t="str">
        <x:v>NYAMWAMBA</x:v>
      </x:c>
      <x:c r="J43" t="str">
        <x:v>Good</x:v>
      </x:c>
      <x:c r="K43" t="n">
        <x:v>30.0863</x:v>
      </x:c>
      <x:c r="L43" t="n">
        <x:v>-0.1735</x:v>
      </x:c>
      <x:c r="M43" t="n">
        <x:v>33.1872</x:v>
      </x:c>
      <x:c r="N43" t="n">
        <x:v>0.435</x:v>
      </x:c>
      <x:c r="O43" t="n">
        <x:v>5684.07</x:v>
      </x:c>
      <x:c r="P43" t="n">
        <x:f>IFERROR(INDEX(Assumptions!$B$9:$B$13,MATCH(F43,Assumptions!$A$9:$A$13,0)),0.15)</x:f>
        <x:v>0.16</x:v>
      </x:c>
      <x:c r="Q43" t="n">
        <x:f>ROUND(O43*(1-P43),0)</x:f>
        <x:v>4775</x:v>
      </x:c>
      <x:c r="R43" t="n">
        <x:f>ROUND(O43*P43,0)</x:f>
        <x:v>909</x:v>
      </x:c>
      <x:c r="S43" t="n">
        <x:f>ROUND(O43*IFERROR(INDEX(Assumptions!$C$9:$C$13,MATCH(F43,Assumptions!$A$9:$A$13,0)),0.55),0)</x:f>
        <x:v>3183</x:v>
      </x:c>
      <x:c r="T43" t="n">
        <x:f>ROUND(O43*IFERROR(INDEX(Assumptions!$D$9:$D$13,MATCH(F43,Assumptions!$A$9:$A$13,0)),0.06),0)</x:f>
        <x:v>398</x:v>
      </x:c>
      <x:c r="U43" t="n">
        <x:f>ROUND(O43*IFERROR(INDEX(Assumptions!$E$9:$E$13,MATCH(F43,Assumptions!$A$9:$A$13,0)),0.15),0)</x:f>
        <x:v>909</x:v>
      </x:c>
      <x:c r="V43" t="n">
        <x:f>MAX(0,O43-SUM(R43:U43))</x:f>
        <x:v>285.0699999999997</x:v>
      </x:c>
      <x:c r="W43" t="n">
        <x:f>MIN(100,40+IF(O43&gt;0,20,0)+IF(M43&lt;&gt;"",20,0)+IF(AF43&lt;&gt;"",20,0))</x:f>
        <x:v>100</x:v>
      </x:c>
      <x:c r="X43" t="str">
        <x:v>Placed on exact national road host link</x:v>
      </x:c>
      <x:c r="Y43" t="str">
        <x:v>Paved</x:v>
      </x:c>
      <x:c r="Z43" t="str">
        <x:v>B</x:v>
      </x:c>
      <x:c r="AA43" t="str">
        <x:v>Not available in governed source</x:v>
      </x:c>
      <x:c r="AB43" t="str">
        <x:v>Not available in governed source</x:v>
      </x:c>
      <x:c r="AC43" t="str">
        <x:v>FY2025/26</x:v>
      </x:c>
      <x:c r="AD43" t="str">
        <x:v>Modelled</x:v>
      </x:c>
      <x:c r="AE43" t="str">
        <x:v>2026 bridge AADT rebuilt from host-link traffic history, annual collection-link history, same-road corridor history and spatial count-station influence. Vehicle-class values are assigned from functional-class shares.</x:v>
      </x:c>
      <x:c r="AF43" t="str">
        <x:v>Placed on exact national road host link</x:v>
      </x:c>
    </x:row>
    <x:row r="44" ht="15" hidden="0" customHeight="1">
      <x:c r="A44" t="str">
        <x:v>bridge-043</x:v>
      </x:c>
      <x:c r="B44" t="str">
        <x:v>B021</x:v>
      </x:c>
      <x:c r="C44" t="str">
        <x:v>Iriri MPCs</x:v>
      </x:c>
      <x:c r="D44" t="str">
        <x:v>B303_Link03</x:v>
      </x:c>
      <x:c r="E44" t="str">
        <x:v>Iriri - Akisim (Lorengechora) - Ariamoi - Nadunget</x:v>
      </x:c>
      <x:c r="F44" t="str">
        <x:v>B</x:v>
      </x:c>
      <x:c r="G44" t="str">
        <x:v>North Eastern</x:v>
      </x:c>
      <x:c r="H44" t="str">
        <x:v>Moroto</x:v>
      </x:c>
      <x:c r="I44" t="str">
        <x:v>NYAMWAMBA</x:v>
      </x:c>
      <x:c r="J44" t="str">
        <x:v>Good</x:v>
      </x:c>
      <x:c r="K44" t="n">
        <x:v>34.22258</x:v>
      </x:c>
      <x:c r="L44" t="n">
        <x:v>2.09746</x:v>
      </x:c>
      <x:c r="M44" t="n">
        <x:v>34.222484</x:v>
      </x:c>
      <x:c r="N44" t="n">
        <x:v>2.097629</x:v>
      </x:c>
      <x:c r="O44" t="n">
        <x:v>2002.57</x:v>
      </x:c>
      <x:c r="P44" t="n">
        <x:f>IFERROR(INDEX(Assumptions!$B$9:$B$13,MATCH(F44,Assumptions!$A$9:$A$13,0)),0.15)</x:f>
        <x:v>0.16</x:v>
      </x:c>
      <x:c r="Q44" t="n">
        <x:f>ROUND(O44*(1-P44),0)</x:f>
        <x:v>1682</x:v>
      </x:c>
      <x:c r="R44" t="n">
        <x:f>ROUND(O44*P44,0)</x:f>
        <x:v>320</x:v>
      </x:c>
      <x:c r="S44" t="n">
        <x:f>ROUND(O44*IFERROR(INDEX(Assumptions!$C$9:$C$13,MATCH(F44,Assumptions!$A$9:$A$13,0)),0.55),0)</x:f>
        <x:v>1121</x:v>
      </x:c>
      <x:c r="T44" t="n">
        <x:f>ROUND(O44*IFERROR(INDEX(Assumptions!$D$9:$D$13,MATCH(F44,Assumptions!$A$9:$A$13,0)),0.06),0)</x:f>
        <x:v>140</x:v>
      </x:c>
      <x:c r="U44" t="n">
        <x:f>ROUND(O44*IFERROR(INDEX(Assumptions!$E$9:$E$13,MATCH(F44,Assumptions!$A$9:$A$13,0)),0.15),0)</x:f>
        <x:v>320</x:v>
      </x:c>
      <x:c r="V44" t="n">
        <x:f>MAX(0,O44-SUM(R44:U44))</x:f>
        <x:v>101.56999999999994</x:v>
      </x:c>
      <x:c r="W44" t="n">
        <x:f>MIN(100,40+IF(O44&gt;0,20,0)+IF(M44&lt;&gt;"",20,0)+IF(AF44&lt;&gt;"",20,0))</x:f>
        <x:v>100</x:v>
      </x:c>
      <x:c r="X44" t="str">
        <x:v>Placed on exact national road host link</x:v>
      </x:c>
      <x:c r="Y44" t="str">
        <x:v>Paved</x:v>
      </x:c>
      <x:c r="Z44" t="str">
        <x:v>B</x:v>
      </x:c>
      <x:c r="AA44" t="str">
        <x:v>Not available in governed source</x:v>
      </x:c>
      <x:c r="AB44" t="str">
        <x:v>Not available in governed source</x:v>
      </x:c>
      <x:c r="AC44" t="str">
        <x:v>FY2025/26</x:v>
      </x:c>
      <x:c r="AD44" t="str">
        <x:v>Modelled</x:v>
      </x:c>
      <x:c r="AE44" t="str">
        <x:v>2026 bridge AADT rebuilt from host-link traffic history, annual collection-link history, same-road corridor history and spatial count-station influence. Vehicle-class values are assigned from functional-class shares.</x:v>
      </x:c>
      <x:c r="AF44" t="str">
        <x:v>Placed on exact national road host link</x:v>
      </x:c>
    </x:row>
    <x:row r="45" ht="15" hidden="0" customHeight="1">
      <x:c r="A45" t="str">
        <x:v>bridge-044</x:v>
      </x:c>
      <x:c r="B45" t="str">
        <x:v>B022</x:v>
      </x:c>
      <x:c r="C45" t="str">
        <x:v>MPONDWE BRIDGE</x:v>
      </x:c>
      <x:c r="D45" t="str">
        <x:v>A005_LINK15</x:v>
      </x:c>
      <x:c r="E45" t="str">
        <x:v>Kikorongo - Bwera - Mpondwe</x:v>
      </x:c>
      <x:c r="F45" t="str">
        <x:v>A</x:v>
      </x:c>
      <x:c r="G45" t="str">
        <x:v>Southern</x:v>
      </x:c>
      <x:c r="H45" t="str">
        <x:v>Kasese</x:v>
      </x:c>
      <x:c r="I45" t="str">
        <x:v>RUBIRIHA RIVER</x:v>
      </x:c>
      <x:c r="J45" t="str">
        <x:v>Good</x:v>
      </x:c>
      <x:c r="K45" t="n">
        <x:v>29.720169</x:v>
      </x:c>
      <x:c r="L45" t="n">
        <x:v>0.041108</x:v>
      </x:c>
      <x:c r="M45" t="n">
        <x:v>29.72021</x:v>
      </x:c>
      <x:c r="N45" t="n">
        <x:v>0.04122</x:v>
      </x:c>
      <x:c r="O45" t="n">
        <x:v>5246.59</x:v>
      </x:c>
      <x:c r="P45" t="n">
        <x:f>IFERROR(INDEX(Assumptions!$B$9:$B$13,MATCH(F45,Assumptions!$A$9:$A$13,0)),0.15)</x:f>
        <x:v>0.12</x:v>
      </x:c>
      <x:c r="Q45" t="n">
        <x:f>ROUND(O45*(1-P45),0)</x:f>
        <x:v>4617</x:v>
      </x:c>
      <x:c r="R45" t="n">
        <x:f>ROUND(O45*P45,0)</x:f>
        <x:v>630</x:v>
      </x:c>
      <x:c r="S45" t="n">
        <x:f>ROUND(O45*IFERROR(INDEX(Assumptions!$C$9:$C$13,MATCH(F45,Assumptions!$A$9:$A$13,0)),0.55),0)</x:f>
        <x:v>3043</x:v>
      </x:c>
      <x:c r="T45" t="n">
        <x:f>ROUND(O45*IFERROR(INDEX(Assumptions!$D$9:$D$13,MATCH(F45,Assumptions!$A$9:$A$13,0)),0.06),0)</x:f>
        <x:v>420</x:v>
      </x:c>
      <x:c r="U45" t="n">
        <x:f>ROUND(O45*IFERROR(INDEX(Assumptions!$E$9:$E$13,MATCH(F45,Assumptions!$A$9:$A$13,0)),0.15),0)</x:f>
        <x:v>944</x:v>
      </x:c>
      <x:c r="V45" t="n">
        <x:f>MAX(0,O45-SUM(R45:U45))</x:f>
        <x:v>209.59000000000015</x:v>
      </x:c>
      <x:c r="W45" t="n">
        <x:f>MIN(100,40+IF(O45&gt;0,20,0)+IF(M45&lt;&gt;"",20,0)+IF(AF45&lt;&gt;"",20,0))</x:f>
        <x:v>100</x:v>
      </x:c>
      <x:c r="X45" t="str">
        <x:v>Placed on exact national road host link</x:v>
      </x:c>
      <x:c r="Y45" t="str">
        <x:v>Paved</x:v>
      </x:c>
      <x:c r="Z45" t="str">
        <x:v>A</x:v>
      </x:c>
      <x:c r="AA45" t="str">
        <x:v>Not available in governed source</x:v>
      </x:c>
      <x:c r="AB45" t="str">
        <x:v>Not available in governed source</x:v>
      </x:c>
      <x:c r="AC45" t="str">
        <x:v>FY2025/26</x:v>
      </x:c>
      <x:c r="AD45" t="str">
        <x:v>Modelled</x:v>
      </x:c>
      <x:c r="AE45" t="str">
        <x:v>2026 bridge AADT rebuilt from host-link traffic history, annual collection-link history, same-road corridor history and spatial count-station influence. Vehicle-class values are assigned from functional-class shares.</x:v>
      </x:c>
      <x:c r="AF45" t="str">
        <x:v>Placed on exact national road host link</x:v>
      </x:c>
    </x:row>
    <x:row r="46" ht="15" hidden="0" customHeight="1">
      <x:c r="A46" t="str">
        <x:v>bridge-045</x:v>
      </x:c>
      <x:c r="B46" t="str">
        <x:v>B023</x:v>
      </x:c>
      <x:c r="C46" t="str">
        <x:v>KAFU BRIDGE</x:v>
      </x:c>
      <x:c r="D46" t="str">
        <x:v>A006_Link06</x:v>
      </x:c>
      <x:c r="E46" t="str">
        <x:v>Nakasongola - Kafu</x:v>
      </x:c>
      <x:c r="F46" t="str">
        <x:v>A</x:v>
      </x:c>
      <x:c r="G46" t="str">
        <x:v>Central</x:v>
      </x:c>
      <x:c r="H46" t="str">
        <x:v>Luwero</x:v>
      </x:c>
      <x:c r="I46" t="str">
        <x:v>River Kafu</x:v>
      </x:c>
      <x:c r="J46" t="str">
        <x:v>Good</x:v>
      </x:c>
      <x:c r="K46" t="n">
        <x:v>32.041771</x:v>
      </x:c>
      <x:c r="L46" t="n">
        <x:v>1.54265</x:v>
      </x:c>
      <x:c r="M46" t="n">
        <x:v>32.412008</x:v>
      </x:c>
      <x:c r="N46" t="n">
        <x:v>1.335146</x:v>
      </x:c>
      <x:c r="O46" t="n">
        <x:v>3799.64</x:v>
      </x:c>
      <x:c r="P46" t="n">
        <x:f>IFERROR(INDEX(Assumptions!$B$9:$B$13,MATCH(F46,Assumptions!$A$9:$A$13,0)),0.15)</x:f>
        <x:v>0.12</x:v>
      </x:c>
      <x:c r="Q46" t="n">
        <x:f>ROUND(O46*(1-P46),0)</x:f>
        <x:v>3344</x:v>
      </x:c>
      <x:c r="R46" t="n">
        <x:f>ROUND(O46*P46,0)</x:f>
        <x:v>456</x:v>
      </x:c>
      <x:c r="S46" t="n">
        <x:f>ROUND(O46*IFERROR(INDEX(Assumptions!$C$9:$C$13,MATCH(F46,Assumptions!$A$9:$A$13,0)),0.55),0)</x:f>
        <x:v>2204</x:v>
      </x:c>
      <x:c r="T46" t="n">
        <x:f>ROUND(O46*IFERROR(INDEX(Assumptions!$D$9:$D$13,MATCH(F46,Assumptions!$A$9:$A$13,0)),0.06),0)</x:f>
        <x:v>304</x:v>
      </x:c>
      <x:c r="U46" t="n">
        <x:f>ROUND(O46*IFERROR(INDEX(Assumptions!$E$9:$E$13,MATCH(F46,Assumptions!$A$9:$A$13,0)),0.15),0)</x:f>
        <x:v>684</x:v>
      </x:c>
      <x:c r="V46" t="n">
        <x:f>MAX(0,O46-SUM(R46:U46))</x:f>
        <x:v>151.63999999999987</x:v>
      </x:c>
      <x:c r="W46" t="n">
        <x:f>MIN(100,40+IF(O46&gt;0,20,0)+IF(M46&lt;&gt;"",20,0)+IF(AF46&lt;&gt;"",20,0))</x:f>
        <x:v>100</x:v>
      </x:c>
      <x:c r="X46" t="str">
        <x:v>Placed on exact national road host link</x:v>
      </x:c>
      <x:c r="Y46" t="str">
        <x:v>Paved</x:v>
      </x:c>
      <x:c r="Z46" t="str">
        <x:v>A</x:v>
      </x:c>
      <x:c r="AA46" t="str">
        <x:v>Not available in governed source</x:v>
      </x:c>
      <x:c r="AB46" t="str">
        <x:v>Not available in governed source</x:v>
      </x:c>
      <x:c r="AC46" t="str">
        <x:v>FY2025/26</x:v>
      </x:c>
      <x:c r="AD46" t="str">
        <x:v>Modelled</x:v>
      </x:c>
      <x:c r="AE46" t="str">
        <x:v>2026 bridge AADT rebuilt from host-link traffic history, annual collection-link history, same-road corridor history and spatial count-station influence. Vehicle-class values are assigned from functional-class shares.</x:v>
      </x:c>
      <x:c r="AF46" t="str">
        <x:v>Placed on exact national road host link</x:v>
      </x:c>
    </x:row>
    <x:row r="47" ht="15" hidden="0" customHeight="1">
      <x:c r="A47" t="str">
        <x:v>bridge-046</x:v>
      </x:c>
      <x:c r="B47" t="str">
        <x:v>B024</x:v>
      </x:c>
      <x:c r="C47" t="str">
        <x:v>TITI</x:v>
      </x:c>
      <x:c r="D47" t="str">
        <x:v>C677_Link02</x:v>
      </x:c>
      <x:c r="E47" t="str">
        <x:v>Kalongo - Kitgum Matidi</x:v>
      </x:c>
      <x:c r="F47" t="str">
        <x:v>C</x:v>
      </x:c>
      <x:c r="G47" t="str">
        <x:v>Northern</x:v>
      </x:c>
      <x:c r="H47" t="str">
        <x:v>Kitgum</x:v>
      </x:c>
      <x:c r="I47" t="str">
        <x:v>Titi Swamp river</x:v>
      </x:c>
      <x:c r="J47" t="str">
        <x:v>Good</x:v>
      </x:c>
      <x:c r="K47" t="n">
        <x:v>32.020741</x:v>
      </x:c>
      <x:c r="L47" t="n">
        <x:v>1.82617</x:v>
      </x:c>
      <x:c r="M47" t="n">
        <x:v>32.020889</x:v>
      </x:c>
      <x:c r="N47" t="n">
        <x:v>1.826092</x:v>
      </x:c>
      <x:c r="O47" t="n">
        <x:v>5217.12</x:v>
      </x:c>
      <x:c r="P47" t="n">
        <x:f>IFERROR(INDEX(Assumptions!$B$9:$B$13,MATCH(F47,Assumptions!$A$9:$A$13,0)),0.15)</x:f>
        <x:v>0.28</x:v>
      </x:c>
      <x:c r="Q47" t="n">
        <x:f>ROUND(O47*(1-P47),0)</x:f>
        <x:v>3756</x:v>
      </x:c>
      <x:c r="R47" t="n">
        <x:f>ROUND(O47*P47,0)</x:f>
        <x:v>1461</x:v>
      </x:c>
      <x:c r="S47" t="n">
        <x:f>ROUND(O47*IFERROR(INDEX(Assumptions!$C$9:$C$13,MATCH(F47,Assumptions!$A$9:$A$13,0)),0.55),0)</x:f>
        <x:v>2609</x:v>
      </x:c>
      <x:c r="T47" t="n">
        <x:f>ROUND(O47*IFERROR(INDEX(Assumptions!$D$9:$D$13,MATCH(F47,Assumptions!$A$9:$A$13,0)),0.06),0)</x:f>
        <x:v>261</x:v>
      </x:c>
      <x:c r="U47" t="n">
        <x:f>ROUND(O47*IFERROR(INDEX(Assumptions!$E$9:$E$13,MATCH(F47,Assumptions!$A$9:$A$13,0)),0.15),0)</x:f>
        <x:v>574</x:v>
      </x:c>
      <x:c r="V47" t="n">
        <x:f>MAX(0,O47-SUM(R47:U47))</x:f>
        <x:v>312.1199999999999</x:v>
      </x:c>
      <x:c r="W47" t="n">
        <x:f>MIN(100,40+IF(O47&gt;0,20,0)+IF(M47&lt;&gt;"",20,0)+IF(AF47&lt;&gt;"",20,0))</x:f>
        <x:v>100</x:v>
      </x:c>
      <x:c r="X47" t="str">
        <x:v>Placed on exact national road host link</x:v>
      </x:c>
      <x:c r="Y47" t="str">
        <x:v>Paved</x:v>
      </x:c>
      <x:c r="Z47" t="str">
        <x:v>C</x:v>
      </x:c>
      <x:c r="AA47" t="str">
        <x:v>Not available in governed source</x:v>
      </x:c>
      <x:c r="AB47" t="str">
        <x:v>Not available in governed source</x:v>
      </x:c>
      <x:c r="AC47" t="str">
        <x:v>FY2025/26</x:v>
      </x:c>
      <x:c r="AD47" t="str">
        <x:v>Modelled</x:v>
      </x:c>
      <x:c r="AE47" t="str">
        <x:v>2026 bridge AADT rebuilt from host-link traffic history, annual collection-link history, same-road corridor history and spatial count-station influence. Vehicle-class values are assigned from functional-class shares.</x:v>
      </x:c>
      <x:c r="AF47" t="str">
        <x:v>Placed on exact national road host link</x:v>
      </x:c>
    </x:row>
    <x:row r="48" ht="15" hidden="0" customHeight="1">
      <x:c r="A48" t="str">
        <x:v>bridge-047</x:v>
      </x:c>
      <x:c r="B48" t="str">
        <x:v>B025</x:v>
      </x:c>
      <x:c r="C48" t="str">
        <x:v>KARUMA BRIDGE</x:v>
      </x:c>
      <x:c r="D48" t="str">
        <x:v>C677_Link02</x:v>
      </x:c>
      <x:c r="E48" t="str">
        <x:v>Kalongo - Kitgum Matidi</x:v>
      </x:c>
      <x:c r="F48" t="str">
        <x:v>C</x:v>
      </x:c>
      <x:c r="G48" t="str">
        <x:v>Northern</x:v>
      </x:c>
      <x:c r="H48" t="str">
        <x:v>Kitgum</x:v>
      </x:c>
      <x:c r="I48" t="str">
        <x:v>WHITE NILE</x:v>
      </x:c>
      <x:c r="J48" t="str">
        <x:v>Satisfactory</x:v>
      </x:c>
      <x:c r="K48" t="n">
        <x:v>32.239796</x:v>
      </x:c>
      <x:c r="L48" t="n">
        <x:v>2.242707</x:v>
      </x:c>
      <x:c r="M48" t="n">
        <x:v>32.239732</x:v>
      </x:c>
      <x:c r="N48" t="n">
        <x:v>2.242655</x:v>
      </x:c>
      <x:c r="O48" t="n">
        <x:v>3753.67</x:v>
      </x:c>
      <x:c r="P48" t="n">
        <x:f>IFERROR(INDEX(Assumptions!$B$9:$B$13,MATCH(F48,Assumptions!$A$9:$A$13,0)),0.15)</x:f>
        <x:v>0.28</x:v>
      </x:c>
      <x:c r="Q48" t="n">
        <x:f>ROUND(O48*(1-P48),0)</x:f>
        <x:v>2703</x:v>
      </x:c>
      <x:c r="R48" t="n">
        <x:f>ROUND(O48*P48,0)</x:f>
        <x:v>1051</x:v>
      </x:c>
      <x:c r="S48" t="n">
        <x:f>ROUND(O48*IFERROR(INDEX(Assumptions!$C$9:$C$13,MATCH(F48,Assumptions!$A$9:$A$13,0)),0.55),0)</x:f>
        <x:v>1877</x:v>
      </x:c>
      <x:c r="T48" t="n">
        <x:f>ROUND(O48*IFERROR(INDEX(Assumptions!$D$9:$D$13,MATCH(F48,Assumptions!$A$9:$A$13,0)),0.06),0)</x:f>
        <x:v>188</x:v>
      </x:c>
      <x:c r="U48" t="n">
        <x:f>ROUND(O48*IFERROR(INDEX(Assumptions!$E$9:$E$13,MATCH(F48,Assumptions!$A$9:$A$13,0)),0.15),0)</x:f>
        <x:v>413</x:v>
      </x:c>
      <x:c r="V48" t="n">
        <x:f>MAX(0,O48-SUM(R48:U48))</x:f>
        <x:v>224.67000000000007</x:v>
      </x:c>
      <x:c r="W48" t="n">
        <x:f>MIN(100,40+IF(O48&gt;0,20,0)+IF(M48&lt;&gt;"",20,0)+IF(AF48&lt;&gt;"",20,0))</x:f>
        <x:v>100</x:v>
      </x:c>
      <x:c r="X48" t="str">
        <x:v>Placed on exact national road host link</x:v>
      </x:c>
      <x:c r="Y48" t="str">
        <x:v>Paved</x:v>
      </x:c>
      <x:c r="Z48" t="str">
        <x:v>C</x:v>
      </x:c>
      <x:c r="AA48" t="str">
        <x:v>Not available in governed source</x:v>
      </x:c>
      <x:c r="AB48" t="str">
        <x:v>Not available in governed source</x:v>
      </x:c>
      <x:c r="AC48" t="str">
        <x:v>FY2025/26</x:v>
      </x:c>
      <x:c r="AD48" t="str">
        <x:v>Modelled</x:v>
      </x:c>
      <x:c r="AE48" t="str">
        <x:v>2026 bridge AADT rebuilt from host-link traffic history, annual collection-link history, same-road corridor history and spatial count-station influence. Vehicle-class values are assigned from functional-class shares.</x:v>
      </x:c>
      <x:c r="AF48" t="str">
        <x:v>Placed on exact national road host link</x:v>
      </x:c>
    </x:row>
    <x:row r="49" ht="15" hidden="0" customHeight="1">
      <x:c r="A49" t="str">
        <x:v>bridge-048</x:v>
      </x:c>
      <x:c r="B49" t="str">
        <x:v>B026</x:v>
      </x:c>
      <x:c r="C49" t="str">
        <x:v>MAGODES</x:v>
      </x:c>
      <x:c r="D49" t="str">
        <x:v>C963_Link03</x:v>
      </x:c>
      <x:c r="E49" t="str">
        <x:v>Amudat-Alakasi-Kalita</x:v>
      </x:c>
      <x:c r="F49" t="str">
        <x:v>C</x:v>
      </x:c>
      <x:c r="G49" t="str">
        <x:v>North Eastern</x:v>
      </x:c>
      <x:c r="H49" t="str">
        <x:v>Moroto</x:v>
      </x:c>
      <x:c r="I49" t="str">
        <x:v>Magodes</x:v>
      </x:c>
      <x:c r="J49" t="str">
        <x:v>Good</x:v>
      </x:c>
      <x:c r="K49" t="n">
        <x:v>34.17004</x:v>
      </x:c>
      <x:c r="L49" t="n">
        <x:v>0.82749</x:v>
      </x:c>
      <x:c r="M49" t="n">
        <x:v>34.170111</x:v>
      </x:c>
      <x:c r="N49" t="n">
        <x:v>0.827451</x:v>
      </x:c>
      <x:c r="O49" t="n">
        <x:v>23460.74</x:v>
      </x:c>
      <x:c r="P49" t="n">
        <x:f>IFERROR(INDEX(Assumptions!$B$9:$B$13,MATCH(F49,Assumptions!$A$9:$A$13,0)),0.15)</x:f>
        <x:v>0.28</x:v>
      </x:c>
      <x:c r="Q49" t="n">
        <x:f>ROUND(O49*(1-P49),0)</x:f>
        <x:v>16892</x:v>
      </x:c>
      <x:c r="R49" t="n">
        <x:f>ROUND(O49*P49,0)</x:f>
        <x:v>6569</x:v>
      </x:c>
      <x:c r="S49" t="n">
        <x:f>ROUND(O49*IFERROR(INDEX(Assumptions!$C$9:$C$13,MATCH(F49,Assumptions!$A$9:$A$13,0)),0.55),0)</x:f>
        <x:v>11730</x:v>
      </x:c>
      <x:c r="T49" t="n">
        <x:f>ROUND(O49*IFERROR(INDEX(Assumptions!$D$9:$D$13,MATCH(F49,Assumptions!$A$9:$A$13,0)),0.06),0)</x:f>
        <x:v>1173</x:v>
      </x:c>
      <x:c r="U49" t="n">
        <x:f>ROUND(O49*IFERROR(INDEX(Assumptions!$E$9:$E$13,MATCH(F49,Assumptions!$A$9:$A$13,0)),0.15),0)</x:f>
        <x:v>2581</x:v>
      </x:c>
      <x:c r="V49" t="n">
        <x:f>MAX(0,O49-SUM(R49:U49))</x:f>
        <x:v>1407.7400000000016</x:v>
      </x:c>
      <x:c r="W49" t="n">
        <x:f>MIN(100,40+IF(O49&gt;0,20,0)+IF(M49&lt;&gt;"",20,0)+IF(AF49&lt;&gt;"",20,0))</x:f>
        <x:v>100</x:v>
      </x:c>
      <x:c r="X49" t="str">
        <x:v>Placed on exact national road host link</x:v>
      </x:c>
      <x:c r="Y49" t="str">
        <x:v>Paved</x:v>
      </x:c>
      <x:c r="Z49" t="str">
        <x:v>C</x:v>
      </x:c>
      <x:c r="AA49" t="str">
        <x:v>Not available in governed source</x:v>
      </x:c>
      <x:c r="AB49" t="str">
        <x:v>Not available in governed source</x:v>
      </x:c>
      <x:c r="AC49" t="str">
        <x:v>FY2025/26</x:v>
      </x:c>
      <x:c r="AD49" t="str">
        <x:v>Modelled</x:v>
      </x:c>
      <x:c r="AE49" t="str">
        <x:v>2026 bridge AADT rebuilt from host-link traffic history, annual collection-link history, same-road corridor history and spatial count-station influence. Vehicle-class values are assigned from functional-class shares.</x:v>
      </x:c>
      <x:c r="AF49" t="str">
        <x:v>Placed on exact national road host link</x:v>
      </x:c>
    </x:row>
    <x:row r="50" ht="15" hidden="0" customHeight="1">
      <x:c r="A50" t="str">
        <x:v>bridge-049</x:v>
      </x:c>
      <x:c r="B50" t="str">
        <x:v>B027</x:v>
      </x:c>
      <x:c r="C50" t="str">
        <x:v>Nabuyonga Bridge</x:v>
      </x:c>
      <x:c r="D50" t="str">
        <x:v>A007_Link04</x:v>
      </x:c>
      <x:c r="E50" t="str">
        <x:v>Mbale - Namunsi - Kumi</x:v>
      </x:c>
      <x:c r="F50" t="str">
        <x:v>A</x:v>
      </x:c>
      <x:c r="G50" t="str">
        <x:v>Eastern</x:v>
      </x:c>
      <x:c r="H50" t="str">
        <x:v>Mbale</x:v>
      </x:c>
      <x:c r="I50" t="str">
        <x:v>Nabuyonga River</x:v>
      </x:c>
      <x:c r="J50" t="str">
        <x:v>Marginal</x:v>
      </x:c>
      <x:c r="K50" t="n">
        <x:v>34.17915</x:v>
      </x:c>
      <x:c r="L50" t="n">
        <x:v>1.08308</x:v>
      </x:c>
      <x:c r="M50" t="n">
        <x:v>34.165218</x:v>
      </x:c>
      <x:c r="N50" t="n">
        <x:v>1.139788</x:v>
      </x:c>
      <x:c r="O50" t="n">
        <x:v>10667.71</x:v>
      </x:c>
      <x:c r="P50" t="n">
        <x:f>IFERROR(INDEX(Assumptions!$B$9:$B$13,MATCH(F50,Assumptions!$A$9:$A$13,0)),0.15)</x:f>
        <x:v>0.12</x:v>
      </x:c>
      <x:c r="Q50" t="n">
        <x:f>ROUND(O50*(1-P50),0)</x:f>
        <x:v>9388</x:v>
      </x:c>
      <x:c r="R50" t="n">
        <x:f>ROUND(O50*P50,0)</x:f>
        <x:v>1280</x:v>
      </x:c>
      <x:c r="S50" t="n">
        <x:f>ROUND(O50*IFERROR(INDEX(Assumptions!$C$9:$C$13,MATCH(F50,Assumptions!$A$9:$A$13,0)),0.55),0)</x:f>
        <x:v>6187</x:v>
      </x:c>
      <x:c r="T50" t="n">
        <x:f>ROUND(O50*IFERROR(INDEX(Assumptions!$D$9:$D$13,MATCH(F50,Assumptions!$A$9:$A$13,0)),0.06),0)</x:f>
        <x:v>853</x:v>
      </x:c>
      <x:c r="U50" t="n">
        <x:f>ROUND(O50*IFERROR(INDEX(Assumptions!$E$9:$E$13,MATCH(F50,Assumptions!$A$9:$A$13,0)),0.15),0)</x:f>
        <x:v>1920</x:v>
      </x:c>
      <x:c r="V50" t="n">
        <x:f>MAX(0,O50-SUM(R50:U50))</x:f>
        <x:v>427.7099999999991</x:v>
      </x:c>
      <x:c r="W50" t="n">
        <x:f>MIN(100,40+IF(O50&gt;0,20,0)+IF(M50&lt;&gt;"",20,0)+IF(AF50&lt;&gt;"",20,0))</x:f>
        <x:v>100</x:v>
      </x:c>
      <x:c r="X50" t="str">
        <x:v>Placed on exact national road host link</x:v>
      </x:c>
      <x:c r="Y50" t="str">
        <x:v>Paved</x:v>
      </x:c>
      <x:c r="Z50" t="str">
        <x:v>A</x:v>
      </x:c>
      <x:c r="AA50" t="str">
        <x:v>Not available in governed source</x:v>
      </x:c>
      <x:c r="AB50" t="str">
        <x:v>Not available in governed source</x:v>
      </x:c>
      <x:c r="AC50" t="str">
        <x:v>FY2025/26</x:v>
      </x:c>
      <x:c r="AD50" t="str">
        <x:v>Modelled</x:v>
      </x:c>
      <x:c r="AE50" t="str">
        <x:v>2026 bridge AADT rebuilt from host-link traffic history, annual collection-link history, same-road corridor history and spatial count-station influence. Vehicle-class values are assigned from functional-class shares.</x:v>
      </x:c>
      <x:c r="AF50" t="str">
        <x:v>Placed on exact national road host link</x:v>
      </x:c>
    </x:row>
    <x:row r="51" ht="15" hidden="0" customHeight="1">
      <x:c r="A51" t="str">
        <x:v>bridge-050</x:v>
      </x:c>
      <x:c r="B51" t="str">
        <x:v>B028</x:v>
      </x:c>
      <x:c r="C51" t="str">
        <x:v>NAMATALA</x:v>
      </x:c>
      <x:c r="D51" t="str">
        <x:v>C967_Link01</x:v>
      </x:c>
      <x:c r="E51" t="str">
        <x:v>Kokeris - Lopei</x:v>
      </x:c>
      <x:c r="F51" t="str">
        <x:v>C</x:v>
      </x:c>
      <x:c r="G51" t="str">
        <x:v>North Eastern</x:v>
      </x:c>
      <x:c r="H51" t="str">
        <x:v>Moroto</x:v>
      </x:c>
      <x:c r="I51" t="str">
        <x:v>NAMATALA</x:v>
      </x:c>
      <x:c r="J51" t="str">
        <x:v>Good</x:v>
      </x:c>
      <x:c r="K51" t="n">
        <x:v>34.172459</x:v>
      </x:c>
      <x:c r="L51" t="n">
        <x:v>1.10874</x:v>
      </x:c>
      <x:c r="M51" t="n">
        <x:v>34.172568</x:v>
      </x:c>
      <x:c r="N51" t="n">
        <x:v>1.108766</x:v>
      </x:c>
      <x:c r="O51" t="n">
        <x:v>10667.71</x:v>
      </x:c>
      <x:c r="P51" t="n">
        <x:f>IFERROR(INDEX(Assumptions!$B$9:$B$13,MATCH(F51,Assumptions!$A$9:$A$13,0)),0.15)</x:f>
        <x:v>0.28</x:v>
      </x:c>
      <x:c r="Q51" t="n">
        <x:f>ROUND(O51*(1-P51),0)</x:f>
        <x:v>7681</x:v>
      </x:c>
      <x:c r="R51" t="n">
        <x:f>ROUND(O51*P51,0)</x:f>
        <x:v>2987</x:v>
      </x:c>
      <x:c r="S51" t="n">
        <x:f>ROUND(O51*IFERROR(INDEX(Assumptions!$C$9:$C$13,MATCH(F51,Assumptions!$A$9:$A$13,0)),0.55),0)</x:f>
        <x:v>5334</x:v>
      </x:c>
      <x:c r="T51" t="n">
        <x:f>ROUND(O51*IFERROR(INDEX(Assumptions!$D$9:$D$13,MATCH(F51,Assumptions!$A$9:$A$13,0)),0.06),0)</x:f>
        <x:v>533</x:v>
      </x:c>
      <x:c r="U51" t="n">
        <x:f>ROUND(O51*IFERROR(INDEX(Assumptions!$E$9:$E$13,MATCH(F51,Assumptions!$A$9:$A$13,0)),0.15),0)</x:f>
        <x:v>1173</x:v>
      </x:c>
      <x:c r="V51" t="n">
        <x:f>MAX(0,O51-SUM(R51:U51))</x:f>
        <x:v>640.7099999999991</x:v>
      </x:c>
      <x:c r="W51" t="n">
        <x:f>MIN(100,40+IF(O51&gt;0,20,0)+IF(M51&lt;&gt;"",20,0)+IF(AF51&lt;&gt;"",20,0))</x:f>
        <x:v>100</x:v>
      </x:c>
      <x:c r="X51" t="str">
        <x:v>Placed on exact national road host link</x:v>
      </x:c>
      <x:c r="Y51" t="str">
        <x:v>Paved</x:v>
      </x:c>
      <x:c r="Z51" t="str">
        <x:v>C</x:v>
      </x:c>
      <x:c r="AA51" t="str">
        <x:v>Not available in governed source</x:v>
      </x:c>
      <x:c r="AB51" t="str">
        <x:v>Not available in governed source</x:v>
      </x:c>
      <x:c r="AC51" t="str">
        <x:v>FY2025/26</x:v>
      </x:c>
      <x:c r="AD51" t="str">
        <x:v>Modelled</x:v>
      </x:c>
      <x:c r="AE51" t="str">
        <x:v>2026 bridge AADT rebuilt from host-link traffic history, annual collection-link history, same-road corridor history and spatial count-station influence. Vehicle-class values are assigned from functional-class shares.</x:v>
      </x:c>
      <x:c r="AF51" t="str">
        <x:v>Placed on exact national road host link</x:v>
      </x:c>
    </x:row>
    <x:row r="52" ht="15" hidden="0" customHeight="1">
      <x:c r="A52" t="str">
        <x:v>bridge-051</x:v>
      </x:c>
      <x:c r="B52" t="str">
        <x:v>B875</x:v>
      </x:c>
      <x:c r="C52" t="str">
        <x:v>Kabobo - MPCs</x:v>
      </x:c>
      <x:c r="D52" t="str">
        <x:v>C419_Link01</x:v>
      </x:c>
      <x:c r="E52" t="str">
        <x:v>Kafunzo-Kikagati</x:v>
      </x:c>
      <x:c r="F52" t="str">
        <x:v>C</x:v>
      </x:c>
      <x:c r="G52" t="str">
        <x:v>Southern</x:v>
      </x:c>
      <x:c r="H52" t="str">
        <x:v>Mbarara</x:v>
      </x:c>
      <x:c r="I52" t="str">
        <x:v>NANGIPA</x:v>
      </x:c>
      <x:c r="J52" t="str">
        <x:v>Good</x:v>
      </x:c>
      <x:c r="K52" t="n">
        <x:v>30.50481</x:v>
      </x:c>
      <x:c r="L52" t="n">
        <x:v>-0.98259</x:v>
      </x:c>
      <x:c r="M52" t="n">
        <x:v>30.567479</x:v>
      </x:c>
      <x:c r="N52" t="n">
        <x:v>-0.996403</x:v>
      </x:c>
      <x:c r="O52" t="n">
        <x:v>5978.82</x:v>
      </x:c>
      <x:c r="P52" t="n">
        <x:f>IFERROR(INDEX(Assumptions!$B$9:$B$13,MATCH(F52,Assumptions!$A$9:$A$13,0)),0.15)</x:f>
        <x:v>0.28</x:v>
      </x:c>
      <x:c r="Q52" t="n">
        <x:f>ROUND(O52*(1-P52),0)</x:f>
        <x:v>4305</x:v>
      </x:c>
      <x:c r="R52" t="n">
        <x:f>ROUND(O52*P52,0)</x:f>
        <x:v>1674</x:v>
      </x:c>
      <x:c r="S52" t="n">
        <x:f>ROUND(O52*IFERROR(INDEX(Assumptions!$C$9:$C$13,MATCH(F52,Assumptions!$A$9:$A$13,0)),0.55),0)</x:f>
        <x:v>2989</x:v>
      </x:c>
      <x:c r="T52" t="n">
        <x:f>ROUND(O52*IFERROR(INDEX(Assumptions!$D$9:$D$13,MATCH(F52,Assumptions!$A$9:$A$13,0)),0.06),0)</x:f>
        <x:v>299</x:v>
      </x:c>
      <x:c r="U52" t="n">
        <x:f>ROUND(O52*IFERROR(INDEX(Assumptions!$E$9:$E$13,MATCH(F52,Assumptions!$A$9:$A$13,0)),0.15),0)</x:f>
        <x:v>658</x:v>
      </x:c>
      <x:c r="V52" t="n">
        <x:f>MAX(0,O52-SUM(R52:U52))</x:f>
        <x:v>358.8199999999997</x:v>
      </x:c>
      <x:c r="W52" t="n">
        <x:f>MIN(100,40+IF(O52&gt;0,20,0)+IF(M52&lt;&gt;"",20,0)+IF(AF52&lt;&gt;"",20,0))</x:f>
        <x:v>100</x:v>
      </x:c>
      <x:c r="X52" t="str">
        <x:v>Placed on exact national road host link</x:v>
      </x:c>
      <x:c r="Y52" t="str">
        <x:v>Unpaved</x:v>
      </x:c>
      <x:c r="Z52" t="str">
        <x:v>C</x:v>
      </x:c>
      <x:c r="AA52" t="str">
        <x:v>Not available in governed source</x:v>
      </x:c>
      <x:c r="AB52" t="str">
        <x:v>Not available in governed source</x:v>
      </x:c>
      <x:c r="AC52" t="str">
        <x:v>FY2025/26</x:v>
      </x:c>
      <x:c r="AD52" t="str">
        <x:v>Modelled</x:v>
      </x:c>
      <x:c r="AE52" t="str">
        <x:v>2026 bridge AADT rebuilt from host-link traffic history, annual collection-link history, same-road corridor history and spatial count-station influence. Vehicle-class values are assigned from functional-class shares.</x:v>
      </x:c>
      <x:c r="AF52" t="str">
        <x:v>Placed on exact national road host link</x:v>
      </x:c>
    </x:row>
    <x:row r="53" ht="15" hidden="0" customHeight="1">
      <x:c r="A53" t="str">
        <x:v>bridge-052</x:v>
      </x:c>
      <x:c r="B53" t="str">
        <x:v>B029</x:v>
      </x:c>
      <x:c r="C53" t="str">
        <x:v>FIKA-SALAAMA</x:v>
      </x:c>
      <x:c r="D53" t="str">
        <x:v>A007_Link04</x:v>
      </x:c>
      <x:c r="E53" t="str">
        <x:v>Mbale - Namunsi - Kumi</x:v>
      </x:c>
      <x:c r="F53" t="str">
        <x:v>A</x:v>
      </x:c>
      <x:c r="G53" t="str">
        <x:v>Eastern</x:v>
      </x:c>
      <x:c r="H53" t="str">
        <x:v>Mbale</x:v>
      </x:c>
      <x:c r="I53" t="str">
        <x:v>LWERE</x:v>
      </x:c>
      <x:c r="J53" t="str">
        <x:v>Good</x:v>
      </x:c>
      <x:c r="K53" t="n">
        <x:v>34.15733</x:v>
      </x:c>
      <x:c r="L53" t="n">
        <x:v>1.1647</x:v>
      </x:c>
      <x:c r="M53" t="n">
        <x:v>34.176178</x:v>
      </x:c>
      <x:c r="N53" t="n">
        <x:v>1.072826</x:v>
      </x:c>
      <x:c r="O53" t="n">
        <x:v>10667.71</x:v>
      </x:c>
      <x:c r="P53" t="n">
        <x:f>IFERROR(INDEX(Assumptions!$B$9:$B$13,MATCH(F53,Assumptions!$A$9:$A$13,0)),0.15)</x:f>
        <x:v>0.12</x:v>
      </x:c>
      <x:c r="Q53" t="n">
        <x:f>ROUND(O53*(1-P53),0)</x:f>
        <x:v>9388</x:v>
      </x:c>
      <x:c r="R53" t="n">
        <x:f>ROUND(O53*P53,0)</x:f>
        <x:v>1280</x:v>
      </x:c>
      <x:c r="S53" t="n">
        <x:f>ROUND(O53*IFERROR(INDEX(Assumptions!$C$9:$C$13,MATCH(F53,Assumptions!$A$9:$A$13,0)),0.55),0)</x:f>
        <x:v>6187</x:v>
      </x:c>
      <x:c r="T53" t="n">
        <x:f>ROUND(O53*IFERROR(INDEX(Assumptions!$D$9:$D$13,MATCH(F53,Assumptions!$A$9:$A$13,0)),0.06),0)</x:f>
        <x:v>853</x:v>
      </x:c>
      <x:c r="U53" t="n">
        <x:f>ROUND(O53*IFERROR(INDEX(Assumptions!$E$9:$E$13,MATCH(F53,Assumptions!$A$9:$A$13,0)),0.15),0)</x:f>
        <x:v>1920</x:v>
      </x:c>
      <x:c r="V53" t="n">
        <x:f>MAX(0,O53-SUM(R53:U53))</x:f>
        <x:v>427.7099999999991</x:v>
      </x:c>
      <x:c r="W53" t="n">
        <x:f>MIN(100,40+IF(O53&gt;0,20,0)+IF(M53&lt;&gt;"",20,0)+IF(AF53&lt;&gt;"",20,0))</x:f>
        <x:v>100</x:v>
      </x:c>
      <x:c r="X53" t="str">
        <x:v>Placed on exact national road host link</x:v>
      </x:c>
      <x:c r="Y53" t="str">
        <x:v>Paved</x:v>
      </x:c>
      <x:c r="Z53" t="str">
        <x:v>A</x:v>
      </x:c>
      <x:c r="AA53" t="str">
        <x:v>Not available in governed source</x:v>
      </x:c>
      <x:c r="AB53" t="str">
        <x:v>Not available in governed source</x:v>
      </x:c>
      <x:c r="AC53" t="str">
        <x:v>FY2025/26</x:v>
      </x:c>
      <x:c r="AD53" t="str">
        <x:v>Modelled</x:v>
      </x:c>
      <x:c r="AE53" t="str">
        <x:v>2026 bridge AADT rebuilt from host-link traffic history, annual collection-link history, same-road corridor history and spatial count-station influence. Vehicle-class values are assigned from functional-class shares.</x:v>
      </x:c>
      <x:c r="AF53" t="str">
        <x:v>Placed on exact national road host link</x:v>
      </x:c>
    </x:row>
    <x:row r="54" ht="15" hidden="0" customHeight="1">
      <x:c r="A54" t="str">
        <x:v>bridge-053</x:v>
      </x:c>
      <x:c r="B54" t="str">
        <x:v>B879</x:v>
      </x:c>
      <x:c r="C54" t="str">
        <x:v>Nyabisheke - MPCS</x:v>
      </x:c>
      <x:c r="D54" t="str">
        <x:v>C357_Link01</x:v>
      </x:c>
      <x:c r="E54" t="str">
        <x:v>Muzizi-Buremba</x:v>
      </x:c>
      <x:c r="F54" t="str">
        <x:v>C</x:v>
      </x:c>
      <x:c r="G54" t="str">
        <x:v>Southern</x:v>
      </x:c>
      <x:c r="H54" t="str">
        <x:v>Ibanda</x:v>
      </x:c>
      <x:c r="I54" t="str">
        <x:v>LWERE</x:v>
      </x:c>
      <x:c r="J54" t="str">
        <x:v>Good</x:v>
      </x:c>
      <x:c r="K54" t="n">
        <x:v>30.660252</x:v>
      </x:c>
      <x:c r="L54" t="n">
        <x:v>0.096188</x:v>
      </x:c>
      <x:c r="M54" t="n">
        <x:v>30.886008</x:v>
      </x:c>
      <x:c r="N54" t="n">
        <x:v>0.126361</x:v>
      </x:c>
      <x:c r="O54" t="n">
        <x:v>2213.75</x:v>
      </x:c>
      <x:c r="P54" t="n">
        <x:f>IFERROR(INDEX(Assumptions!$B$9:$B$13,MATCH(F54,Assumptions!$A$9:$A$13,0)),0.15)</x:f>
        <x:v>0.28</x:v>
      </x:c>
      <x:c r="Q54" t="n">
        <x:f>ROUND(O54*(1-P54),0)</x:f>
        <x:v>1594</x:v>
      </x:c>
      <x:c r="R54" t="n">
        <x:f>ROUND(O54*P54,0)</x:f>
        <x:v>620</x:v>
      </x:c>
      <x:c r="S54" t="n">
        <x:f>ROUND(O54*IFERROR(INDEX(Assumptions!$C$9:$C$13,MATCH(F54,Assumptions!$A$9:$A$13,0)),0.55),0)</x:f>
        <x:v>1107</x:v>
      </x:c>
      <x:c r="T54" t="n">
        <x:f>ROUND(O54*IFERROR(INDEX(Assumptions!$D$9:$D$13,MATCH(F54,Assumptions!$A$9:$A$13,0)),0.06),0)</x:f>
        <x:v>111</x:v>
      </x:c>
      <x:c r="U54" t="n">
        <x:f>ROUND(O54*IFERROR(INDEX(Assumptions!$E$9:$E$13,MATCH(F54,Assumptions!$A$9:$A$13,0)),0.15),0)</x:f>
        <x:v>244</x:v>
      </x:c>
      <x:c r="V54" t="n">
        <x:f>MAX(0,O54-SUM(R54:U54))</x:f>
        <x:v>131.75</x:v>
      </x:c>
      <x:c r="W54" t="n">
        <x:f>MIN(100,40+IF(O54&gt;0,20,0)+IF(M54&lt;&gt;"",20,0)+IF(AF54&lt;&gt;"",20,0))</x:f>
        <x:v>100</x:v>
      </x:c>
      <x:c r="X54" t="str">
        <x:v>Placed on exact national road host link</x:v>
      </x:c>
      <x:c r="Y54" t="str">
        <x:v>Unpaved</x:v>
      </x:c>
      <x:c r="Z54" t="str">
        <x:v>C</x:v>
      </x:c>
      <x:c r="AA54" t="str">
        <x:v>Not available in governed source</x:v>
      </x:c>
      <x:c r="AB54" t="str">
        <x:v>Not available in governed source</x:v>
      </x:c>
      <x:c r="AC54" t="str">
        <x:v>FY2025/26</x:v>
      </x:c>
      <x:c r="AD54" t="str">
        <x:v>Modelled</x:v>
      </x:c>
      <x:c r="AE54" t="str">
        <x:v>2026 bridge AADT rebuilt from host-link traffic history, annual collection-link history, same-road corridor history and spatial count-station influence. Vehicle-class values are assigned from functional-class shares.</x:v>
      </x:c>
      <x:c r="AF54" t="str">
        <x:v>Placed on exact national road host link</x:v>
      </x:c>
    </x:row>
    <x:row r="55" ht="15" hidden="0" customHeight="1">
      <x:c r="A55" t="str">
        <x:v>bridge-054</x:v>
      </x:c>
      <x:c r="B55" t="str">
        <x:v>B030</x:v>
      </x:c>
      <x:c r="C55" t="str">
        <x:v>AWOJA</x:v>
      </x:c>
      <x:c r="D55" t="str">
        <x:v>M3_Link01</x:v>
      </x:c>
      <x:c r="E55" t="str">
        <x:v>Kampala - Entebbe Expressway</x:v>
      </x:c>
      <x:c r="F55" t="str">
        <x:v>M</x:v>
      </x:c>
      <x:c r="G55" t="str">
        <x:v>Central</x:v>
      </x:c>
      <x:c r="H55" t="str">
        <x:v>Kampala</x:v>
      </x:c>
      <x:c r="I55" t="str">
        <x:v>AWOJA</x:v>
      </x:c>
      <x:c r="J55" t="str">
        <x:v>Good</x:v>
      </x:c>
      <x:c r="K55" t="n">
        <x:v>33.7374</x:v>
      </x:c>
      <x:c r="L55" t="n">
        <x:v>1.66698</x:v>
      </x:c>
      <x:c r="M55" t="n">
        <x:v>33.737146</x:v>
      </x:c>
      <x:c r="N55" t="n">
        <x:v>1.667837</x:v>
      </x:c>
      <x:c r="O55" t="n">
        <x:v>8890.71</x:v>
      </x:c>
      <x:c r="P55" t="n">
        <x:f>IFERROR(INDEX(Assumptions!$B$9:$B$13,MATCH(F55,Assumptions!$A$9:$A$13,0)),0.15)</x:f>
        <x:v>0.08</x:v>
      </x:c>
      <x:c r="Q55" t="n">
        <x:f>ROUND(O55*(1-P55),0)</x:f>
        <x:v>8179</x:v>
      </x:c>
      <x:c r="R55" t="n">
        <x:f>ROUND(O55*P55,0)</x:f>
        <x:v>711</x:v>
      </x:c>
      <x:c r="S55" t="n">
        <x:f>ROUND(O55*IFERROR(INDEX(Assumptions!$C$9:$C$13,MATCH(F55,Assumptions!$A$9:$A$13,0)),0.55),0)</x:f>
        <x:v>5512</x:v>
      </x:c>
      <x:c r="T55" t="n">
        <x:f>ROUND(O55*IFERROR(INDEX(Assumptions!$D$9:$D$13,MATCH(F55,Assumptions!$A$9:$A$13,0)),0.06),0)</x:f>
        <x:v>711</x:v>
      </x:c>
      <x:c r="U55" t="n">
        <x:f>ROUND(O55*IFERROR(INDEX(Assumptions!$E$9:$E$13,MATCH(F55,Assumptions!$A$9:$A$13,0)),0.15),0)</x:f>
        <x:v>1600</x:v>
      </x:c>
      <x:c r="V55" t="n">
        <x:f>MAX(0,O55-SUM(R55:U55))</x:f>
        <x:v>356.7099999999991</x:v>
      </x:c>
      <x:c r="W55" t="n">
        <x:f>MIN(100,40+IF(O55&gt;0,20,0)+IF(M55&lt;&gt;"",20,0)+IF(AF55&lt;&gt;"",20,0))</x:f>
        <x:v>100</x:v>
      </x:c>
      <x:c r="X55" t="str">
        <x:v>Placed on exact national road host link</x:v>
      </x:c>
      <x:c r="Y55" t="str">
        <x:v>Paved</x:v>
      </x:c>
      <x:c r="Z55" t="str">
        <x:v>M</x:v>
      </x:c>
      <x:c r="AA55" t="str">
        <x:v>Not available in governed source</x:v>
      </x:c>
      <x:c r="AB55" t="str">
        <x:v>Not available in governed source</x:v>
      </x:c>
      <x:c r="AC55" t="str">
        <x:v>FY2025/26</x:v>
      </x:c>
      <x:c r="AD55" t="str">
        <x:v>Modelled</x:v>
      </x:c>
      <x:c r="AE55" t="str">
        <x:v>2026 bridge AADT rebuilt from host-link traffic history, annual collection-link history, same-road corridor history and spatial count-station influence. Vehicle-class values are assigned from functional-class shares.</x:v>
      </x:c>
      <x:c r="AF55" t="str">
        <x:v>Placed on exact national road host link</x:v>
      </x:c>
    </x:row>
    <x:row r="56" ht="15" hidden="0" customHeight="1">
      <x:c r="A56" t="str">
        <x:v>bridge-055</x:v>
      </x:c>
      <x:c r="B56" t="str">
        <x:v>B031</x:v>
      </x:c>
      <x:c r="C56" t="str">
        <x:v>TOCHI BRIDGE</x:v>
      </x:c>
      <x:c r="D56" t="str">
        <x:v>A007_Link10</x:v>
      </x:c>
      <x:c r="E56" t="str">
        <x:v>Ayer - Kamdini</x:v>
      </x:c>
      <x:c r="F56" t="str">
        <x:v>A</x:v>
      </x:c>
      <x:c r="G56" t="str">
        <x:v>Northern</x:v>
      </x:c>
      <x:c r="H56" t="str">
        <x:v>Lira</x:v>
      </x:c>
      <x:c r="I56" t="str">
        <x:v>TOCHI RIVER</x:v>
      </x:c>
      <x:c r="J56" t="str">
        <x:v>Marginal</x:v>
      </x:c>
      <x:c r="K56" t="n">
        <x:v>32.341961</x:v>
      </x:c>
      <x:c r="L56" t="n">
        <x:v>2.22715</x:v>
      </x:c>
      <x:c r="M56" t="n">
        <x:v>32.342558</x:v>
      </x:c>
      <x:c r="N56" t="n">
        <x:v>2.227382</x:v>
      </x:c>
      <x:c r="O56" t="n">
        <x:v>3127.56</x:v>
      </x:c>
      <x:c r="P56" t="n">
        <x:f>IFERROR(INDEX(Assumptions!$B$9:$B$13,MATCH(F56,Assumptions!$A$9:$A$13,0)),0.15)</x:f>
        <x:v>0.12</x:v>
      </x:c>
      <x:c r="Q56" t="n">
        <x:f>ROUND(O56*(1-P56),0)</x:f>
        <x:v>2752</x:v>
      </x:c>
      <x:c r="R56" t="n">
        <x:f>ROUND(O56*P56,0)</x:f>
        <x:v>375</x:v>
      </x:c>
      <x:c r="S56" t="n">
        <x:f>ROUND(O56*IFERROR(INDEX(Assumptions!$C$9:$C$13,MATCH(F56,Assumptions!$A$9:$A$13,0)),0.55),0)</x:f>
        <x:v>1814</x:v>
      </x:c>
      <x:c r="T56" t="n">
        <x:f>ROUND(O56*IFERROR(INDEX(Assumptions!$D$9:$D$13,MATCH(F56,Assumptions!$A$9:$A$13,0)),0.06),0)</x:f>
        <x:v>250</x:v>
      </x:c>
      <x:c r="U56" t="n">
        <x:f>ROUND(O56*IFERROR(INDEX(Assumptions!$E$9:$E$13,MATCH(F56,Assumptions!$A$9:$A$13,0)),0.15),0)</x:f>
        <x:v>563</x:v>
      </x:c>
      <x:c r="V56" t="n">
        <x:f>MAX(0,O56-SUM(R56:U56))</x:f>
        <x:v>125.55999999999995</x:v>
      </x:c>
      <x:c r="W56" t="n">
        <x:f>MIN(100,40+IF(O56&gt;0,20,0)+IF(M56&lt;&gt;"",20,0)+IF(AF56&lt;&gt;"",20,0))</x:f>
        <x:v>100</x:v>
      </x:c>
      <x:c r="X56" t="str">
        <x:v>Placed on exact national road host link</x:v>
      </x:c>
      <x:c r="Y56" t="str">
        <x:v>Paved</x:v>
      </x:c>
      <x:c r="Z56" t="str">
        <x:v>A</x:v>
      </x:c>
      <x:c r="AA56" t="str">
        <x:v>Not available in governed source</x:v>
      </x:c>
      <x:c r="AB56" t="str">
        <x:v>Not available in governed source</x:v>
      </x:c>
      <x:c r="AC56" t="str">
        <x:v>FY2025/26</x:v>
      </x:c>
      <x:c r="AD56" t="str">
        <x:v>Modelled</x:v>
      </x:c>
      <x:c r="AE56" t="str">
        <x:v>2026 bridge AADT rebuilt from host-link traffic history, annual collection-link history, same-road corridor history and spatial count-station influence. Vehicle-class values are assigned from functional-class shares.</x:v>
      </x:c>
      <x:c r="AF56" t="str">
        <x:v>Placed on exact national road host link</x:v>
      </x:c>
    </x:row>
    <x:row r="57" ht="15" hidden="0" customHeight="1">
      <x:c r="A57" t="str">
        <x:v>bridge-056</x:v>
      </x:c>
      <x:c r="B57" t="str">
        <x:v>B032</x:v>
      </x:c>
      <x:c r="C57" t="str">
        <x:v>ALBERT NILE BRIDGE</x:v>
      </x:c>
      <x:c r="D57" t="str">
        <x:v>A008_LINK03</x:v>
      </x:c>
      <x:c r="E57" t="str">
        <x:v>Packwach - Nebbi</x:v>
      </x:c>
      <x:c r="F57" t="str">
        <x:v>A</x:v>
      </x:c>
      <x:c r="G57" t="str">
        <x:v>Northern</x:v>
      </x:c>
      <x:c r="H57" t="str">
        <x:v>Arua</x:v>
      </x:c>
      <x:c r="I57" t="str">
        <x:v>ALBERT NILE</x:v>
      </x:c>
      <x:c r="J57" t="str">
        <x:v>Good</x:v>
      </x:c>
      <x:c r="K57" t="n">
        <x:v>31.507437</x:v>
      </x:c>
      <x:c r="L57" t="n">
        <x:v>2.459358</x:v>
      </x:c>
      <x:c r="M57" t="n">
        <x:v>31.507183</x:v>
      </x:c>
      <x:c r="N57" t="n">
        <x:v>2.459826</x:v>
      </x:c>
      <x:c r="O57" t="n">
        <x:v>2895.11</x:v>
      </x:c>
      <x:c r="P57" t="n">
        <x:f>IFERROR(INDEX(Assumptions!$B$9:$B$13,MATCH(F57,Assumptions!$A$9:$A$13,0)),0.15)</x:f>
        <x:v>0.12</x:v>
      </x:c>
      <x:c r="Q57" t="n">
        <x:f>ROUND(O57*(1-P57),0)</x:f>
        <x:v>2548</x:v>
      </x:c>
      <x:c r="R57" t="n">
        <x:f>ROUND(O57*P57,0)</x:f>
        <x:v>347</x:v>
      </x:c>
      <x:c r="S57" t="n">
        <x:f>ROUND(O57*IFERROR(INDEX(Assumptions!$C$9:$C$13,MATCH(F57,Assumptions!$A$9:$A$13,0)),0.55),0)</x:f>
        <x:v>1679</x:v>
      </x:c>
      <x:c r="T57" t="n">
        <x:f>ROUND(O57*IFERROR(INDEX(Assumptions!$D$9:$D$13,MATCH(F57,Assumptions!$A$9:$A$13,0)),0.06),0)</x:f>
        <x:v>232</x:v>
      </x:c>
      <x:c r="U57" t="n">
        <x:f>ROUND(O57*IFERROR(INDEX(Assumptions!$E$9:$E$13,MATCH(F57,Assumptions!$A$9:$A$13,0)),0.15),0)</x:f>
        <x:v>521</x:v>
      </x:c>
      <x:c r="V57" t="n">
        <x:f>MAX(0,O57-SUM(R57:U57))</x:f>
        <x:v>116.11000000000013</x:v>
      </x:c>
      <x:c r="W57" t="n">
        <x:f>MIN(100,40+IF(O57&gt;0,20,0)+IF(M57&lt;&gt;"",20,0)+IF(AF57&lt;&gt;"",20,0))</x:f>
        <x:v>100</x:v>
      </x:c>
      <x:c r="X57" t="str">
        <x:v>Placed on exact national road host link</x:v>
      </x:c>
      <x:c r="Y57" t="str">
        <x:v>Paved</x:v>
      </x:c>
      <x:c r="Z57" t="str">
        <x:v>A</x:v>
      </x:c>
      <x:c r="AA57" t="str">
        <x:v>Not available in governed source</x:v>
      </x:c>
      <x:c r="AB57" t="str">
        <x:v>Not available in governed source</x:v>
      </x:c>
      <x:c r="AC57" t="str">
        <x:v>FY2025/26</x:v>
      </x:c>
      <x:c r="AD57" t="str">
        <x:v>Modelled</x:v>
      </x:c>
      <x:c r="AE57" t="str">
        <x:v>2026 bridge AADT rebuilt from host-link traffic history, annual collection-link history, same-road corridor history and spatial count-station influence. Vehicle-class values are assigned from functional-class shares.</x:v>
      </x:c>
      <x:c r="AF57" t="str">
        <x:v>Placed on exact national road host link</x:v>
      </x:c>
    </x:row>
    <x:row r="58" ht="15" hidden="0" customHeight="1">
      <x:c r="A58" t="str">
        <x:v>bridge-057</x:v>
      </x:c>
      <x:c r="B58" t="str">
        <x:v>B033</x:v>
      </x:c>
      <x:c r="C58" t="str">
        <x:v>ACHWERA BRIDGE</x:v>
      </x:c>
      <x:c r="D58" t="str">
        <x:v>A008_Link03</x:v>
      </x:c>
      <x:c r="E58" t="str">
        <x:v>Packwach - Nebbi</x:v>
      </x:c>
      <x:c r="F58" t="str">
        <x:v>A</x:v>
      </x:c>
      <x:c r="G58" t="str">
        <x:v>Northern</x:v>
      </x:c>
      <x:c r="H58" t="str">
        <x:v>Arua</x:v>
      </x:c>
      <x:c r="I58" t="str">
        <x:v>ACHWERA</x:v>
      </x:c>
      <x:c r="J58" t="str">
        <x:v>Good</x:v>
      </x:c>
      <x:c r="K58" t="n">
        <x:v>31.172573</x:v>
      </x:c>
      <x:c r="L58" t="n">
        <x:v>2.482735</x:v>
      </x:c>
      <x:c r="M58" t="n">
        <x:v>31.188496</x:v>
      </x:c>
      <x:c r="N58" t="n">
        <x:v>2.469222</x:v>
      </x:c>
      <x:c r="O58" t="n">
        <x:v>2895.11</x:v>
      </x:c>
      <x:c r="P58" t="n">
        <x:f>IFERROR(INDEX(Assumptions!$B$9:$B$13,MATCH(F58,Assumptions!$A$9:$A$13,0)),0.15)</x:f>
        <x:v>0.12</x:v>
      </x:c>
      <x:c r="Q58" t="n">
        <x:f>ROUND(O58*(1-P58),0)</x:f>
        <x:v>2548</x:v>
      </x:c>
      <x:c r="R58" t="n">
        <x:f>ROUND(O58*P58,0)</x:f>
        <x:v>347</x:v>
      </x:c>
      <x:c r="S58" t="n">
        <x:f>ROUND(O58*IFERROR(INDEX(Assumptions!$C$9:$C$13,MATCH(F58,Assumptions!$A$9:$A$13,0)),0.55),0)</x:f>
        <x:v>1679</x:v>
      </x:c>
      <x:c r="T58" t="n">
        <x:f>ROUND(O58*IFERROR(INDEX(Assumptions!$D$9:$D$13,MATCH(F58,Assumptions!$A$9:$A$13,0)),0.06),0)</x:f>
        <x:v>232</x:v>
      </x:c>
      <x:c r="U58" t="n">
        <x:f>ROUND(O58*IFERROR(INDEX(Assumptions!$E$9:$E$13,MATCH(F58,Assumptions!$A$9:$A$13,0)),0.15),0)</x:f>
        <x:v>521</x:v>
      </x:c>
      <x:c r="V58" t="n">
        <x:f>MAX(0,O58-SUM(R58:U58))</x:f>
        <x:v>116.11000000000013</x:v>
      </x:c>
      <x:c r="W58" t="n">
        <x:f>MIN(100,40+IF(O58&gt;0,20,0)+IF(M58&lt;&gt;"",20,0)+IF(AF58&lt;&gt;"",20,0))</x:f>
        <x:v>100</x:v>
      </x:c>
      <x:c r="X58" t="str">
        <x:v>Placed on exact national road host link</x:v>
      </x:c>
      <x:c r="Y58" t="str">
        <x:v>Paved</x:v>
      </x:c>
      <x:c r="Z58" t="str">
        <x:v>A</x:v>
      </x:c>
      <x:c r="AA58" t="str">
        <x:v>Not available in governed source</x:v>
      </x:c>
      <x:c r="AB58" t="str">
        <x:v>Not available in governed source</x:v>
      </x:c>
      <x:c r="AC58" t="str">
        <x:v>FY2025/26</x:v>
      </x:c>
      <x:c r="AD58" t="str">
        <x:v>Modelled</x:v>
      </x:c>
      <x:c r="AE58" t="str">
        <x:v>2026 bridge AADT rebuilt from host-link traffic history, annual collection-link history, same-road corridor history and spatial count-station influence. Vehicle-class values are assigned from functional-class shares.</x:v>
      </x:c>
      <x:c r="AF58" t="str">
        <x:v>Placed on exact national road host link</x:v>
      </x:c>
    </x:row>
    <x:row r="59" ht="15" hidden="0" customHeight="1">
      <x:c r="A59" t="str">
        <x:v>bridge-058</x:v>
      </x:c>
      <x:c r="B59" t="str">
        <x:v>B034</x:v>
      </x:c>
      <x:c r="C59" t="str">
        <x:v>AKABA BRIDGE</x:v>
      </x:c>
      <x:c r="D59" t="str">
        <x:v>A008_Link03</x:v>
      </x:c>
      <x:c r="E59" t="str">
        <x:v>Packwach - Nebbi</x:v>
      </x:c>
      <x:c r="F59" t="str">
        <x:v>A</x:v>
      </x:c>
      <x:c r="G59" t="str">
        <x:v>Northern</x:v>
      </x:c>
      <x:c r="H59" t="str">
        <x:v>Arua</x:v>
      </x:c>
      <x:c r="I59" t="str">
        <x:v>AKABA RIVER</x:v>
      </x:c>
      <x:c r="J59" t="str">
        <x:v>Satisfactory</x:v>
      </x:c>
      <x:c r="K59" t="n">
        <x:v>31.141695</x:v>
      </x:c>
      <x:c r="L59" t="n">
        <x:v>2.490772</x:v>
      </x:c>
      <x:c r="M59" t="n">
        <x:v>31.168052</x:v>
      </x:c>
      <x:c r="N59" t="n">
        <x:v>2.484182</x:v>
      </x:c>
      <x:c r="O59" t="n">
        <x:v>2895.11</x:v>
      </x:c>
      <x:c r="P59" t="n">
        <x:f>IFERROR(INDEX(Assumptions!$B$9:$B$13,MATCH(F59,Assumptions!$A$9:$A$13,0)),0.15)</x:f>
        <x:v>0.12</x:v>
      </x:c>
      <x:c r="Q59" t="n">
        <x:f>ROUND(O59*(1-P59),0)</x:f>
        <x:v>2548</x:v>
      </x:c>
      <x:c r="R59" t="n">
        <x:f>ROUND(O59*P59,0)</x:f>
        <x:v>347</x:v>
      </x:c>
      <x:c r="S59" t="n">
        <x:f>ROUND(O59*IFERROR(INDEX(Assumptions!$C$9:$C$13,MATCH(F59,Assumptions!$A$9:$A$13,0)),0.55),0)</x:f>
        <x:v>1679</x:v>
      </x:c>
      <x:c r="T59" t="n">
        <x:f>ROUND(O59*IFERROR(INDEX(Assumptions!$D$9:$D$13,MATCH(F59,Assumptions!$A$9:$A$13,0)),0.06),0)</x:f>
        <x:v>232</x:v>
      </x:c>
      <x:c r="U59" t="n">
        <x:f>ROUND(O59*IFERROR(INDEX(Assumptions!$E$9:$E$13,MATCH(F59,Assumptions!$A$9:$A$13,0)),0.15),0)</x:f>
        <x:v>521</x:v>
      </x:c>
      <x:c r="V59" t="n">
        <x:f>MAX(0,O59-SUM(R59:U59))</x:f>
        <x:v>116.11000000000013</x:v>
      </x:c>
      <x:c r="W59" t="n">
        <x:f>MIN(100,40+IF(O59&gt;0,20,0)+IF(M59&lt;&gt;"",20,0)+IF(AF59&lt;&gt;"",20,0))</x:f>
        <x:v>100</x:v>
      </x:c>
      <x:c r="X59" t="str">
        <x:v>Placed on exact national road host link</x:v>
      </x:c>
      <x:c r="Y59" t="str">
        <x:v>Paved</x:v>
      </x:c>
      <x:c r="Z59" t="str">
        <x:v>A</x:v>
      </x:c>
      <x:c r="AA59" t="str">
        <x:v>Not available in governed source</x:v>
      </x:c>
      <x:c r="AB59" t="str">
        <x:v>Not available in governed source</x:v>
      </x:c>
      <x:c r="AC59" t="str">
        <x:v>FY2025/26</x:v>
      </x:c>
      <x:c r="AD59" t="str">
        <x:v>Modelled</x:v>
      </x:c>
      <x:c r="AE59" t="str">
        <x:v>2026 bridge AADT rebuilt from host-link traffic history, annual collection-link history, same-road corridor history and spatial count-station influence. Vehicle-class values are assigned from functional-class shares.</x:v>
      </x:c>
      <x:c r="AF59" t="str">
        <x:v>Placed on exact national road host link</x:v>
      </x:c>
    </x:row>
    <x:row r="60" ht="15" hidden="0" customHeight="1">
      <x:c r="A60" t="str">
        <x:v>bridge-059</x:v>
      </x:c>
      <x:c r="B60" t="str">
        <x:v>B035</x:v>
      </x:c>
      <x:c r="C60" t="str">
        <x:v>NYARWODHO BRIDGE</x:v>
      </x:c>
      <x:c r="D60" t="str">
        <x:v>A008_Link03</x:v>
      </x:c>
      <x:c r="E60" t="str">
        <x:v>Packwach - Nebbi</x:v>
      </x:c>
      <x:c r="F60" t="str">
        <x:v>A</x:v>
      </x:c>
      <x:c r="G60" t="str">
        <x:v>Northern</x:v>
      </x:c>
      <x:c r="H60" t="str">
        <x:v>Arua</x:v>
      </x:c>
      <x:c r="I60" t="str">
        <x:v>NYARWODHO</x:v>
      </x:c>
      <x:c r="J60" t="str">
        <x:v>Good</x:v>
      </x:c>
      <x:c r="K60" t="n">
        <x:v>31.128204</x:v>
      </x:c>
      <x:c r="L60" t="n">
        <x:v>2.49496</x:v>
      </x:c>
      <x:c r="M60" t="n">
        <x:v>31.149975</x:v>
      </x:c>
      <x:c r="N60" t="n">
        <x:v>2.488967</x:v>
      </x:c>
      <x:c r="O60" t="n">
        <x:v>2895.11</x:v>
      </x:c>
      <x:c r="P60" t="n">
        <x:f>IFERROR(INDEX(Assumptions!$B$9:$B$13,MATCH(F60,Assumptions!$A$9:$A$13,0)),0.15)</x:f>
        <x:v>0.12</x:v>
      </x:c>
      <x:c r="Q60" t="n">
        <x:f>ROUND(O60*(1-P60),0)</x:f>
        <x:v>2548</x:v>
      </x:c>
      <x:c r="R60" t="n">
        <x:f>ROUND(O60*P60,0)</x:f>
        <x:v>347</x:v>
      </x:c>
      <x:c r="S60" t="n">
        <x:f>ROUND(O60*IFERROR(INDEX(Assumptions!$C$9:$C$13,MATCH(F60,Assumptions!$A$9:$A$13,0)),0.55),0)</x:f>
        <x:v>1679</x:v>
      </x:c>
      <x:c r="T60" t="n">
        <x:f>ROUND(O60*IFERROR(INDEX(Assumptions!$D$9:$D$13,MATCH(F60,Assumptions!$A$9:$A$13,0)),0.06),0)</x:f>
        <x:v>232</x:v>
      </x:c>
      <x:c r="U60" t="n">
        <x:f>ROUND(O60*IFERROR(INDEX(Assumptions!$E$9:$E$13,MATCH(F60,Assumptions!$A$9:$A$13,0)),0.15),0)</x:f>
        <x:v>521</x:v>
      </x:c>
      <x:c r="V60" t="n">
        <x:f>MAX(0,O60-SUM(R60:U60))</x:f>
        <x:v>116.11000000000013</x:v>
      </x:c>
      <x:c r="W60" t="n">
        <x:f>MIN(100,40+IF(O60&gt;0,20,0)+IF(M60&lt;&gt;"",20,0)+IF(AF60&lt;&gt;"",20,0))</x:f>
        <x:v>100</x:v>
      </x:c>
      <x:c r="X60" t="str">
        <x:v>Placed on exact national road host link</x:v>
      </x:c>
      <x:c r="Y60" t="str">
        <x:v>Paved</x:v>
      </x:c>
      <x:c r="Z60" t="str">
        <x:v>A</x:v>
      </x:c>
      <x:c r="AA60" t="str">
        <x:v>Not available in governed source</x:v>
      </x:c>
      <x:c r="AB60" t="str">
        <x:v>Not available in governed source</x:v>
      </x:c>
      <x:c r="AC60" t="str">
        <x:v>FY2025/26</x:v>
      </x:c>
      <x:c r="AD60" t="str">
        <x:v>Modelled</x:v>
      </x:c>
      <x:c r="AE60" t="str">
        <x:v>2026 bridge AADT rebuilt from host-link traffic history, annual collection-link history, same-road corridor history and spatial count-station influence. Vehicle-class values are assigned from functional-class shares.</x:v>
      </x:c>
      <x:c r="AF60" t="str">
        <x:v>Placed on exact national road host link</x:v>
      </x:c>
    </x:row>
    <x:row r="61" ht="15" hidden="0" customHeight="1">
      <x:c r="A61" t="str">
        <x:v>bridge-060</x:v>
      </x:c>
      <x:c r="B61" t="str">
        <x:v>B036</x:v>
      </x:c>
      <x:c r="C61" t="str">
        <x:v>NAMTHIN BRIDGE</x:v>
      </x:c>
      <x:c r="D61" t="str">
        <x:v>A008_Link04</x:v>
      </x:c>
      <x:c r="E61" t="str">
        <x:v>Nebbi - Eruba</x:v>
      </x:c>
      <x:c r="F61" t="str">
        <x:v>A</x:v>
      </x:c>
      <x:c r="G61" t="str">
        <x:v>Northern</x:v>
      </x:c>
      <x:c r="H61" t="str">
        <x:v>Arua</x:v>
      </x:c>
      <x:c r="I61" t="str">
        <x:v>NAMTHIN RIVER</x:v>
      </x:c>
      <x:c r="J61" t="str">
        <x:v>Good</x:v>
      </x:c>
      <x:c r="K61" t="n">
        <x:v>31.090334</x:v>
      </x:c>
      <x:c r="L61" t="n">
        <x:v>2.511596</x:v>
      </x:c>
      <x:c r="M61" t="n">
        <x:v>31.089761</x:v>
      </x:c>
      <x:c r="N61" t="n">
        <x:v>2.515232</x:v>
      </x:c>
      <x:c r="O61" t="n">
        <x:v>1723.32</x:v>
      </x:c>
      <x:c r="P61" t="n">
        <x:f>IFERROR(INDEX(Assumptions!$B$9:$B$13,MATCH(F61,Assumptions!$A$9:$A$13,0)),0.15)</x:f>
        <x:v>0.12</x:v>
      </x:c>
      <x:c r="Q61" t="n">
        <x:f>ROUND(O61*(1-P61),0)</x:f>
        <x:v>1517</x:v>
      </x:c>
      <x:c r="R61" t="n">
        <x:f>ROUND(O61*P61,0)</x:f>
        <x:v>207</x:v>
      </x:c>
      <x:c r="S61" t="n">
        <x:f>ROUND(O61*IFERROR(INDEX(Assumptions!$C$9:$C$13,MATCH(F61,Assumptions!$A$9:$A$13,0)),0.55),0)</x:f>
        <x:v>1000</x:v>
      </x:c>
      <x:c r="T61" t="n">
        <x:f>ROUND(O61*IFERROR(INDEX(Assumptions!$D$9:$D$13,MATCH(F61,Assumptions!$A$9:$A$13,0)),0.06),0)</x:f>
        <x:v>138</x:v>
      </x:c>
      <x:c r="U61" t="n">
        <x:f>ROUND(O61*IFERROR(INDEX(Assumptions!$E$9:$E$13,MATCH(F61,Assumptions!$A$9:$A$13,0)),0.15),0)</x:f>
        <x:v>310</x:v>
      </x:c>
      <x:c r="V61" t="n">
        <x:f>MAX(0,O61-SUM(R61:U61))</x:f>
        <x:v>68.31999999999994</x:v>
      </x:c>
      <x:c r="W61" t="n">
        <x:f>MIN(100,40+IF(O61&gt;0,20,0)+IF(M61&lt;&gt;"",20,0)+IF(AF61&lt;&gt;"",20,0))</x:f>
        <x:v>100</x:v>
      </x:c>
      <x:c r="X61" t="str">
        <x:v>Placed on exact national road host link</x:v>
      </x:c>
      <x:c r="Y61" t="str">
        <x:v>Paved</x:v>
      </x:c>
      <x:c r="Z61" t="str">
        <x:v>A</x:v>
      </x:c>
      <x:c r="AA61" t="str">
        <x:v>Not available in governed source</x:v>
      </x:c>
      <x:c r="AB61" t="str">
        <x:v>Not available in governed source</x:v>
      </x:c>
      <x:c r="AC61" t="str">
        <x:v>FY2025/26</x:v>
      </x:c>
      <x:c r="AD61" t="str">
        <x:v>Modelled</x:v>
      </x:c>
      <x:c r="AE61" t="str">
        <x:v>2026 bridge AADT rebuilt from host-link traffic history, annual collection-link history, same-road corridor history and spatial count-station influence. Vehicle-class values are assigned from functional-class shares.</x:v>
      </x:c>
      <x:c r="AF61" t="str">
        <x:v>Placed on exact national road host link</x:v>
      </x:c>
    </x:row>
    <x:row r="62" ht="15" hidden="0" customHeight="1">
      <x:c r="A62" t="str">
        <x:v>bridge-061</x:v>
      </x:c>
      <x:c r="B62" t="str">
        <x:v>B037</x:v>
      </x:c>
      <x:c r="C62" t="str">
        <x:v>ORA BRIDGE</x:v>
      </x:c>
      <x:c r="D62" t="str">
        <x:v>A008_Link04</x:v>
      </x:c>
      <x:c r="E62" t="str">
        <x:v>Nebbi - Eruba</x:v>
      </x:c>
      <x:c r="F62" t="str">
        <x:v>A</x:v>
      </x:c>
      <x:c r="G62" t="str">
        <x:v>Northern</x:v>
      </x:c>
      <x:c r="H62" t="str">
        <x:v>Arua</x:v>
      </x:c>
      <x:c r="I62" t="str">
        <x:v>ORA RIVER</x:v>
      </x:c>
      <x:c r="J62" t="str">
        <x:v>Satisfactory</x:v>
      </x:c>
      <x:c r="K62" t="n">
        <x:v>31.140558</x:v>
      </x:c>
      <x:c r="L62" t="n">
        <x:v>2.656083</x:v>
      </x:c>
      <x:c r="M62" t="n">
        <x:v>31.14069</x:v>
      </x:c>
      <x:c r="N62" t="n">
        <x:v>2.6556</x:v>
      </x:c>
      <x:c r="O62" t="n">
        <x:v>1723.32</x:v>
      </x:c>
      <x:c r="P62" t="n">
        <x:f>IFERROR(INDEX(Assumptions!$B$9:$B$13,MATCH(F62,Assumptions!$A$9:$A$13,0)),0.15)</x:f>
        <x:v>0.12</x:v>
      </x:c>
      <x:c r="Q62" t="n">
        <x:f>ROUND(O62*(1-P62),0)</x:f>
        <x:v>1517</x:v>
      </x:c>
      <x:c r="R62" t="n">
        <x:f>ROUND(O62*P62,0)</x:f>
        <x:v>207</x:v>
      </x:c>
      <x:c r="S62" t="n">
        <x:f>ROUND(O62*IFERROR(INDEX(Assumptions!$C$9:$C$13,MATCH(F62,Assumptions!$A$9:$A$13,0)),0.55),0)</x:f>
        <x:v>1000</x:v>
      </x:c>
      <x:c r="T62" t="n">
        <x:f>ROUND(O62*IFERROR(INDEX(Assumptions!$D$9:$D$13,MATCH(F62,Assumptions!$A$9:$A$13,0)),0.06),0)</x:f>
        <x:v>138</x:v>
      </x:c>
      <x:c r="U62" t="n">
        <x:f>ROUND(O62*IFERROR(INDEX(Assumptions!$E$9:$E$13,MATCH(F62,Assumptions!$A$9:$A$13,0)),0.15),0)</x:f>
        <x:v>310</x:v>
      </x:c>
      <x:c r="V62" t="n">
        <x:f>MAX(0,O62-SUM(R62:U62))</x:f>
        <x:v>68.31999999999994</x:v>
      </x:c>
      <x:c r="W62" t="n">
        <x:f>MIN(100,40+IF(O62&gt;0,20,0)+IF(M62&lt;&gt;"",20,0)+IF(AF62&lt;&gt;"",20,0))</x:f>
        <x:v>100</x:v>
      </x:c>
      <x:c r="X62" t="str">
        <x:v>Placed on exact national road host link</x:v>
      </x:c>
      <x:c r="Y62" t="str">
        <x:v>Paved</x:v>
      </x:c>
      <x:c r="Z62" t="str">
        <x:v>A</x:v>
      </x:c>
      <x:c r="AA62" t="str">
        <x:v>Not available in governed source</x:v>
      </x:c>
      <x:c r="AB62" t="str">
        <x:v>Not available in governed source</x:v>
      </x:c>
      <x:c r="AC62" t="str">
        <x:v>FY2025/26</x:v>
      </x:c>
      <x:c r="AD62" t="str">
        <x:v>Modelled</x:v>
      </x:c>
      <x:c r="AE62" t="str">
        <x:v>2026 bridge AADT rebuilt from host-link traffic history, annual collection-link history, same-road corridor history and spatial count-station influence. Vehicle-class values are assigned from functional-class shares.</x:v>
      </x:c>
      <x:c r="AF62" t="str">
        <x:v>Placed on exact national road host link</x:v>
      </x:c>
    </x:row>
    <x:row r="63" ht="15" hidden="0" customHeight="1">
      <x:c r="A63" t="str">
        <x:v>bridge-062</x:v>
      </x:c>
      <x:c r="B63" t="str">
        <x:v>B038</x:v>
      </x:c>
      <x:c r="C63" t="str">
        <x:v>AGUYI BRIDGE</x:v>
      </x:c>
      <x:c r="D63" t="str">
        <x:v>A008_Link04</x:v>
      </x:c>
      <x:c r="E63" t="str">
        <x:v>Nebbi - Eruba</x:v>
      </x:c>
      <x:c r="F63" t="str">
        <x:v>A</x:v>
      </x:c>
      <x:c r="G63" t="str">
        <x:v>Northern</x:v>
      </x:c>
      <x:c r="H63" t="str">
        <x:v>Arua</x:v>
      </x:c>
      <x:c r="I63" t="str">
        <x:v>AGUYI RIVER</x:v>
      </x:c>
      <x:c r="J63" t="str">
        <x:v>Good</x:v>
      </x:c>
      <x:c r="K63" t="n">
        <x:v>30.995136</x:v>
      </x:c>
      <x:c r="L63" t="n">
        <x:v>2.829575</x:v>
      </x:c>
      <x:c r="M63" t="n">
        <x:v>30.99522</x:v>
      </x:c>
      <x:c r="N63" t="n">
        <x:v>2.824566</x:v>
      </x:c>
      <x:c r="O63" t="n">
        <x:v>1723.32</x:v>
      </x:c>
      <x:c r="P63" t="n">
        <x:f>IFERROR(INDEX(Assumptions!$B$9:$B$13,MATCH(F63,Assumptions!$A$9:$A$13,0)),0.15)</x:f>
        <x:v>0.12</x:v>
      </x:c>
      <x:c r="Q63" t="n">
        <x:f>ROUND(O63*(1-P63),0)</x:f>
        <x:v>1517</x:v>
      </x:c>
      <x:c r="R63" t="n">
        <x:f>ROUND(O63*P63,0)</x:f>
        <x:v>207</x:v>
      </x:c>
      <x:c r="S63" t="n">
        <x:f>ROUND(O63*IFERROR(INDEX(Assumptions!$C$9:$C$13,MATCH(F63,Assumptions!$A$9:$A$13,0)),0.55),0)</x:f>
        <x:v>1000</x:v>
      </x:c>
      <x:c r="T63" t="n">
        <x:f>ROUND(O63*IFERROR(INDEX(Assumptions!$D$9:$D$13,MATCH(F63,Assumptions!$A$9:$A$13,0)),0.06),0)</x:f>
        <x:v>138</x:v>
      </x:c>
      <x:c r="U63" t="n">
        <x:f>ROUND(O63*IFERROR(INDEX(Assumptions!$E$9:$E$13,MATCH(F63,Assumptions!$A$9:$A$13,0)),0.15),0)</x:f>
        <x:v>310</x:v>
      </x:c>
      <x:c r="V63" t="n">
        <x:f>MAX(0,O63-SUM(R63:U63))</x:f>
        <x:v>68.31999999999994</x:v>
      </x:c>
      <x:c r="W63" t="n">
        <x:f>MIN(100,40+IF(O63&gt;0,20,0)+IF(M63&lt;&gt;"",20,0)+IF(AF63&lt;&gt;"",20,0))</x:f>
        <x:v>100</x:v>
      </x:c>
      <x:c r="X63" t="str">
        <x:v>Placed on exact national road host link</x:v>
      </x:c>
      <x:c r="Y63" t="str">
        <x:v>Paved</x:v>
      </x:c>
      <x:c r="Z63" t="str">
        <x:v>A</x:v>
      </x:c>
      <x:c r="AA63" t="str">
        <x:v>Not available in governed source</x:v>
      </x:c>
      <x:c r="AB63" t="str">
        <x:v>Not available in governed source</x:v>
      </x:c>
      <x:c r="AC63" t="str">
        <x:v>FY2025/26</x:v>
      </x:c>
      <x:c r="AD63" t="str">
        <x:v>Modelled</x:v>
      </x:c>
      <x:c r="AE63" t="str">
        <x:v>2026 bridge AADT rebuilt from host-link traffic history, annual collection-link history, same-road corridor history and spatial count-station influence. Vehicle-class values are assigned from functional-class shares.</x:v>
      </x:c>
      <x:c r="AF63" t="str">
        <x:v>Placed on exact national road host link</x:v>
      </x:c>
    </x:row>
    <x:row r="64" ht="15" hidden="0" customHeight="1">
      <x:c r="A64" t="str">
        <x:v>bridge-063</x:v>
      </x:c>
      <x:c r="B64" t="str">
        <x:v>B039</x:v>
      </x:c>
      <x:c r="C64" t="str">
        <x:v>OZUVA BRIDGE</x:v>
      </x:c>
      <x:c r="D64" t="str">
        <x:v>A008_Link04</x:v>
      </x:c>
      <x:c r="E64" t="str">
        <x:v>Nebbi - Eruba</x:v>
      </x:c>
      <x:c r="F64" t="str">
        <x:v>A</x:v>
      </x:c>
      <x:c r="G64" t="str">
        <x:v>Northern</x:v>
      </x:c>
      <x:c r="H64" t="str">
        <x:v>Arua</x:v>
      </x:c>
      <x:c r="I64" t="str">
        <x:v>OZUVA</x:v>
      </x:c>
      <x:c r="J64" t="str">
        <x:v>Good</x:v>
      </x:c>
      <x:c r="K64" t="n">
        <x:v>30.984146</x:v>
      </x:c>
      <x:c r="L64" t="n">
        <x:v>2.867597</x:v>
      </x:c>
      <x:c r="M64" t="n">
        <x:v>30.984172</x:v>
      </x:c>
      <x:c r="N64" t="n">
        <x:v>2.859082</x:v>
      </x:c>
      <x:c r="O64" t="n">
        <x:v>1723.32</x:v>
      </x:c>
      <x:c r="P64" t="n">
        <x:f>IFERROR(INDEX(Assumptions!$B$9:$B$13,MATCH(F64,Assumptions!$A$9:$A$13,0)),0.15)</x:f>
        <x:v>0.12</x:v>
      </x:c>
      <x:c r="Q64" t="n">
        <x:f>ROUND(O64*(1-P64),0)</x:f>
        <x:v>1517</x:v>
      </x:c>
      <x:c r="R64" t="n">
        <x:f>ROUND(O64*P64,0)</x:f>
        <x:v>207</x:v>
      </x:c>
      <x:c r="S64" t="n">
        <x:f>ROUND(O64*IFERROR(INDEX(Assumptions!$C$9:$C$13,MATCH(F64,Assumptions!$A$9:$A$13,0)),0.55),0)</x:f>
        <x:v>1000</x:v>
      </x:c>
      <x:c r="T64" t="n">
        <x:f>ROUND(O64*IFERROR(INDEX(Assumptions!$D$9:$D$13,MATCH(F64,Assumptions!$A$9:$A$13,0)),0.06),0)</x:f>
        <x:v>138</x:v>
      </x:c>
      <x:c r="U64" t="n">
        <x:f>ROUND(O64*IFERROR(INDEX(Assumptions!$E$9:$E$13,MATCH(F64,Assumptions!$A$9:$A$13,0)),0.15),0)</x:f>
        <x:v>310</x:v>
      </x:c>
      <x:c r="V64" t="n">
        <x:f>MAX(0,O64-SUM(R64:U64))</x:f>
        <x:v>68.31999999999994</x:v>
      </x:c>
      <x:c r="W64" t="n">
        <x:f>MIN(100,40+IF(O64&gt;0,20,0)+IF(M64&lt;&gt;"",20,0)+IF(AF64&lt;&gt;"",20,0))</x:f>
        <x:v>100</x:v>
      </x:c>
      <x:c r="X64" t="str">
        <x:v>Placed on exact national road host link</x:v>
      </x:c>
      <x:c r="Y64" t="str">
        <x:v>Paved</x:v>
      </x:c>
      <x:c r="Z64" t="str">
        <x:v>A</x:v>
      </x:c>
      <x:c r="AA64" t="str">
        <x:v>Not available in governed source</x:v>
      </x:c>
      <x:c r="AB64" t="str">
        <x:v>Not available in governed source</x:v>
      </x:c>
      <x:c r="AC64" t="str">
        <x:v>FY2025/26</x:v>
      </x:c>
      <x:c r="AD64" t="str">
        <x:v>Modelled</x:v>
      </x:c>
      <x:c r="AE64" t="str">
        <x:v>2026 bridge AADT rebuilt from host-link traffic history, annual collection-link history, same-road corridor history and spatial count-station influence. Vehicle-class values are assigned from functional-class shares.</x:v>
      </x:c>
      <x:c r="AF64" t="str">
        <x:v>Placed on exact national road host link</x:v>
      </x:c>
    </x:row>
    <x:row r="65" ht="15" hidden="0" customHeight="1">
      <x:c r="A65" t="str">
        <x:v>bridge-064</x:v>
      </x:c>
      <x:c r="B65" t="str">
        <x:v>B040</x:v>
      </x:c>
      <x:c r="C65" t="str">
        <x:v>WIKI BRIDGE</x:v>
      </x:c>
      <x:c r="D65" t="str">
        <x:v>A008_Link04</x:v>
      </x:c>
      <x:c r="E65" t="str">
        <x:v>Nebbi - Eruba</x:v>
      </x:c>
      <x:c r="F65" t="str">
        <x:v>A</x:v>
      </x:c>
      <x:c r="G65" t="str">
        <x:v>Northern</x:v>
      </x:c>
      <x:c r="H65" t="str">
        <x:v>Arua</x:v>
      </x:c>
      <x:c r="I65" t="str">
        <x:v>WIKI</x:v>
      </x:c>
      <x:c r="J65" t="str">
        <x:v>Good</x:v>
      </x:c>
      <x:c r="K65" t="n">
        <x:v>30.980899810791</x:v>
      </x:c>
      <x:c r="L65" t="n">
        <x:v>2.87987399101257</x:v>
      </x:c>
      <x:c r="M65" t="n">
        <x:v>30.980899810791</x:v>
      </x:c>
      <x:c r="N65" t="n">
        <x:v>2.87987399101257</x:v>
      </x:c>
      <x:c r="O65" t="n">
        <x:v>0</x:v>
      </x:c>
      <x:c r="P65" t="n">
        <x:f>IFERROR(INDEX(Assumptions!$B$9:$B$13,MATCH(F65,Assumptions!$A$9:$A$13,0)),0.15)</x:f>
        <x:v>0.12</x:v>
      </x:c>
      <x:c r="Q65" t="n">
        <x:f>ROUND(O65*(1-P65),0)</x:f>
        <x:v>0</x:v>
      </x:c>
      <x:c r="R65" t="n">
        <x:f>ROUND(O65*P65,0)</x:f>
        <x:v>0</x:v>
      </x:c>
      <x:c r="S65" t="n">
        <x:f>ROUND(O65*IFERROR(INDEX(Assumptions!$C$9:$C$13,MATCH(F65,Assumptions!$A$9:$A$13,0)),0.55),0)</x:f>
        <x:v>0</x:v>
      </x:c>
      <x:c r="T65" t="n">
        <x:f>ROUND(O65*IFERROR(INDEX(Assumptions!$D$9:$D$13,MATCH(F65,Assumptions!$A$9:$A$13,0)),0.06),0)</x:f>
        <x:v>0</x:v>
      </x:c>
      <x:c r="U65" t="n">
        <x:f>ROUND(O65*IFERROR(INDEX(Assumptions!$E$9:$E$13,MATCH(F65,Assumptions!$A$9:$A$13,0)),0.15),0)</x:f>
        <x:v>0</x:v>
      </x:c>
      <x:c r="V65" t="n">
        <x:f>MAX(0,O65-SUM(R65:U65))</x:f>
        <x:v>0</x:v>
      </x:c>
      <x:c r="W65" t="n">
        <x:f>MIN(100,40+IF(O65&gt;0,20,0)+IF(M65&lt;&gt;"",20,0)+IF(AF65&lt;&gt;"",20,0))</x:f>
        <x:v>80</x:v>
      </x:c>
      <x:c r="X65" t="str">
        <x:v>manual</x:v>
      </x:c>
      <x:c r="Y65" t="str">
        <x:v>Unpaved</x:v>
      </x:c>
      <x:c r="Z65" t="str">
        <x:v>A</x:v>
      </x:c>
      <x:c r="AA65" t="str">
        <x:v>Not available in governed source</x:v>
      </x:c>
      <x:c r="AB65" t="str">
        <x:v>Not available in governed source</x:v>
      </x:c>
      <x:c r="AC65" t="str">
        <x:v>FY2025/26</x:v>
      </x:c>
      <x:c r="AD65" t="str">
        <x:v>Modelled</x:v>
      </x:c>
      <x:c r="AE65" t="str">
        <x:v>2026 bridge AADT rebuilt from host-link traffic history, annual collection-link history, same-road corridor history and spatial count-station influence. Vehicle-class values are assigned from functional-class shares.</x:v>
      </x:c>
      <x:c r="AF65" t="str">
        <x:v>manual</x:v>
      </x:c>
    </x:row>
    <x:row r="66" ht="15" hidden="0" customHeight="1">
      <x:c r="A66" t="str">
        <x:v>bridge-065</x:v>
      </x:c>
      <x:c r="B66" t="str">
        <x:v>B041</x:v>
      </x:c>
      <x:c r="C66" t="str">
        <x:v>KAYIRILA BRIDGE</x:v>
      </x:c>
      <x:c r="D66" t="str">
        <x:v>A009_Link03</x:v>
      </x:c>
      <x:c r="E66" t="str">
        <x:v>Busunju - Kiboga - Lwamata</x:v>
      </x:c>
      <x:c r="F66" t="str">
        <x:v>A</x:v>
      </x:c>
      <x:c r="G66" t="str">
        <x:v>Central</x:v>
      </x:c>
      <x:c r="H66" t="str">
        <x:v>Kampala</x:v>
      </x:c>
      <x:c r="I66" t="str">
        <x:v>KAYIRIIRA RIVER</x:v>
      </x:c>
      <x:c r="J66" t="str">
        <x:v>Marginal</x:v>
      </x:c>
      <x:c r="K66" t="n">
        <x:v>31.909081</x:v>
      </x:c>
      <x:c r="L66" t="n">
        <x:v>0.8206</x:v>
      </x:c>
      <x:c r="M66" t="n">
        <x:v>31.917754</x:v>
      </x:c>
      <x:c r="N66" t="n">
        <x:v>0.811415</x:v>
      </x:c>
      <x:c r="O66" t="n">
        <x:v>10893.97</x:v>
      </x:c>
      <x:c r="P66" t="n">
        <x:f>IFERROR(INDEX(Assumptions!$B$9:$B$13,MATCH(F66,Assumptions!$A$9:$A$13,0)),0.15)</x:f>
        <x:v>0.12</x:v>
      </x:c>
      <x:c r="Q66" t="n">
        <x:f>ROUND(O66*(1-P66),0)</x:f>
        <x:v>9587</x:v>
      </x:c>
      <x:c r="R66" t="n">
        <x:f>ROUND(O66*P66,0)</x:f>
        <x:v>1307</x:v>
      </x:c>
      <x:c r="S66" t="n">
        <x:f>ROUND(O66*IFERROR(INDEX(Assumptions!$C$9:$C$13,MATCH(F66,Assumptions!$A$9:$A$13,0)),0.55),0)</x:f>
        <x:v>6319</x:v>
      </x:c>
      <x:c r="T66" t="n">
        <x:f>ROUND(O66*IFERROR(INDEX(Assumptions!$D$9:$D$13,MATCH(F66,Assumptions!$A$9:$A$13,0)),0.06),0)</x:f>
        <x:v>872</x:v>
      </x:c>
      <x:c r="U66" t="n">
        <x:f>ROUND(O66*IFERROR(INDEX(Assumptions!$E$9:$E$13,MATCH(F66,Assumptions!$A$9:$A$13,0)),0.15),0)</x:f>
        <x:v>1961</x:v>
      </x:c>
      <x:c r="V66" t="n">
        <x:f>MAX(0,O66-SUM(R66:U66))</x:f>
        <x:v>434.96999999999935</x:v>
      </x:c>
      <x:c r="W66" t="n">
        <x:f>MIN(100,40+IF(O66&gt;0,20,0)+IF(M66&lt;&gt;"",20,0)+IF(AF66&lt;&gt;"",20,0))</x:f>
        <x:v>100</x:v>
      </x:c>
      <x:c r="X66" t="str">
        <x:v>Placed on exact national road host link</x:v>
      </x:c>
      <x:c r="Y66" t="str">
        <x:v>Paved</x:v>
      </x:c>
      <x:c r="Z66" t="str">
        <x:v>A</x:v>
      </x:c>
      <x:c r="AA66" t="str">
        <x:v>Not available in governed source</x:v>
      </x:c>
      <x:c r="AB66" t="str">
        <x:v>Not available in governed source</x:v>
      </x:c>
      <x:c r="AC66" t="str">
        <x:v>FY2025/26</x:v>
      </x:c>
      <x:c r="AD66" t="str">
        <x:v>Modelled</x:v>
      </x:c>
      <x:c r="AE66" t="str">
        <x:v>2026 bridge AADT rebuilt from host-link traffic history, annual collection-link history, same-road corridor history and spatial count-station influence. Vehicle-class values are assigned from functional-class shares.</x:v>
      </x:c>
      <x:c r="AF66" t="str">
        <x:v>Placed on exact national road host link</x:v>
      </x:c>
    </x:row>
    <x:row r="67" ht="15" hidden="0" customHeight="1">
      <x:c r="A67" t="str">
        <x:v>bridge-066</x:v>
      </x:c>
      <x:c r="B67" t="str">
        <x:v>B042</x:v>
      </x:c>
      <x:c r="C67" t="str">
        <x:v>MPOLOGOMA</x:v>
      </x:c>
      <x:c r="D67" t="str">
        <x:v>A012_LINK01</x:v>
      </x:c>
      <x:c r="E67" t="str">
        <x:v>Nakalama - Namutumba - Mpologoma bridge</x:v>
      </x:c>
      <x:c r="F67" t="str">
        <x:v>A</x:v>
      </x:c>
      <x:c r="G67" t="str">
        <x:v>Eastern</x:v>
      </x:c>
      <x:c r="H67" t="str">
        <x:v>Jinja</x:v>
      </x:c>
      <x:c r="I67" t="str">
        <x:v>MPOLOGOMA</x:v>
      </x:c>
      <x:c r="J67" t="str">
        <x:v>Good</x:v>
      </x:c>
      <x:c r="K67" t="n">
        <x:v>33.737881</x:v>
      </x:c>
      <x:c r="L67" t="n">
        <x:v>0.96719</x:v>
      </x:c>
      <x:c r="M67" t="n">
        <x:v>33.73775</x:v>
      </x:c>
      <x:c r="N67" t="n">
        <x:v>0.966936</x:v>
      </x:c>
      <x:c r="O67" t="n">
        <x:v>27494.19</x:v>
      </x:c>
      <x:c r="P67" t="n">
        <x:f>IFERROR(INDEX(Assumptions!$B$9:$B$13,MATCH(F67,Assumptions!$A$9:$A$13,0)),0.15)</x:f>
        <x:v>0.12</x:v>
      </x:c>
      <x:c r="Q67" t="n">
        <x:f>ROUND(O67*(1-P67),0)</x:f>
        <x:v>24195</x:v>
      </x:c>
      <x:c r="R67" t="n">
        <x:f>ROUND(O67*P67,0)</x:f>
        <x:v>3299</x:v>
      </x:c>
      <x:c r="S67" t="n">
        <x:f>ROUND(O67*IFERROR(INDEX(Assumptions!$C$9:$C$13,MATCH(F67,Assumptions!$A$9:$A$13,0)),0.55),0)</x:f>
        <x:v>15947</x:v>
      </x:c>
      <x:c r="T67" t="n">
        <x:f>ROUND(O67*IFERROR(INDEX(Assumptions!$D$9:$D$13,MATCH(F67,Assumptions!$A$9:$A$13,0)),0.06),0)</x:f>
        <x:v>2200</x:v>
      </x:c>
      <x:c r="U67" t="n">
        <x:f>ROUND(O67*IFERROR(INDEX(Assumptions!$E$9:$E$13,MATCH(F67,Assumptions!$A$9:$A$13,0)),0.15),0)</x:f>
        <x:v>4949</x:v>
      </x:c>
      <x:c r="V67" t="n">
        <x:f>MAX(0,O67-SUM(R67:U67))</x:f>
        <x:v>1099.1899999999987</x:v>
      </x:c>
      <x:c r="W67" t="n">
        <x:f>MIN(100,40+IF(O67&gt;0,20,0)+IF(M67&lt;&gt;"",20,0)+IF(AF67&lt;&gt;"",20,0))</x:f>
        <x:v>100</x:v>
      </x:c>
      <x:c r="X67" t="str">
        <x:v>Placed on exact national road host link</x:v>
      </x:c>
      <x:c r="Y67" t="str">
        <x:v>Paved</x:v>
      </x:c>
      <x:c r="Z67" t="str">
        <x:v>A</x:v>
      </x:c>
      <x:c r="AA67" t="str">
        <x:v>Not available in governed source</x:v>
      </x:c>
      <x:c r="AB67" t="str">
        <x:v>Not available in governed source</x:v>
      </x:c>
      <x:c r="AC67" t="str">
        <x:v>FY2025/26</x:v>
      </x:c>
      <x:c r="AD67" t="str">
        <x:v>Modelled</x:v>
      </x:c>
      <x:c r="AE67" t="str">
        <x:v>2026 bridge AADT rebuilt from host-link traffic history, annual collection-link history, same-road corridor history and spatial count-station influence. Vehicle-class values are assigned from functional-class shares.</x:v>
      </x:c>
      <x:c r="AF67" t="str">
        <x:v>Placed on exact national road host link</x:v>
      </x:c>
    </x:row>
    <x:row r="68" ht="15" hidden="0" customHeight="1">
      <x:c r="A68" t="str">
        <x:v>bridge-067</x:v>
      </x:c>
      <x:c r="B68" t="str">
        <x:v>B043</x:v>
      </x:c>
      <x:c r="C68" t="str">
        <x:v>RUSHANGO-BRIDGE</x:v>
      </x:c>
      <x:c r="D68" t="str">
        <x:v>C356_Link01</x:v>
      </x:c>
      <x:c r="E68" t="str">
        <x:v>Ibanda-Kanoni-Kazo</x:v>
      </x:c>
      <x:c r="F68" t="str">
        <x:v>C</x:v>
      </x:c>
      <x:c r="G68" t="str">
        <x:v>Southern</x:v>
      </x:c>
      <x:c r="H68" t="str">
        <x:v>Ibanda</x:v>
      </x:c>
      <x:c r="I68" t="str">
        <x:v>RUSHANGO RIVER</x:v>
      </x:c>
      <x:c r="J68" t="str">
        <x:v>Good</x:v>
      </x:c>
      <x:c r="K68" t="n">
        <x:v>30.705971</x:v>
      </x:c>
      <x:c r="L68" t="n">
        <x:v>-0.08435</x:v>
      </x:c>
      <x:c r="M68" t="n">
        <x:v>30.704986</x:v>
      </x:c>
      <x:c r="N68" t="n">
        <x:v>-0.085684</x:v>
      </x:c>
      <x:c r="O68" t="n">
        <x:v>2213.75</x:v>
      </x:c>
      <x:c r="P68" t="n">
        <x:f>IFERROR(INDEX(Assumptions!$B$9:$B$13,MATCH(F68,Assumptions!$A$9:$A$13,0)),0.15)</x:f>
        <x:v>0.28</x:v>
      </x:c>
      <x:c r="Q68" t="n">
        <x:f>ROUND(O68*(1-P68),0)</x:f>
        <x:v>1594</x:v>
      </x:c>
      <x:c r="R68" t="n">
        <x:f>ROUND(O68*P68,0)</x:f>
        <x:v>620</x:v>
      </x:c>
      <x:c r="S68" t="n">
        <x:f>ROUND(O68*IFERROR(INDEX(Assumptions!$C$9:$C$13,MATCH(F68,Assumptions!$A$9:$A$13,0)),0.55),0)</x:f>
        <x:v>1107</x:v>
      </x:c>
      <x:c r="T68" t="n">
        <x:f>ROUND(O68*IFERROR(INDEX(Assumptions!$D$9:$D$13,MATCH(F68,Assumptions!$A$9:$A$13,0)),0.06),0)</x:f>
        <x:v>111</x:v>
      </x:c>
      <x:c r="U68" t="n">
        <x:f>ROUND(O68*IFERROR(INDEX(Assumptions!$E$9:$E$13,MATCH(F68,Assumptions!$A$9:$A$13,0)),0.15),0)</x:f>
        <x:v>244</x:v>
      </x:c>
      <x:c r="V68" t="n">
        <x:f>MAX(0,O68-SUM(R68:U68))</x:f>
        <x:v>131.75</x:v>
      </x:c>
      <x:c r="W68" t="n">
        <x:f>MIN(100,40+IF(O68&gt;0,20,0)+IF(M68&lt;&gt;"",20,0)+IF(AF68&lt;&gt;"",20,0))</x:f>
        <x:v>100</x:v>
      </x:c>
      <x:c r="X68" t="str">
        <x:v>Placed on exact national road host link</x:v>
      </x:c>
      <x:c r="Y68" t="str">
        <x:v>Paved</x:v>
      </x:c>
      <x:c r="Z68" t="str">
        <x:v>C</x:v>
      </x:c>
      <x:c r="AA68" t="str">
        <x:v>Not available in governed source</x:v>
      </x:c>
      <x:c r="AB68" t="str">
        <x:v>Not available in governed source</x:v>
      </x:c>
      <x:c r="AC68" t="str">
        <x:v>FY2025/26</x:v>
      </x:c>
      <x:c r="AD68" t="str">
        <x:v>Modelled</x:v>
      </x:c>
      <x:c r="AE68" t="str">
        <x:v>2026 bridge AADT rebuilt from host-link traffic history, annual collection-link history, same-road corridor history and spatial count-station influence. Vehicle-class values are assigned from functional-class shares.</x:v>
      </x:c>
      <x:c r="AF68" t="str">
        <x:v>Placed on exact national road host link</x:v>
      </x:c>
    </x:row>
    <x:row r="69" ht="15" hidden="0" customHeight="1">
      <x:c r="A69" t="str">
        <x:v>bridge-068</x:v>
      </x:c>
      <x:c r="B69" t="str">
        <x:v>B044</x:v>
      </x:c>
      <x:c r="C69" t="str">
        <x:v>Mpanga - Bridge</x:v>
      </x:c>
      <x:c r="D69" t="str">
        <x:v>B150_Link03</x:v>
      </x:c>
      <x:c r="E69" t="str">
        <x:v>Ibanda - Muziza - Kamwenge</x:v>
      </x:c>
      <x:c r="F69" t="str">
        <x:v>B</x:v>
      </x:c>
      <x:c r="G69" t="str">
        <x:v>Southern</x:v>
      </x:c>
      <x:c r="H69" t="str">
        <x:v>Ibanda</x:v>
      </x:c>
      <x:c r="I69" t="str">
        <x:v>Mpanga River</x:v>
      </x:c>
      <x:c r="J69" t="str">
        <x:v>Satisfactory</x:v>
      </x:c>
      <x:c r="K69" t="n">
        <x:v>30.461651</x:v>
      </x:c>
      <x:c r="L69" t="n">
        <x:v>0.100761</x:v>
      </x:c>
      <x:c r="M69" t="n">
        <x:v>30.461584</x:v>
      </x:c>
      <x:c r="N69" t="n">
        <x:v>0.100458</x:v>
      </x:c>
      <x:c r="O69" t="n">
        <x:v>3474.98</x:v>
      </x:c>
      <x:c r="P69" t="n">
        <x:f>IFERROR(INDEX(Assumptions!$B$9:$B$13,MATCH(F69,Assumptions!$A$9:$A$13,0)),0.15)</x:f>
        <x:v>0.16</x:v>
      </x:c>
      <x:c r="Q69" t="n">
        <x:f>ROUND(O69*(1-P69),0)</x:f>
        <x:v>2919</x:v>
      </x:c>
      <x:c r="R69" t="n">
        <x:f>ROUND(O69*P69,0)</x:f>
        <x:v>556</x:v>
      </x:c>
      <x:c r="S69" t="n">
        <x:f>ROUND(O69*IFERROR(INDEX(Assumptions!$C$9:$C$13,MATCH(F69,Assumptions!$A$9:$A$13,0)),0.55),0)</x:f>
        <x:v>1946</x:v>
      </x:c>
      <x:c r="T69" t="n">
        <x:f>ROUND(O69*IFERROR(INDEX(Assumptions!$D$9:$D$13,MATCH(F69,Assumptions!$A$9:$A$13,0)),0.06),0)</x:f>
        <x:v>243</x:v>
      </x:c>
      <x:c r="U69" t="n">
        <x:f>ROUND(O69*IFERROR(INDEX(Assumptions!$E$9:$E$13,MATCH(F69,Assumptions!$A$9:$A$13,0)),0.15),0)</x:f>
        <x:v>556</x:v>
      </x:c>
      <x:c r="V69" t="n">
        <x:f>MAX(0,O69-SUM(R69:U69))</x:f>
        <x:v>173.98000000000002</x:v>
      </x:c>
      <x:c r="W69" t="n">
        <x:f>MIN(100,40+IF(O69&gt;0,20,0)+IF(M69&lt;&gt;"",20,0)+IF(AF69&lt;&gt;"",20,0))</x:f>
        <x:v>100</x:v>
      </x:c>
      <x:c r="X69" t="str">
        <x:v>Placed on exact national road host link</x:v>
      </x:c>
      <x:c r="Y69" t="str">
        <x:v>Paved</x:v>
      </x:c>
      <x:c r="Z69" t="str">
        <x:v>B</x:v>
      </x:c>
      <x:c r="AA69" t="str">
        <x:v>Not available in governed source</x:v>
      </x:c>
      <x:c r="AB69" t="str">
        <x:v>Not available in governed source</x:v>
      </x:c>
      <x:c r="AC69" t="str">
        <x:v>FY2025/26</x:v>
      </x:c>
      <x:c r="AD69" t="str">
        <x:v>Modelled</x:v>
      </x:c>
      <x:c r="AE69" t="str">
        <x:v>2026 bridge AADT rebuilt from host-link traffic history, annual collection-link history, same-road corridor history and spatial count-station influence. Vehicle-class values are assigned from functional-class shares.</x:v>
      </x:c>
      <x:c r="AF69" t="str">
        <x:v>Placed on exact national road host link</x:v>
      </x:c>
    </x:row>
    <x:row r="70" ht="15" hidden="0" customHeight="1">
      <x:c r="A70" t="str">
        <x:v>bridge-069</x:v>
      </x:c>
      <x:c r="B70" t="str">
        <x:v>B047</x:v>
      </x:c>
      <x:c r="C70" t="str">
        <x:v>KATUNGURU BRIDGE</x:v>
      </x:c>
      <x:c r="D70" t="str">
        <x:v>B152_Link03</x:v>
      </x:c>
      <x:c r="E70" t="str">
        <x:v>Ishaka - Buhinda - Rugazi</x:v>
      </x:c>
      <x:c r="F70" t="str">
        <x:v>B</x:v>
      </x:c>
      <x:c r="G70" t="str">
        <x:v>Southern</x:v>
      </x:c>
      <x:c r="H70" t="str">
        <x:v>Mbarara</x:v>
      </x:c>
      <x:c r="I70" t="str">
        <x:v>KAZINGA CHANNEL</x:v>
      </x:c>
      <x:c r="J70" t="str">
        <x:v>Marginal</x:v>
      </x:c>
      <x:c r="K70" t="n">
        <x:v>30.04866</x:v>
      </x:c>
      <x:c r="L70" t="n">
        <x:v>0.1251</x:v>
      </x:c>
      <x:c r="M70" t="n">
        <x:v>30.091465</x:v>
      </x:c>
      <x:c r="N70" t="n">
        <x:v>-0.258862</x:v>
      </x:c>
      <x:c r="O70" t="n">
        <x:v>5684.07</x:v>
      </x:c>
      <x:c r="P70" t="n">
        <x:f>IFERROR(INDEX(Assumptions!$B$9:$B$13,MATCH(F70,Assumptions!$A$9:$A$13,0)),0.15)</x:f>
        <x:v>0.16</x:v>
      </x:c>
      <x:c r="Q70" t="n">
        <x:f>ROUND(O70*(1-P70),0)</x:f>
        <x:v>4775</x:v>
      </x:c>
      <x:c r="R70" t="n">
        <x:f>ROUND(O70*P70,0)</x:f>
        <x:v>909</x:v>
      </x:c>
      <x:c r="S70" t="n">
        <x:f>ROUND(O70*IFERROR(INDEX(Assumptions!$C$9:$C$13,MATCH(F70,Assumptions!$A$9:$A$13,0)),0.55),0)</x:f>
        <x:v>3183</x:v>
      </x:c>
      <x:c r="T70" t="n">
        <x:f>ROUND(O70*IFERROR(INDEX(Assumptions!$D$9:$D$13,MATCH(F70,Assumptions!$A$9:$A$13,0)),0.06),0)</x:f>
        <x:v>398</x:v>
      </x:c>
      <x:c r="U70" t="n">
        <x:f>ROUND(O70*IFERROR(INDEX(Assumptions!$E$9:$E$13,MATCH(F70,Assumptions!$A$9:$A$13,0)),0.15),0)</x:f>
        <x:v>909</x:v>
      </x:c>
      <x:c r="V70" t="n">
        <x:f>MAX(0,O70-SUM(R70:U70))</x:f>
        <x:v>285.0699999999997</x:v>
      </x:c>
      <x:c r="W70" t="n">
        <x:f>MIN(100,40+IF(O70&gt;0,20,0)+IF(M70&lt;&gt;"",20,0)+IF(AF70&lt;&gt;"",20,0))</x:f>
        <x:v>100</x:v>
      </x:c>
      <x:c r="X70" t="str">
        <x:v>Placed on exact national road host link</x:v>
      </x:c>
      <x:c r="Y70" t="str">
        <x:v>Paved</x:v>
      </x:c>
      <x:c r="Z70" t="str">
        <x:v>B</x:v>
      </x:c>
      <x:c r="AA70" t="str">
        <x:v>Not available in governed source</x:v>
      </x:c>
      <x:c r="AB70" t="str">
        <x:v>Not available in governed source</x:v>
      </x:c>
      <x:c r="AC70" t="str">
        <x:v>FY2025/26</x:v>
      </x:c>
      <x:c r="AD70" t="str">
        <x:v>Modelled</x:v>
      </x:c>
      <x:c r="AE70" t="str">
        <x:v>2026 bridge AADT rebuilt from host-link traffic history, annual collection-link history, same-road corridor history and spatial count-station influence. Vehicle-class values are assigned from functional-class shares.</x:v>
      </x:c>
      <x:c r="AF70" t="str">
        <x:v>Placed on exact national road host link</x:v>
      </x:c>
    </x:row>
    <x:row r="71" ht="15" hidden="0" customHeight="1">
      <x:c r="A71" t="str">
        <x:v>bridge-070</x:v>
      </x:c>
      <x:c r="B71" t="str">
        <x:v>B048</x:v>
      </x:c>
      <x:c r="C71" t="str">
        <x:v>MUZIZI</x:v>
      </x:c>
      <x:c r="D71" t="str">
        <x:v>B202_Link01</x:v>
      </x:c>
      <x:c r="E71" t="str">
        <x:v>Kyenjojo - Katoke - R. Muzizi</x:v>
      </x:c>
      <x:c r="F71" t="str">
        <x:v>B</x:v>
      </x:c>
      <x:c r="G71" t="str">
        <x:v>Western</x:v>
      </x:c>
      <x:c r="H71" t="str">
        <x:v>Fort Portal</x:v>
      </x:c>
      <x:c r="I71" t="str">
        <x:v>MUZIZI</x:v>
      </x:c>
      <x:c r="J71" t="str">
        <x:v>Good</x:v>
      </x:c>
      <x:c r="K71" t="n">
        <x:v>30.729679</x:v>
      </x:c>
      <x:c r="L71" t="n">
        <x:v>0.87107</x:v>
      </x:c>
      <x:c r="M71" t="n">
        <x:v>30.72323</x:v>
      </x:c>
      <x:c r="N71" t="n">
        <x:v>0.746319</x:v>
      </x:c>
      <x:c r="O71" t="n">
        <x:v>1258.13</x:v>
      </x:c>
      <x:c r="P71" t="n">
        <x:f>IFERROR(INDEX(Assumptions!$B$9:$B$13,MATCH(F71,Assumptions!$A$9:$A$13,0)),0.15)</x:f>
        <x:v>0.16</x:v>
      </x:c>
      <x:c r="Q71" t="n">
        <x:f>ROUND(O71*(1-P71),0)</x:f>
        <x:v>1057</x:v>
      </x:c>
      <x:c r="R71" t="n">
        <x:f>ROUND(O71*P71,0)</x:f>
        <x:v>201</x:v>
      </x:c>
      <x:c r="S71" t="n">
        <x:f>ROUND(O71*IFERROR(INDEX(Assumptions!$C$9:$C$13,MATCH(F71,Assumptions!$A$9:$A$13,0)),0.55),0)</x:f>
        <x:v>705</x:v>
      </x:c>
      <x:c r="T71" t="n">
        <x:f>ROUND(O71*IFERROR(INDEX(Assumptions!$D$9:$D$13,MATCH(F71,Assumptions!$A$9:$A$13,0)),0.06),0)</x:f>
        <x:v>88</x:v>
      </x:c>
      <x:c r="U71" t="n">
        <x:f>ROUND(O71*IFERROR(INDEX(Assumptions!$E$9:$E$13,MATCH(F71,Assumptions!$A$9:$A$13,0)),0.15),0)</x:f>
        <x:v>201</x:v>
      </x:c>
      <x:c r="V71" t="n">
        <x:f>MAX(0,O71-SUM(R71:U71))</x:f>
        <x:v>63.13000000000011</x:v>
      </x:c>
      <x:c r="W71" t="n">
        <x:f>MIN(100,40+IF(O71&gt;0,20,0)+IF(M71&lt;&gt;"",20,0)+IF(AF71&lt;&gt;"",20,0))</x:f>
        <x:v>100</x:v>
      </x:c>
      <x:c r="X71" t="str">
        <x:v>Placed on exact national road host link</x:v>
      </x:c>
      <x:c r="Y71" t="str">
        <x:v>Paved</x:v>
      </x:c>
      <x:c r="Z71" t="str">
        <x:v>B</x:v>
      </x:c>
      <x:c r="AA71" t="str">
        <x:v>Not available in governed source</x:v>
      </x:c>
      <x:c r="AB71" t="str">
        <x:v>Not available in governed source</x:v>
      </x:c>
      <x:c r="AC71" t="str">
        <x:v>FY2025/26</x:v>
      </x:c>
      <x:c r="AD71" t="str">
        <x:v>Modelled</x:v>
      </x:c>
      <x:c r="AE71" t="str">
        <x:v>2026 bridge AADT rebuilt from host-link traffic history, annual collection-link history, same-road corridor history and spatial count-station influence. Vehicle-class values are assigned from functional-class shares.</x:v>
      </x:c>
      <x:c r="AF71" t="str">
        <x:v>Placed on exact national road host link</x:v>
      </x:c>
    </x:row>
    <x:row r="72" ht="15" hidden="0" customHeight="1">
      <x:c r="A72" t="str">
        <x:v>bridge-071</x:v>
      </x:c>
      <x:c r="B72" t="str">
        <x:v>B049</x:v>
      </x:c>
      <x:c r="C72" t="str">
        <x:v>NKUSI</x:v>
      </x:c>
      <x:c r="D72" t="str">
        <x:v>B202_Link03</x:v>
      </x:c>
      <x:c r="E72" t="str">
        <x:v>Kagadi - Mabale - Kabwoya</x:v>
      </x:c>
      <x:c r="F72" t="str">
        <x:v>B</x:v>
      </x:c>
      <x:c r="G72" t="str">
        <x:v>Western</x:v>
      </x:c>
      <x:c r="H72" t="str">
        <x:v>Hoima</x:v>
      </x:c>
      <x:c r="I72" t="str">
        <x:v>NKUSI</x:v>
      </x:c>
      <x:c r="J72" t="str">
        <x:v>Good</x:v>
      </x:c>
      <x:c r="K72" t="n">
        <x:v>30.99474</x:v>
      </x:c>
      <x:c r="L72" t="n">
        <x:v>1.12972</x:v>
      </x:c>
      <x:c r="M72" t="n">
        <x:v>30.994662</x:v>
      </x:c>
      <x:c r="N72" t="n">
        <x:v>1.129791</x:v>
      </x:c>
      <x:c r="O72" t="n">
        <x:v>1069.38</x:v>
      </x:c>
      <x:c r="P72" t="n">
        <x:f>IFERROR(INDEX(Assumptions!$B$9:$B$13,MATCH(F72,Assumptions!$A$9:$A$13,0)),0.15)</x:f>
        <x:v>0.16</x:v>
      </x:c>
      <x:c r="Q72" t="n">
        <x:f>ROUND(O72*(1-P72),0)</x:f>
        <x:v>898</x:v>
      </x:c>
      <x:c r="R72" t="n">
        <x:f>ROUND(O72*P72,0)</x:f>
        <x:v>171</x:v>
      </x:c>
      <x:c r="S72" t="n">
        <x:f>ROUND(O72*IFERROR(INDEX(Assumptions!$C$9:$C$13,MATCH(F72,Assumptions!$A$9:$A$13,0)),0.55),0)</x:f>
        <x:v>599</x:v>
      </x:c>
      <x:c r="T72" t="n">
        <x:f>ROUND(O72*IFERROR(INDEX(Assumptions!$D$9:$D$13,MATCH(F72,Assumptions!$A$9:$A$13,0)),0.06),0)</x:f>
        <x:v>75</x:v>
      </x:c>
      <x:c r="U72" t="n">
        <x:f>ROUND(O72*IFERROR(INDEX(Assumptions!$E$9:$E$13,MATCH(F72,Assumptions!$A$9:$A$13,0)),0.15),0)</x:f>
        <x:v>171</x:v>
      </x:c>
      <x:c r="V72" t="n">
        <x:f>MAX(0,O72-SUM(R72:U72))</x:f>
        <x:v>53.38000000000011</x:v>
      </x:c>
      <x:c r="W72" t="n">
        <x:f>MIN(100,40+IF(O72&gt;0,20,0)+IF(M72&lt;&gt;"",20,0)+IF(AF72&lt;&gt;"",20,0))</x:f>
        <x:v>100</x:v>
      </x:c>
      <x:c r="X72" t="str">
        <x:v>Placed on exact national road host link</x:v>
      </x:c>
      <x:c r="Y72" t="str">
        <x:v>Paved</x:v>
      </x:c>
      <x:c r="Z72" t="str">
        <x:v>B</x:v>
      </x:c>
      <x:c r="AA72" t="str">
        <x:v>Not available in governed source</x:v>
      </x:c>
      <x:c r="AB72" t="str">
        <x:v>Not available in governed source</x:v>
      </x:c>
      <x:c r="AC72" t="str">
        <x:v>FY2025/26</x:v>
      </x:c>
      <x:c r="AD72" t="str">
        <x:v>Modelled</x:v>
      </x:c>
      <x:c r="AE72" t="str">
        <x:v>2026 bridge AADT rebuilt from host-link traffic history, annual collection-link history, same-road corridor history and spatial count-station influence. Vehicle-class values are assigned from functional-class shares.</x:v>
      </x:c>
      <x:c r="AF72" t="str">
        <x:v>Placed on exact national road host link</x:v>
      </x:c>
    </x:row>
    <x:row r="73" ht="15" hidden="0" customHeight="1">
      <x:c r="A73" t="str">
        <x:v>bridge-072</x:v>
      </x:c>
      <x:c r="B73" t="str">
        <x:v>B050</x:v>
      </x:c>
      <x:c r="C73" t="str">
        <x:v>RWERE</x:v>
      </x:c>
      <x:c r="D73" t="str">
        <x:v>B300_Link01</x:v>
      </x:c>
      <x:c r="E73" t="str">
        <x:v>Namunsi - Sironko</x:v>
      </x:c>
      <x:c r="F73" t="str">
        <x:v>B</x:v>
      </x:c>
      <x:c r="G73" t="str">
        <x:v>Eastern</x:v>
      </x:c>
      <x:c r="H73" t="str">
        <x:v>Mbale</x:v>
      </x:c>
      <x:c r="I73" t="str">
        <x:v>RWERE</x:v>
      </x:c>
      <x:c r="J73" t="str">
        <x:v>Good</x:v>
      </x:c>
      <x:c r="K73" t="n">
        <x:v>34.19989</x:v>
      </x:c>
      <x:c r="L73" t="n">
        <x:v>1.153</x:v>
      </x:c>
      <x:c r="M73" t="n">
        <x:v>34.270291</x:v>
      </x:c>
      <x:c r="N73" t="n">
        <x:v>1.244165</x:v>
      </x:c>
      <x:c r="O73" t="n">
        <x:v>5887.29</x:v>
      </x:c>
      <x:c r="P73" t="n">
        <x:f>IFERROR(INDEX(Assumptions!$B$9:$B$13,MATCH(F73,Assumptions!$A$9:$A$13,0)),0.15)</x:f>
        <x:v>0.16</x:v>
      </x:c>
      <x:c r="Q73" t="n">
        <x:f>ROUND(O73*(1-P73),0)</x:f>
        <x:v>4945</x:v>
      </x:c>
      <x:c r="R73" t="n">
        <x:f>ROUND(O73*P73,0)</x:f>
        <x:v>942</x:v>
      </x:c>
      <x:c r="S73" t="n">
        <x:f>ROUND(O73*IFERROR(INDEX(Assumptions!$C$9:$C$13,MATCH(F73,Assumptions!$A$9:$A$13,0)),0.55),0)</x:f>
        <x:v>3297</x:v>
      </x:c>
      <x:c r="T73" t="n">
        <x:f>ROUND(O73*IFERROR(INDEX(Assumptions!$D$9:$D$13,MATCH(F73,Assumptions!$A$9:$A$13,0)),0.06),0)</x:f>
        <x:v>412</x:v>
      </x:c>
      <x:c r="U73" t="n">
        <x:f>ROUND(O73*IFERROR(INDEX(Assumptions!$E$9:$E$13,MATCH(F73,Assumptions!$A$9:$A$13,0)),0.15),0)</x:f>
        <x:v>942</x:v>
      </x:c>
      <x:c r="V73" t="n">
        <x:f>MAX(0,O73-SUM(R73:U73))</x:f>
        <x:v>294.28999999999996</x:v>
      </x:c>
      <x:c r="W73" t="n">
        <x:f>MIN(100,40+IF(O73&gt;0,20,0)+IF(M73&lt;&gt;"",20,0)+IF(AF73&lt;&gt;"",20,0))</x:f>
        <x:v>100</x:v>
      </x:c>
      <x:c r="X73" t="str">
        <x:v>Placed on exact national road host link</x:v>
      </x:c>
      <x:c r="Y73" t="str">
        <x:v>Paved</x:v>
      </x:c>
      <x:c r="Z73" t="str">
        <x:v>B</x:v>
      </x:c>
      <x:c r="AA73" t="str">
        <x:v>Not available in governed source</x:v>
      </x:c>
      <x:c r="AB73" t="str">
        <x:v>Not available in governed source</x:v>
      </x:c>
      <x:c r="AC73" t="str">
        <x:v>FY2025/26</x:v>
      </x:c>
      <x:c r="AD73" t="str">
        <x:v>Modelled</x:v>
      </x:c>
      <x:c r="AE73" t="str">
        <x:v>2026 bridge AADT rebuilt from host-link traffic history, annual collection-link history, same-road corridor history and spatial count-station influence. Vehicle-class values are assigned from functional-class shares.</x:v>
      </x:c>
      <x:c r="AF73" t="str">
        <x:v>Placed on exact national road host link</x:v>
      </x:c>
    </x:row>
    <x:row r="74" ht="15" hidden="0" customHeight="1">
      <x:c r="A74" t="str">
        <x:v>bridge-073</x:v>
      </x:c>
      <x:c r="B74" t="str">
        <x:v>B051</x:v>
      </x:c>
      <x:c r="C74" t="str">
        <x:v>SIRONKO</x:v>
      </x:c>
      <x:c r="D74" t="str">
        <x:v>B300_Link01</x:v>
      </x:c>
      <x:c r="E74" t="str">
        <x:v>Namunsi - Sironko</x:v>
      </x:c>
      <x:c r="F74" t="str">
        <x:v>B</x:v>
      </x:c>
      <x:c r="G74" t="str">
        <x:v>Eastern</x:v>
      </x:c>
      <x:c r="H74" t="str">
        <x:v>Mbale</x:v>
      </x:c>
      <x:c r="I74" t="str">
        <x:v>SIRONKO</x:v>
      </x:c>
      <x:c r="J74" t="str">
        <x:v>Good</x:v>
      </x:c>
      <x:c r="K74" t="n">
        <x:v>34.257061</x:v>
      </x:c>
      <x:c r="L74" t="n">
        <x:v>1.23629</x:v>
      </x:c>
      <x:c r="M74" t="n">
        <x:v>34.223952</x:v>
      </x:c>
      <x:c r="N74" t="n">
        <x:v>1.211618</x:v>
      </x:c>
      <x:c r="O74" t="n">
        <x:v>5887.29</x:v>
      </x:c>
      <x:c r="P74" t="n">
        <x:f>IFERROR(INDEX(Assumptions!$B$9:$B$13,MATCH(F74,Assumptions!$A$9:$A$13,0)),0.15)</x:f>
        <x:v>0.16</x:v>
      </x:c>
      <x:c r="Q74" t="n">
        <x:f>ROUND(O74*(1-P74),0)</x:f>
        <x:v>4945</x:v>
      </x:c>
      <x:c r="R74" t="n">
        <x:f>ROUND(O74*P74,0)</x:f>
        <x:v>942</x:v>
      </x:c>
      <x:c r="S74" t="n">
        <x:f>ROUND(O74*IFERROR(INDEX(Assumptions!$C$9:$C$13,MATCH(F74,Assumptions!$A$9:$A$13,0)),0.55),0)</x:f>
        <x:v>3297</x:v>
      </x:c>
      <x:c r="T74" t="n">
        <x:f>ROUND(O74*IFERROR(INDEX(Assumptions!$D$9:$D$13,MATCH(F74,Assumptions!$A$9:$A$13,0)),0.06),0)</x:f>
        <x:v>412</x:v>
      </x:c>
      <x:c r="U74" t="n">
        <x:f>ROUND(O74*IFERROR(INDEX(Assumptions!$E$9:$E$13,MATCH(F74,Assumptions!$A$9:$A$13,0)),0.15),0)</x:f>
        <x:v>942</x:v>
      </x:c>
      <x:c r="V74" t="n">
        <x:f>MAX(0,O74-SUM(R74:U74))</x:f>
        <x:v>294.28999999999996</x:v>
      </x:c>
      <x:c r="W74" t="n">
        <x:f>MIN(100,40+IF(O74&gt;0,20,0)+IF(M74&lt;&gt;"",20,0)+IF(AF74&lt;&gt;"",20,0))</x:f>
        <x:v>100</x:v>
      </x:c>
      <x:c r="X74" t="str">
        <x:v>Placed on exact national road host link</x:v>
      </x:c>
      <x:c r="Y74" t="str">
        <x:v>Paved</x:v>
      </x:c>
      <x:c r="Z74" t="str">
        <x:v>B</x:v>
      </x:c>
      <x:c r="AA74" t="str">
        <x:v>Not available in governed source</x:v>
      </x:c>
      <x:c r="AB74" t="str">
        <x:v>Not available in governed source</x:v>
      </x:c>
      <x:c r="AC74" t="str">
        <x:v>FY2025/26</x:v>
      </x:c>
      <x:c r="AD74" t="str">
        <x:v>Modelled</x:v>
      </x:c>
      <x:c r="AE74" t="str">
        <x:v>2026 bridge AADT rebuilt from host-link traffic history, annual collection-link history, same-road corridor history and spatial count-station influence. Vehicle-class values are assigned from functional-class shares.</x:v>
      </x:c>
      <x:c r="AF74" t="str">
        <x:v>Placed on exact national road host link</x:v>
      </x:c>
    </x:row>
    <x:row r="75" ht="15" hidden="0" customHeight="1">
      <x:c r="A75" t="str">
        <x:v>bridge-074</x:v>
      </x:c>
      <x:c r="B75" t="str">
        <x:v>B052</x:v>
      </x:c>
      <x:c r="C75" t="str">
        <x:v>NALUGUGU</x:v>
      </x:c>
      <x:c r="D75" t="str">
        <x:v>B300_Link01</x:v>
      </x:c>
      <x:c r="E75" t="str">
        <x:v>Namunsi - Sironko</x:v>
      </x:c>
      <x:c r="F75" t="str">
        <x:v>B</x:v>
      </x:c>
      <x:c r="G75" t="str">
        <x:v>Eastern</x:v>
      </x:c>
      <x:c r="H75" t="str">
        <x:v>Mbale</x:v>
      </x:c>
      <x:c r="I75" t="str">
        <x:v>NALUGUGU</x:v>
      </x:c>
      <x:c r="J75" t="str">
        <x:v>Good</x:v>
      </x:c>
      <x:c r="K75" t="n">
        <x:v>34.267288</x:v>
      </x:c>
      <x:c r="L75" t="n">
        <x:v>1.24035</x:v>
      </x:c>
      <x:c r="M75" t="n">
        <x:v>34.272306</x:v>
      </x:c>
      <x:c r="N75" t="n">
        <x:v>1.245872</x:v>
      </x:c>
      <x:c r="O75" t="n">
        <x:v>5887.29</x:v>
      </x:c>
      <x:c r="P75" t="n">
        <x:f>IFERROR(INDEX(Assumptions!$B$9:$B$13,MATCH(F75,Assumptions!$A$9:$A$13,0)),0.15)</x:f>
        <x:v>0.16</x:v>
      </x:c>
      <x:c r="Q75" t="n">
        <x:f>ROUND(O75*(1-P75),0)</x:f>
        <x:v>4945</x:v>
      </x:c>
      <x:c r="R75" t="n">
        <x:f>ROUND(O75*P75,0)</x:f>
        <x:v>942</x:v>
      </x:c>
      <x:c r="S75" t="n">
        <x:f>ROUND(O75*IFERROR(INDEX(Assumptions!$C$9:$C$13,MATCH(F75,Assumptions!$A$9:$A$13,0)),0.55),0)</x:f>
        <x:v>3297</x:v>
      </x:c>
      <x:c r="T75" t="n">
        <x:f>ROUND(O75*IFERROR(INDEX(Assumptions!$D$9:$D$13,MATCH(F75,Assumptions!$A$9:$A$13,0)),0.06),0)</x:f>
        <x:v>412</x:v>
      </x:c>
      <x:c r="U75" t="n">
        <x:f>ROUND(O75*IFERROR(INDEX(Assumptions!$E$9:$E$13,MATCH(F75,Assumptions!$A$9:$A$13,0)),0.15),0)</x:f>
        <x:v>942</x:v>
      </x:c>
      <x:c r="V75" t="n">
        <x:f>MAX(0,O75-SUM(R75:U75))</x:f>
        <x:v>294.28999999999996</x:v>
      </x:c>
      <x:c r="W75" t="n">
        <x:f>MIN(100,40+IF(O75&gt;0,20,0)+IF(M75&lt;&gt;"",20,0)+IF(AF75&lt;&gt;"",20,0))</x:f>
        <x:v>100</x:v>
      </x:c>
      <x:c r="X75" t="str">
        <x:v>Placed on exact national road host link</x:v>
      </x:c>
      <x:c r="Y75" t="str">
        <x:v>Paved</x:v>
      </x:c>
      <x:c r="Z75" t="str">
        <x:v>B</x:v>
      </x:c>
      <x:c r="AA75" t="str">
        <x:v>Not available in governed source</x:v>
      </x:c>
      <x:c r="AB75" t="str">
        <x:v>Not available in governed source</x:v>
      </x:c>
      <x:c r="AC75" t="str">
        <x:v>FY2025/26</x:v>
      </x:c>
      <x:c r="AD75" t="str">
        <x:v>Modelled</x:v>
      </x:c>
      <x:c r="AE75" t="str">
        <x:v>2026 bridge AADT rebuilt from host-link traffic history, annual collection-link history, same-road corridor history and spatial count-station influence. Vehicle-class values are assigned from functional-class shares.</x:v>
      </x:c>
      <x:c r="AF75" t="str">
        <x:v>Placed on exact national road host link</x:v>
      </x:c>
    </x:row>
    <x:row r="76" ht="15" hidden="0" customHeight="1">
      <x:c r="A76" t="str">
        <x:v>bridge-075</x:v>
      </x:c>
      <x:c r="B76" t="str">
        <x:v>B053</x:v>
      </x:c>
      <x:c r="C76" t="str">
        <x:v>SIMU</x:v>
      </x:c>
      <x:c r="D76" t="str">
        <x:v>B300_Link02</x:v>
      </x:c>
      <x:c r="E76" t="str">
        <x:v>Sironko - Muyembe</x:v>
      </x:c>
      <x:c r="F76" t="str">
        <x:v>B</x:v>
      </x:c>
      <x:c r="G76" t="str">
        <x:v>Eastern</x:v>
      </x:c>
      <x:c r="H76" t="str">
        <x:v>Mbale</x:v>
      </x:c>
      <x:c r="I76" t="str">
        <x:v>SIMU</x:v>
      </x:c>
      <x:c r="J76" t="str">
        <x:v>Marginal</x:v>
      </x:c>
      <x:c r="K76" t="n">
        <x:v>34.287251</x:v>
      </x:c>
      <x:c r="L76" t="n">
        <x:v>1.29864</x:v>
      </x:c>
      <x:c r="M76" t="n">
        <x:v>34.271813</x:v>
      </x:c>
      <x:c r="N76" t="n">
        <x:v>1.247564</x:v>
      </x:c>
      <x:c r="O76" t="n">
        <x:v>4182.9</x:v>
      </x:c>
      <x:c r="P76" t="n">
        <x:f>IFERROR(INDEX(Assumptions!$B$9:$B$13,MATCH(F76,Assumptions!$A$9:$A$13,0)),0.15)</x:f>
        <x:v>0.16</x:v>
      </x:c>
      <x:c r="Q76" t="n">
        <x:f>ROUND(O76*(1-P76),0)</x:f>
        <x:v>3514</x:v>
      </x:c>
      <x:c r="R76" t="n">
        <x:f>ROUND(O76*P76,0)</x:f>
        <x:v>669</x:v>
      </x:c>
      <x:c r="S76" t="n">
        <x:f>ROUND(O76*IFERROR(INDEX(Assumptions!$C$9:$C$13,MATCH(F76,Assumptions!$A$9:$A$13,0)),0.55),0)</x:f>
        <x:v>2342</x:v>
      </x:c>
      <x:c r="T76" t="n">
        <x:f>ROUND(O76*IFERROR(INDEX(Assumptions!$D$9:$D$13,MATCH(F76,Assumptions!$A$9:$A$13,0)),0.06),0)</x:f>
        <x:v>293</x:v>
      </x:c>
      <x:c r="U76" t="n">
        <x:f>ROUND(O76*IFERROR(INDEX(Assumptions!$E$9:$E$13,MATCH(F76,Assumptions!$A$9:$A$13,0)),0.15),0)</x:f>
        <x:v>669</x:v>
      </x:c>
      <x:c r="V76" t="n">
        <x:f>MAX(0,O76-SUM(R76:U76))</x:f>
        <x:v>209.89999999999964</x:v>
      </x:c>
      <x:c r="W76" t="n">
        <x:f>MIN(100,40+IF(O76&gt;0,20,0)+IF(M76&lt;&gt;"",20,0)+IF(AF76&lt;&gt;"",20,0))</x:f>
        <x:v>100</x:v>
      </x:c>
      <x:c r="X76" t="str">
        <x:v>Placed on exact national road host link</x:v>
      </x:c>
      <x:c r="Y76" t="str">
        <x:v>Paved</x:v>
      </x:c>
      <x:c r="Z76" t="str">
        <x:v>B</x:v>
      </x:c>
      <x:c r="AA76" t="str">
        <x:v>Not available in governed source</x:v>
      </x:c>
      <x:c r="AB76" t="str">
        <x:v>Not available in governed source</x:v>
      </x:c>
      <x:c r="AC76" t="str">
        <x:v>FY2025/26</x:v>
      </x:c>
      <x:c r="AD76" t="str">
        <x:v>Modelled</x:v>
      </x:c>
      <x:c r="AE76" t="str">
        <x:v>2026 bridge AADT rebuilt from host-link traffic history, annual collection-link history, same-road corridor history and spatial count-station influence. Vehicle-class values are assigned from functional-class shares.</x:v>
      </x:c>
      <x:c r="AF76" t="str">
        <x:v>Placed on exact national road host link</x:v>
      </x:c>
    </x:row>
    <x:row r="77" ht="15" hidden="0" customHeight="1">
      <x:c r="A77" t="str">
        <x:v>bridge-076</x:v>
      </x:c>
      <x:c r="B77" t="str">
        <x:v>B054</x:v>
      </x:c>
      <x:c r="C77" t="str">
        <x:v>YEMBE</x:v>
      </x:c>
      <x:c r="D77" t="str">
        <x:v>B300_Link03</x:v>
      </x:c>
      <x:c r="E77" t="str">
        <x:v>Muyembe - Namalu</x:v>
      </x:c>
      <x:c r="F77" t="str">
        <x:v>B</x:v>
      </x:c>
      <x:c r="G77" t="str">
        <x:v>Eastern</x:v>
      </x:c>
      <x:c r="H77" t="str">
        <x:v>Mbale</x:v>
      </x:c>
      <x:c r="I77" t="str">
        <x:v>YEMBE</x:v>
      </x:c>
      <x:c r="J77" t="str">
        <x:v>Good</x:v>
      </x:c>
      <x:c r="K77" t="n">
        <x:v>34.296692</x:v>
      </x:c>
      <x:c r="L77" t="n">
        <x:v>1.33472</x:v>
      </x:c>
      <x:c r="M77" t="n">
        <x:v>34.533875</x:v>
      </x:c>
      <x:c r="N77" t="n">
        <x:v>1.574854</x:v>
      </x:c>
      <x:c r="O77" t="n">
        <x:v>1443.05</x:v>
      </x:c>
      <x:c r="P77" t="n">
        <x:f>IFERROR(INDEX(Assumptions!$B$9:$B$13,MATCH(F77,Assumptions!$A$9:$A$13,0)),0.15)</x:f>
        <x:v>0.16</x:v>
      </x:c>
      <x:c r="Q77" t="n">
        <x:f>ROUND(O77*(1-P77),0)</x:f>
        <x:v>1212</x:v>
      </x:c>
      <x:c r="R77" t="n">
        <x:f>ROUND(O77*P77,0)</x:f>
        <x:v>231</x:v>
      </x:c>
      <x:c r="S77" t="n">
        <x:f>ROUND(O77*IFERROR(INDEX(Assumptions!$C$9:$C$13,MATCH(F77,Assumptions!$A$9:$A$13,0)),0.55),0)</x:f>
        <x:v>808</x:v>
      </x:c>
      <x:c r="T77" t="n">
        <x:f>ROUND(O77*IFERROR(INDEX(Assumptions!$D$9:$D$13,MATCH(F77,Assumptions!$A$9:$A$13,0)),0.06),0)</x:f>
        <x:v>101</x:v>
      </x:c>
      <x:c r="U77" t="n">
        <x:f>ROUND(O77*IFERROR(INDEX(Assumptions!$E$9:$E$13,MATCH(F77,Assumptions!$A$9:$A$13,0)),0.15),0)</x:f>
        <x:v>231</x:v>
      </x:c>
      <x:c r="V77" t="n">
        <x:f>MAX(0,O77-SUM(R77:U77))</x:f>
        <x:v>72.04999999999995</x:v>
      </x:c>
      <x:c r="W77" t="n">
        <x:f>MIN(100,40+IF(O77&gt;0,20,0)+IF(M77&lt;&gt;"",20,0)+IF(AF77&lt;&gt;"",20,0))</x:f>
        <x:v>100</x:v>
      </x:c>
      <x:c r="X77" t="str">
        <x:v>Placed on exact national road host link</x:v>
      </x:c>
      <x:c r="Y77" t="str">
        <x:v>Unpaved</x:v>
      </x:c>
      <x:c r="Z77" t="str">
        <x:v>B</x:v>
      </x:c>
      <x:c r="AA77" t="str">
        <x:v>Not available in governed source</x:v>
      </x:c>
      <x:c r="AB77" t="str">
        <x:v>Not available in governed source</x:v>
      </x:c>
      <x:c r="AC77" t="str">
        <x:v>FY2025/26</x:v>
      </x:c>
      <x:c r="AD77" t="str">
        <x:v>Modelled</x:v>
      </x:c>
      <x:c r="AE77" t="str">
        <x:v>2026 bridge AADT rebuilt from host-link traffic history, annual collection-link history, same-road corridor history and spatial count-station influence. Vehicle-class values are assigned from functional-class shares.</x:v>
      </x:c>
      <x:c r="AF77" t="str">
        <x:v>Placed on exact national road host link</x:v>
      </x:c>
    </x:row>
    <x:row r="78" ht="15" hidden="0" customHeight="1">
      <x:c r="A78" t="str">
        <x:v>bridge-077</x:v>
      </x:c>
      <x:c r="B78" t="str">
        <x:v>B055</x:v>
      </x:c>
      <x:c r="C78" t="str">
        <x:v>ATARI</x:v>
      </x:c>
      <x:c r="D78" t="str">
        <x:v>B304_Link02</x:v>
      </x:c>
      <x:c r="E78" t="str">
        <x:v>Kapchorwa-Suam</x:v>
      </x:c>
      <x:c r="F78" t="str">
        <x:v>B</x:v>
      </x:c>
      <x:c r="G78" t="str">
        <x:v>Eastern</x:v>
      </x:c>
      <x:c r="H78" t="str">
        <x:v>Mbale</x:v>
      </x:c>
      <x:c r="I78" t="str">
        <x:v>ATARI</x:v>
      </x:c>
      <x:c r="J78" t="str">
        <x:v>Good</x:v>
      </x:c>
      <x:c r="K78" t="n">
        <x:v>34.482601</x:v>
      </x:c>
      <x:c r="L78" t="n">
        <x:v>1.40724</x:v>
      </x:c>
      <x:c r="M78" t="n">
        <x:v>34.743303</x:v>
      </x:c>
      <x:c r="N78" t="n">
        <x:v>1.264884</x:v>
      </x:c>
      <x:c r="O78" t="n">
        <x:v>1695.6</x:v>
      </x:c>
      <x:c r="P78" t="n">
        <x:f>IFERROR(INDEX(Assumptions!$B$9:$B$13,MATCH(F78,Assumptions!$A$9:$A$13,0)),0.15)</x:f>
        <x:v>0.16</x:v>
      </x:c>
      <x:c r="Q78" t="n">
        <x:f>ROUND(O78*(1-P78),0)</x:f>
        <x:v>1424</x:v>
      </x:c>
      <x:c r="R78" t="n">
        <x:f>ROUND(O78*P78,0)</x:f>
        <x:v>271</x:v>
      </x:c>
      <x:c r="S78" t="n">
        <x:f>ROUND(O78*IFERROR(INDEX(Assumptions!$C$9:$C$13,MATCH(F78,Assumptions!$A$9:$A$13,0)),0.55),0)</x:f>
        <x:v>950</x:v>
      </x:c>
      <x:c r="T78" t="n">
        <x:f>ROUND(O78*IFERROR(INDEX(Assumptions!$D$9:$D$13,MATCH(F78,Assumptions!$A$9:$A$13,0)),0.06),0)</x:f>
        <x:v>119</x:v>
      </x:c>
      <x:c r="U78" t="n">
        <x:f>ROUND(O78*IFERROR(INDEX(Assumptions!$E$9:$E$13,MATCH(F78,Assumptions!$A$9:$A$13,0)),0.15),0)</x:f>
        <x:v>271</x:v>
      </x:c>
      <x:c r="V78" t="n">
        <x:f>MAX(0,O78-SUM(R78:U78))</x:f>
        <x:v>84.59999999999991</x:v>
      </x:c>
      <x:c r="W78" t="n">
        <x:f>MIN(100,40+IF(O78&gt;0,20,0)+IF(M78&lt;&gt;"",20,0)+IF(AF78&lt;&gt;"",20,0))</x:f>
        <x:v>100</x:v>
      </x:c>
      <x:c r="X78" t="str">
        <x:v>Placed on exact national road host link</x:v>
      </x:c>
      <x:c r="Y78" t="str">
        <x:v>Paved</x:v>
      </x:c>
      <x:c r="Z78" t="str">
        <x:v>B</x:v>
      </x:c>
      <x:c r="AA78" t="str">
        <x:v>Not available in governed source</x:v>
      </x:c>
      <x:c r="AB78" t="str">
        <x:v>Not available in governed source</x:v>
      </x:c>
      <x:c r="AC78" t="str">
        <x:v>FY2025/26</x:v>
      </x:c>
      <x:c r="AD78" t="str">
        <x:v>Modelled</x:v>
      </x:c>
      <x:c r="AE78" t="str">
        <x:v>2026 bridge AADT rebuilt from host-link traffic history, annual collection-link history, same-road corridor history and spatial count-station influence. Vehicle-class values are assigned from functional-class shares.</x:v>
      </x:c>
      <x:c r="AF78" t="str">
        <x:v>Placed on exact national road host link</x:v>
      </x:c>
    </x:row>
    <x:row r="79" ht="15" hidden="0" customHeight="1">
      <x:c r="A79" t="str">
        <x:v>bridge-078</x:v>
      </x:c>
      <x:c r="B79" t="str">
        <x:v>B056</x:v>
      </x:c>
      <x:c r="C79" t="str">
        <x:v>NGENGE</x:v>
      </x:c>
      <x:c r="D79" t="str">
        <x:v>B304_Link02</x:v>
      </x:c>
      <x:c r="E79" t="str">
        <x:v>Kapchorwa-Suam</x:v>
      </x:c>
      <x:c r="F79" t="str">
        <x:v>B</x:v>
      </x:c>
      <x:c r="G79" t="str">
        <x:v>Eastern</x:v>
      </x:c>
      <x:c r="H79" t="str">
        <x:v>Mbale</x:v>
      </x:c>
      <x:c r="I79" t="str">
        <x:v>NGENGE</x:v>
      </x:c>
      <x:c r="J79" t="str">
        <x:v>Good</x:v>
      </x:c>
      <x:c r="K79" t="n">
        <x:v>34.508049</x:v>
      </x:c>
      <x:c r="L79" t="n">
        <x:v>1.40692</x:v>
      </x:c>
      <x:c r="M79" t="n">
        <x:v>34.507876</x:v>
      </x:c>
      <x:c r="N79" t="n">
        <x:v>1.406869</x:v>
      </x:c>
      <x:c r="O79" t="n">
        <x:v>1695.6</x:v>
      </x:c>
      <x:c r="P79" t="n">
        <x:f>IFERROR(INDEX(Assumptions!$B$9:$B$13,MATCH(F79,Assumptions!$A$9:$A$13,0)),0.15)</x:f>
        <x:v>0.16</x:v>
      </x:c>
      <x:c r="Q79" t="n">
        <x:f>ROUND(O79*(1-P79),0)</x:f>
        <x:v>1424</x:v>
      </x:c>
      <x:c r="R79" t="n">
        <x:f>ROUND(O79*P79,0)</x:f>
        <x:v>271</x:v>
      </x:c>
      <x:c r="S79" t="n">
        <x:f>ROUND(O79*IFERROR(INDEX(Assumptions!$C$9:$C$13,MATCH(F79,Assumptions!$A$9:$A$13,0)),0.55),0)</x:f>
        <x:v>950</x:v>
      </x:c>
      <x:c r="T79" t="n">
        <x:f>ROUND(O79*IFERROR(INDEX(Assumptions!$D$9:$D$13,MATCH(F79,Assumptions!$A$9:$A$13,0)),0.06),0)</x:f>
        <x:v>119</x:v>
      </x:c>
      <x:c r="U79" t="n">
        <x:f>ROUND(O79*IFERROR(INDEX(Assumptions!$E$9:$E$13,MATCH(F79,Assumptions!$A$9:$A$13,0)),0.15),0)</x:f>
        <x:v>271</x:v>
      </x:c>
      <x:c r="V79" t="n">
        <x:f>MAX(0,O79-SUM(R79:U79))</x:f>
        <x:v>84.59999999999991</x:v>
      </x:c>
      <x:c r="W79" t="n">
        <x:f>MIN(100,40+IF(O79&gt;0,20,0)+IF(M79&lt;&gt;"",20,0)+IF(AF79&lt;&gt;"",20,0))</x:f>
        <x:v>100</x:v>
      </x:c>
      <x:c r="X79" t="str">
        <x:v>Placed on exact national road host link</x:v>
      </x:c>
      <x:c r="Y79" t="str">
        <x:v>Paved</x:v>
      </x:c>
      <x:c r="Z79" t="str">
        <x:v>B</x:v>
      </x:c>
      <x:c r="AA79" t="str">
        <x:v>Not available in governed source</x:v>
      </x:c>
      <x:c r="AB79" t="str">
        <x:v>Not available in governed source</x:v>
      </x:c>
      <x:c r="AC79" t="str">
        <x:v>FY2025/26</x:v>
      </x:c>
      <x:c r="AD79" t="str">
        <x:v>Modelled</x:v>
      </x:c>
      <x:c r="AE79" t="str">
        <x:v>2026 bridge AADT rebuilt from host-link traffic history, annual collection-link history, same-road corridor history and spatial count-station influence. Vehicle-class values are assigned from functional-class shares.</x:v>
      </x:c>
      <x:c r="AF79" t="str">
        <x:v>Placed on exact national road host link</x:v>
      </x:c>
    </x:row>
    <x:row r="80" ht="15" hidden="0" customHeight="1">
      <x:c r="A80" t="str">
        <x:v>bridge-079</x:v>
      </x:c>
      <x:c r="B80" t="str">
        <x:v>B057</x:v>
      </x:c>
      <x:c r="C80" t="str">
        <x:v>EMJONG</x:v>
      </x:c>
      <x:c r="D80" t="str">
        <x:v>B304_Link02</x:v>
      </x:c>
      <x:c r="E80" t="str">
        <x:v>Kapchorwa-Suam</x:v>
      </x:c>
      <x:c r="F80" t="str">
        <x:v>B</x:v>
      </x:c>
      <x:c r="G80" t="str">
        <x:v>Eastern</x:v>
      </x:c>
      <x:c r="H80" t="str">
        <x:v>Mbale</x:v>
      </x:c>
      <x:c r="I80" t="str">
        <x:v>EMJONG</x:v>
      </x:c>
      <x:c r="J80" t="str">
        <x:v>Good</x:v>
      </x:c>
      <x:c r="K80" t="n">
        <x:v>34.51548</x:v>
      </x:c>
      <x:c r="L80" t="n">
        <x:v>1.41467</x:v>
      </x:c>
      <x:c r="M80" t="n">
        <x:v>34.515359</x:v>
      </x:c>
      <x:c r="N80" t="n">
        <x:v>1.415037</x:v>
      </x:c>
      <x:c r="O80" t="n">
        <x:v>1695.6</x:v>
      </x:c>
      <x:c r="P80" t="n">
        <x:f>IFERROR(INDEX(Assumptions!$B$9:$B$13,MATCH(F80,Assumptions!$A$9:$A$13,0)),0.15)</x:f>
        <x:v>0.16</x:v>
      </x:c>
      <x:c r="Q80" t="n">
        <x:f>ROUND(O80*(1-P80),0)</x:f>
        <x:v>1424</x:v>
      </x:c>
      <x:c r="R80" t="n">
        <x:f>ROUND(O80*P80,0)</x:f>
        <x:v>271</x:v>
      </x:c>
      <x:c r="S80" t="n">
        <x:f>ROUND(O80*IFERROR(INDEX(Assumptions!$C$9:$C$13,MATCH(F80,Assumptions!$A$9:$A$13,0)),0.55),0)</x:f>
        <x:v>950</x:v>
      </x:c>
      <x:c r="T80" t="n">
        <x:f>ROUND(O80*IFERROR(INDEX(Assumptions!$D$9:$D$13,MATCH(F80,Assumptions!$A$9:$A$13,0)),0.06),0)</x:f>
        <x:v>119</x:v>
      </x:c>
      <x:c r="U80" t="n">
        <x:f>ROUND(O80*IFERROR(INDEX(Assumptions!$E$9:$E$13,MATCH(F80,Assumptions!$A$9:$A$13,0)),0.15),0)</x:f>
        <x:v>271</x:v>
      </x:c>
      <x:c r="V80" t="n">
        <x:f>MAX(0,O80-SUM(R80:U80))</x:f>
        <x:v>84.59999999999991</x:v>
      </x:c>
      <x:c r="W80" t="n">
        <x:f>MIN(100,40+IF(O80&gt;0,20,0)+IF(M80&lt;&gt;"",20,0)+IF(AF80&lt;&gt;"",20,0))</x:f>
        <x:v>100</x:v>
      </x:c>
      <x:c r="X80" t="str">
        <x:v>Placed on exact national road host link</x:v>
      </x:c>
      <x:c r="Y80" t="str">
        <x:v>Paved</x:v>
      </x:c>
      <x:c r="Z80" t="str">
        <x:v>B</x:v>
      </x:c>
      <x:c r="AA80" t="str">
        <x:v>Not available in governed source</x:v>
      </x:c>
      <x:c r="AB80" t="str">
        <x:v>Not available in governed source</x:v>
      </x:c>
      <x:c r="AC80" t="str">
        <x:v>FY2025/26</x:v>
      </x:c>
      <x:c r="AD80" t="str">
        <x:v>Modelled</x:v>
      </x:c>
      <x:c r="AE80" t="str">
        <x:v>2026 bridge AADT rebuilt from host-link traffic history, annual collection-link history, same-road corridor history and spatial count-station influence. Vehicle-class values are assigned from functional-class shares.</x:v>
      </x:c>
      <x:c r="AF80" t="str">
        <x:v>Placed on exact national road host link</x:v>
      </x:c>
    </x:row>
    <x:row r="81" ht="15" hidden="0" customHeight="1">
      <x:c r="A81" t="str">
        <x:v>bridge-080</x:v>
      </x:c>
      <x:c r="B81" t="str">
        <x:v>B058</x:v>
      </x:c>
      <x:c r="C81" t="str">
        <x:v>Kanyago 2</x:v>
      </x:c>
      <x:c r="D81" t="str">
        <x:v>B305_Link03</x:v>
      </x:c>
      <x:c r="E81" t="str">
        <x:v>Kanyago Bridge - Kumi</x:v>
      </x:c>
      <x:c r="F81" t="str">
        <x:v>B</x:v>
      </x:c>
      <x:c r="G81" t="str">
        <x:v>North Eastern</x:v>
      </x:c>
      <x:c r="H81" t="str">
        <x:v>Soroti</x:v>
      </x:c>
      <x:c r="I81" t="str">
        <x:v>River Oladot</x:v>
      </x:c>
      <x:c r="J81" t="str">
        <x:v>Satisfactory</x:v>
      </x:c>
      <x:c r="K81" t="n">
        <x:v>33.921436</x:v>
      </x:c>
      <x:c r="L81" t="n">
        <x:v>1.414941</x:v>
      </x:c>
      <x:c r="M81" t="n">
        <x:v>33.921269</x:v>
      </x:c>
      <x:c r="N81" t="n">
        <x:v>1.414977</x:v>
      </x:c>
      <x:c r="O81" t="n">
        <x:v>3609.7</x:v>
      </x:c>
      <x:c r="P81" t="n">
        <x:f>IFERROR(INDEX(Assumptions!$B$9:$B$13,MATCH(F81,Assumptions!$A$9:$A$13,0)),0.15)</x:f>
        <x:v>0.16</x:v>
      </x:c>
      <x:c r="Q81" t="n">
        <x:f>ROUND(O81*(1-P81),0)</x:f>
        <x:v>3032</x:v>
      </x:c>
      <x:c r="R81" t="n">
        <x:f>ROUND(O81*P81,0)</x:f>
        <x:v>578</x:v>
      </x:c>
      <x:c r="S81" t="n">
        <x:f>ROUND(O81*IFERROR(INDEX(Assumptions!$C$9:$C$13,MATCH(F81,Assumptions!$A$9:$A$13,0)),0.55),0)</x:f>
        <x:v>2021</x:v>
      </x:c>
      <x:c r="T81" t="n">
        <x:f>ROUND(O81*IFERROR(INDEX(Assumptions!$D$9:$D$13,MATCH(F81,Assumptions!$A$9:$A$13,0)),0.06),0)</x:f>
        <x:v>253</x:v>
      </x:c>
      <x:c r="U81" t="n">
        <x:f>ROUND(O81*IFERROR(INDEX(Assumptions!$E$9:$E$13,MATCH(F81,Assumptions!$A$9:$A$13,0)),0.15),0)</x:f>
        <x:v>578</x:v>
      </x:c>
      <x:c r="V81" t="n">
        <x:f>MAX(0,O81-SUM(R81:U81))</x:f>
        <x:v>179.69999999999982</x:v>
      </x:c>
      <x:c r="W81" t="n">
        <x:f>MIN(100,40+IF(O81&gt;0,20,0)+IF(M81&lt;&gt;"",20,0)+IF(AF81&lt;&gt;"",20,0))</x:f>
        <x:v>100</x:v>
      </x:c>
      <x:c r="X81" t="str">
        <x:v>Placed on exact national road host link</x:v>
      </x:c>
      <x:c r="Y81" t="str">
        <x:v>Paved</x:v>
      </x:c>
      <x:c r="Z81" t="str">
        <x:v>B</x:v>
      </x:c>
      <x:c r="AA81" t="str">
        <x:v>Not available in governed source</x:v>
      </x:c>
      <x:c r="AB81" t="str">
        <x:v>Not available in governed source</x:v>
      </x:c>
      <x:c r="AC81" t="str">
        <x:v>FY2025/26</x:v>
      </x:c>
      <x:c r="AD81" t="str">
        <x:v>Modelled</x:v>
      </x:c>
      <x:c r="AE81" t="str">
        <x:v>2026 bridge AADT rebuilt from host-link traffic history, annual collection-link history, same-road corridor history and spatial count-station influence. Vehicle-class values are assigned from functional-class shares.</x:v>
      </x:c>
      <x:c r="AF81" t="str">
        <x:v>Placed on exact national road host link</x:v>
      </x:c>
    </x:row>
    <x:row r="82" ht="15" hidden="0" customHeight="1">
      <x:c r="A82" t="str">
        <x:v>bridge-081</x:v>
      </x:c>
      <x:c r="B82" t="str">
        <x:v>B059</x:v>
      </x:c>
      <x:c r="C82" t="str">
        <x:v>Ladot</x:v>
      </x:c>
      <x:c r="D82" t="str">
        <x:v>B305_Link03</x:v>
      </x:c>
      <x:c r="E82" t="str">
        <x:v>Kanyago Bridge - Kumi</x:v>
      </x:c>
      <x:c r="F82" t="str">
        <x:v>B</x:v>
      </x:c>
      <x:c r="G82" t="str">
        <x:v>North Eastern</x:v>
      </x:c>
      <x:c r="H82" t="str">
        <x:v>Soroti</x:v>
      </x:c>
      <x:c r="I82" t="str">
        <x:v>Ladot River</x:v>
      </x:c>
      <x:c r="J82" t="str">
        <x:v>Critical</x:v>
      </x:c>
      <x:c r="K82" t="n">
        <x:v>33.872631</x:v>
      </x:c>
      <x:c r="L82" t="n">
        <x:v>1.26756</x:v>
      </x:c>
      <x:c r="M82" t="n">
        <x:v>33.872329</x:v>
      </x:c>
      <x:c r="N82" t="n">
        <x:v>1.267505</x:v>
      </x:c>
      <x:c r="O82" t="n">
        <x:v>3609.7</x:v>
      </x:c>
      <x:c r="P82" t="n">
        <x:f>IFERROR(INDEX(Assumptions!$B$9:$B$13,MATCH(F82,Assumptions!$A$9:$A$13,0)),0.15)</x:f>
        <x:v>0.16</x:v>
      </x:c>
      <x:c r="Q82" t="n">
        <x:f>ROUND(O82*(1-P82),0)</x:f>
        <x:v>3032</x:v>
      </x:c>
      <x:c r="R82" t="n">
        <x:f>ROUND(O82*P82,0)</x:f>
        <x:v>578</x:v>
      </x:c>
      <x:c r="S82" t="n">
        <x:f>ROUND(O82*IFERROR(INDEX(Assumptions!$C$9:$C$13,MATCH(F82,Assumptions!$A$9:$A$13,0)),0.55),0)</x:f>
        <x:v>2021</x:v>
      </x:c>
      <x:c r="T82" t="n">
        <x:f>ROUND(O82*IFERROR(INDEX(Assumptions!$D$9:$D$13,MATCH(F82,Assumptions!$A$9:$A$13,0)),0.06),0)</x:f>
        <x:v>253</x:v>
      </x:c>
      <x:c r="U82" t="n">
        <x:f>ROUND(O82*IFERROR(INDEX(Assumptions!$E$9:$E$13,MATCH(F82,Assumptions!$A$9:$A$13,0)),0.15),0)</x:f>
        <x:v>578</x:v>
      </x:c>
      <x:c r="V82" t="n">
        <x:f>MAX(0,O82-SUM(R82:U82))</x:f>
        <x:v>179.69999999999982</x:v>
      </x:c>
      <x:c r="W82" t="n">
        <x:f>MIN(100,40+IF(O82&gt;0,20,0)+IF(M82&lt;&gt;"",20,0)+IF(AF82&lt;&gt;"",20,0))</x:f>
        <x:v>100</x:v>
      </x:c>
      <x:c r="X82" t="str">
        <x:v>Placed on national road link from structure registry</x:v>
      </x:c>
      <x:c r="Y82" t="str">
        <x:v>Paved</x:v>
      </x:c>
      <x:c r="Z82" t="str">
        <x:v>B</x:v>
      </x:c>
      <x:c r="AA82" t="str">
        <x:v>Not available in governed source</x:v>
      </x:c>
      <x:c r="AB82" t="str">
        <x:v>Not available in governed source</x:v>
      </x:c>
      <x:c r="AC82" t="str">
        <x:v>FY2025/26</x:v>
      </x:c>
      <x:c r="AD82" t="str">
        <x:v>Modelled</x:v>
      </x:c>
      <x:c r="AE82" t="str">
        <x:v>2026 bridge AADT rebuilt from host-link traffic history, annual collection-link history, same-road corridor history and spatial count-station influence. Vehicle-class values are assigned from functional-class shares.</x:v>
      </x:c>
      <x:c r="AF82" t="str">
        <x:v>Placed on national road link from structure registry</x:v>
      </x:c>
    </x:row>
    <x:row r="83" ht="15" hidden="0" customHeight="1">
      <x:c r="A83" t="str">
        <x:v>bridge-082</x:v>
      </x:c>
      <x:c r="B83" t="str">
        <x:v>B060</x:v>
      </x:c>
      <x:c r="C83" t="str">
        <x:v>KANYAGO</x:v>
      </x:c>
      <x:c r="D83" t="str">
        <x:v>B305_Link03</x:v>
      </x:c>
      <x:c r="E83" t="str">
        <x:v>Kanyago Bridge - Kumi</x:v>
      </x:c>
      <x:c r="F83" t="str">
        <x:v>B</x:v>
      </x:c>
      <x:c r="G83" t="str">
        <x:v>North Eastern</x:v>
      </x:c>
      <x:c r="H83" t="str">
        <x:v>Soroti</x:v>
      </x:c>
      <x:c r="I83" t="str">
        <x:v>LADOT</x:v>
      </x:c>
      <x:c r="J83" t="str">
        <x:v>Marginal</x:v>
      </x:c>
      <x:c r="K83" t="n">
        <x:v>33.872719</x:v>
      </x:c>
      <x:c r="L83" t="n">
        <x:v>1.26842</x:v>
      </x:c>
      <x:c r="M83" t="n">
        <x:v>33.87268</x:v>
      </x:c>
      <x:c r="N83" t="n">
        <x:v>1.26554</x:v>
      </x:c>
      <x:c r="O83" t="n">
        <x:v>3609.7</x:v>
      </x:c>
      <x:c r="P83" t="n">
        <x:f>IFERROR(INDEX(Assumptions!$B$9:$B$13,MATCH(F83,Assumptions!$A$9:$A$13,0)),0.15)</x:f>
        <x:v>0.16</x:v>
      </x:c>
      <x:c r="Q83" t="n">
        <x:f>ROUND(O83*(1-P83),0)</x:f>
        <x:v>3032</x:v>
      </x:c>
      <x:c r="R83" t="n">
        <x:f>ROUND(O83*P83,0)</x:f>
        <x:v>578</x:v>
      </x:c>
      <x:c r="S83" t="n">
        <x:f>ROUND(O83*IFERROR(INDEX(Assumptions!$C$9:$C$13,MATCH(F83,Assumptions!$A$9:$A$13,0)),0.55),0)</x:f>
        <x:v>2021</x:v>
      </x:c>
      <x:c r="T83" t="n">
        <x:f>ROUND(O83*IFERROR(INDEX(Assumptions!$D$9:$D$13,MATCH(F83,Assumptions!$A$9:$A$13,0)),0.06),0)</x:f>
        <x:v>253</x:v>
      </x:c>
      <x:c r="U83" t="n">
        <x:f>ROUND(O83*IFERROR(INDEX(Assumptions!$E$9:$E$13,MATCH(F83,Assumptions!$A$9:$A$13,0)),0.15),0)</x:f>
        <x:v>578</x:v>
      </x:c>
      <x:c r="V83" t="n">
        <x:f>MAX(0,O83-SUM(R83:U83))</x:f>
        <x:v>179.69999999999982</x:v>
      </x:c>
      <x:c r="W83" t="n">
        <x:f>MIN(100,40+IF(O83&gt;0,20,0)+IF(M83&lt;&gt;"",20,0)+IF(AF83&lt;&gt;"",20,0))</x:f>
        <x:v>100</x:v>
      </x:c>
      <x:c r="X83" t="str">
        <x:v>Placed on exact national road host link</x:v>
      </x:c>
      <x:c r="Y83" t="str">
        <x:v>Paved</x:v>
      </x:c>
      <x:c r="Z83" t="str">
        <x:v>B</x:v>
      </x:c>
      <x:c r="AA83" t="str">
        <x:v>Not available in governed source</x:v>
      </x:c>
      <x:c r="AB83" t="str">
        <x:v>Not available in governed source</x:v>
      </x:c>
      <x:c r="AC83" t="str">
        <x:v>FY2025/26</x:v>
      </x:c>
      <x:c r="AD83" t="str">
        <x:v>Modelled</x:v>
      </x:c>
      <x:c r="AE83" t="str">
        <x:v>2026 bridge AADT rebuilt from host-link traffic history, annual collection-link history, same-road corridor history and spatial count-station influence. Vehicle-class values are assigned from functional-class shares.</x:v>
      </x:c>
      <x:c r="AF83" t="str">
        <x:v>Placed on exact national road host link</x:v>
      </x:c>
    </x:row>
    <x:row r="84" ht="15" hidden="0" customHeight="1">
      <x:c r="A84" t="str">
        <x:v>bridge-083</x:v>
      </x:c>
      <x:c r="B84" t="str">
        <x:v>B061</x:v>
      </x:c>
      <x:c r="C84" t="str">
        <x:v>BUYANJA</x:v>
      </x:c>
      <x:c r="D84" t="str">
        <x:v>C214_Link01</x:v>
      </x:c>
      <x:c r="E84" t="str">
        <x:v>Lyantonde - Lumbugu</x:v>
      </x:c>
      <x:c r="F84" t="str">
        <x:v>C</x:v>
      </x:c>
      <x:c r="G84" t="str">
        <x:v>Central</x:v>
      </x:c>
      <x:c r="H84" t="str">
        <x:v>Masaka</x:v>
      </x:c>
      <x:c r="I84" t="str">
        <x:v>Buyanja</x:v>
      </x:c>
      <x:c r="J84" t="str">
        <x:v>Marginal</x:v>
      </x:c>
      <x:c r="K84" t="n">
        <x:v>31.19845</x:v>
      </x:c>
      <x:c r="L84" t="n">
        <x:v>-0.46901</x:v>
      </x:c>
      <x:c r="M84" t="n">
        <x:v>31.198463</x:v>
      </x:c>
      <x:c r="N84" t="n">
        <x:v>-0.469037</x:v>
      </x:c>
      <x:c r="O84" t="n">
        <x:v>673.76</x:v>
      </x:c>
      <x:c r="P84" t="n">
        <x:f>IFERROR(INDEX(Assumptions!$B$9:$B$13,MATCH(F84,Assumptions!$A$9:$A$13,0)),0.15)</x:f>
        <x:v>0.28</x:v>
      </x:c>
      <x:c r="Q84" t="n">
        <x:f>ROUND(O84*(1-P84),0)</x:f>
        <x:v>485</x:v>
      </x:c>
      <x:c r="R84" t="n">
        <x:f>ROUND(O84*P84,0)</x:f>
        <x:v>189</x:v>
      </x:c>
      <x:c r="S84" t="n">
        <x:f>ROUND(O84*IFERROR(INDEX(Assumptions!$C$9:$C$13,MATCH(F84,Assumptions!$A$9:$A$13,0)),0.55),0)</x:f>
        <x:v>337</x:v>
      </x:c>
      <x:c r="T84" t="n">
        <x:f>ROUND(O84*IFERROR(INDEX(Assumptions!$D$9:$D$13,MATCH(F84,Assumptions!$A$9:$A$13,0)),0.06),0)</x:f>
        <x:v>34</x:v>
      </x:c>
      <x:c r="U84" t="n">
        <x:f>ROUND(O84*IFERROR(INDEX(Assumptions!$E$9:$E$13,MATCH(F84,Assumptions!$A$9:$A$13,0)),0.15),0)</x:f>
        <x:v>74</x:v>
      </x:c>
      <x:c r="V84" t="n">
        <x:f>MAX(0,O84-SUM(R84:U84))</x:f>
        <x:v>39.75999999999999</x:v>
      </x:c>
      <x:c r="W84" t="n">
        <x:f>MIN(100,40+IF(O84&gt;0,20,0)+IF(M84&lt;&gt;"",20,0)+IF(AF84&lt;&gt;"",20,0))</x:f>
        <x:v>100</x:v>
      </x:c>
      <x:c r="X84" t="str">
        <x:v>Placed on exact national road host link</x:v>
      </x:c>
      <x:c r="Y84" t="str">
        <x:v>Unpaved</x:v>
      </x:c>
      <x:c r="Z84" t="str">
        <x:v>C</x:v>
      </x:c>
      <x:c r="AA84" t="str">
        <x:v>Not available in governed source</x:v>
      </x:c>
      <x:c r="AB84" t="str">
        <x:v>Not available in governed source</x:v>
      </x:c>
      <x:c r="AC84" t="str">
        <x:v>FY2025/26</x:v>
      </x:c>
      <x:c r="AD84" t="str">
        <x:v>Modelled</x:v>
      </x:c>
      <x:c r="AE84" t="str">
        <x:v>2026 bridge AADT rebuilt from host-link traffic history, annual collection-link history, same-road corridor history and spatial count-station influence. Vehicle-class values are assigned from functional-class shares.</x:v>
      </x:c>
      <x:c r="AF84" t="str">
        <x:v>Placed on exact national road host link</x:v>
      </x:c>
    </x:row>
    <x:row r="85" ht="15" hidden="0" customHeight="1">
      <x:c r="A85" t="str">
        <x:v>bridge-084</x:v>
      </x:c>
      <x:c r="B85" t="str">
        <x:v>B062</x:v>
      </x:c>
      <x:c r="C85" t="str">
        <x:v>KIBALE BRIDGE</x:v>
      </x:c>
      <x:c r="D85" t="str">
        <x:v>C351_Link01</x:v>
      </x:c>
      <x:c r="E85" t="str">
        <x:v>Isingiro-Kityanza</x:v>
      </x:c>
      <x:c r="F85" t="str">
        <x:v>C</x:v>
      </x:c>
      <x:c r="G85" t="str">
        <x:v>Southern</x:v>
      </x:c>
      <x:c r="H85" t="str">
        <x:v>Mbarara</x:v>
      </x:c>
      <x:c r="I85" t="str">
        <x:v>KIBAL RIVER</x:v>
      </x:c>
      <x:c r="J85" t="str">
        <x:v>Marginal</x:v>
      </x:c>
      <x:c r="K85" t="n">
        <x:v>31.346729</x:v>
      </x:c>
      <x:c r="L85" t="n">
        <x:v>0.77879</x:v>
      </x:c>
      <x:c r="M85" t="n">
        <x:v>30.98671</x:v>
      </x:c>
      <x:c r="N85" t="n">
        <x:v>-0.81035</x:v>
      </x:c>
      <x:c r="O85" t="n">
        <x:v>2021.64</x:v>
      </x:c>
      <x:c r="P85" t="n">
        <x:f>IFERROR(INDEX(Assumptions!$B$9:$B$13,MATCH(F85,Assumptions!$A$9:$A$13,0)),0.15)</x:f>
        <x:v>0.28</x:v>
      </x:c>
      <x:c r="Q85" t="n">
        <x:f>ROUND(O85*(1-P85),0)</x:f>
        <x:v>1456</x:v>
      </x:c>
      <x:c r="R85" t="n">
        <x:f>ROUND(O85*P85,0)</x:f>
        <x:v>566</x:v>
      </x:c>
      <x:c r="S85" t="n">
        <x:f>ROUND(O85*IFERROR(INDEX(Assumptions!$C$9:$C$13,MATCH(F85,Assumptions!$A$9:$A$13,0)),0.55),0)</x:f>
        <x:v>1011</x:v>
      </x:c>
      <x:c r="T85" t="n">
        <x:f>ROUND(O85*IFERROR(INDEX(Assumptions!$D$9:$D$13,MATCH(F85,Assumptions!$A$9:$A$13,0)),0.06),0)</x:f>
        <x:v>101</x:v>
      </x:c>
      <x:c r="U85" t="n">
        <x:f>ROUND(O85*IFERROR(INDEX(Assumptions!$E$9:$E$13,MATCH(F85,Assumptions!$A$9:$A$13,0)),0.15),0)</x:f>
        <x:v>222</x:v>
      </x:c>
      <x:c r="V85" t="n">
        <x:f>MAX(0,O85-SUM(R85:U85))</x:f>
        <x:v>121.6400000000001</x:v>
      </x:c>
      <x:c r="W85" t="n">
        <x:f>MIN(100,40+IF(O85&gt;0,20,0)+IF(M85&lt;&gt;"",20,0)+IF(AF85&lt;&gt;"",20,0))</x:f>
        <x:v>100</x:v>
      </x:c>
      <x:c r="X85" t="str">
        <x:v>Placed on exact national road host link</x:v>
      </x:c>
      <x:c r="Y85" t="str">
        <x:v>Unpaved</x:v>
      </x:c>
      <x:c r="Z85" t="str">
        <x:v>C</x:v>
      </x:c>
      <x:c r="AA85" t="str">
        <x:v>Not available in governed source</x:v>
      </x:c>
      <x:c r="AB85" t="str">
        <x:v>Not available in governed source</x:v>
      </x:c>
      <x:c r="AC85" t="str">
        <x:v>FY2025/26</x:v>
      </x:c>
      <x:c r="AD85" t="str">
        <x:v>Modelled</x:v>
      </x:c>
      <x:c r="AE85" t="str">
        <x:v>2026 bridge AADT rebuilt from host-link traffic history, annual collection-link history, same-road corridor history and spatial count-station influence. Vehicle-class values are assigned from functional-class shares.</x:v>
      </x:c>
      <x:c r="AF85" t="str">
        <x:v>Placed on exact national road host link</x:v>
      </x:c>
    </x:row>
    <x:row r="86" ht="15" hidden="0" customHeight="1">
      <x:c r="A86" t="str">
        <x:v>bridge-085</x:v>
      </x:c>
      <x:c r="B86" t="str">
        <x:v>B067</x:v>
      </x:c>
      <x:c r="C86" t="str">
        <x:v>KAHENGE BRIDGE</x:v>
      </x:c>
      <x:c r="D86" t="str">
        <x:v>C410_Link01</x:v>
      </x:c>
      <x:c r="E86" t="str">
        <x:v>Kagamba-Kebisoni</x:v>
      </x:c>
      <x:c r="F86" t="str">
        <x:v>C</x:v>
      </x:c>
      <x:c r="G86" t="str">
        <x:v>Southern</x:v>
      </x:c>
      <x:c r="H86" t="str">
        <x:v>Kabale</x:v>
      </x:c>
      <x:c r="I86" t="str">
        <x:v>KAHENGE</x:v>
      </x:c>
      <x:c r="J86" t="str">
        <x:v>Good</x:v>
      </x:c>
      <x:c r="K86" t="n">
        <x:v>30.05032</x:v>
      </x:c>
      <x:c r="L86" t="n">
        <x:v>-0.83153</x:v>
      </x:c>
      <x:c r="M86" t="n">
        <x:v>30.051498</x:v>
      </x:c>
      <x:c r="N86" t="n">
        <x:v>-0.833268</x:v>
      </x:c>
      <x:c r="O86" t="n">
        <x:v>2531.77</x:v>
      </x:c>
      <x:c r="P86" t="n">
        <x:f>IFERROR(INDEX(Assumptions!$B$9:$B$13,MATCH(F86,Assumptions!$A$9:$A$13,0)),0.15)</x:f>
        <x:v>0.28</x:v>
      </x:c>
      <x:c r="Q86" t="n">
        <x:f>ROUND(O86*(1-P86),0)</x:f>
        <x:v>1823</x:v>
      </x:c>
      <x:c r="R86" t="n">
        <x:f>ROUND(O86*P86,0)</x:f>
        <x:v>709</x:v>
      </x:c>
      <x:c r="S86" t="n">
        <x:f>ROUND(O86*IFERROR(INDEX(Assumptions!$C$9:$C$13,MATCH(F86,Assumptions!$A$9:$A$13,0)),0.55),0)</x:f>
        <x:v>1266</x:v>
      </x:c>
      <x:c r="T86" t="n">
        <x:f>ROUND(O86*IFERROR(INDEX(Assumptions!$D$9:$D$13,MATCH(F86,Assumptions!$A$9:$A$13,0)),0.06),0)</x:f>
        <x:v>127</x:v>
      </x:c>
      <x:c r="U86" t="n">
        <x:f>ROUND(O86*IFERROR(INDEX(Assumptions!$E$9:$E$13,MATCH(F86,Assumptions!$A$9:$A$13,0)),0.15),0)</x:f>
        <x:v>278</x:v>
      </x:c>
      <x:c r="V86" t="n">
        <x:f>MAX(0,O86-SUM(R86:U86))</x:f>
        <x:v>151.76999999999998</x:v>
      </x:c>
      <x:c r="W86" t="n">
        <x:f>MIN(100,40+IF(O86&gt;0,20,0)+IF(M86&lt;&gt;"",20,0)+IF(AF86&lt;&gt;"",20,0))</x:f>
        <x:v>100</x:v>
      </x:c>
      <x:c r="X86" t="str">
        <x:v>Placed on exact national road host link</x:v>
      </x:c>
      <x:c r="Y86" t="str">
        <x:v>Paved</x:v>
      </x:c>
      <x:c r="Z86" t="str">
        <x:v>C</x:v>
      </x:c>
      <x:c r="AA86" t="str">
        <x:v>Not available in governed source</x:v>
      </x:c>
      <x:c r="AB86" t="str">
        <x:v>Not available in governed source</x:v>
      </x:c>
      <x:c r="AC86" t="str">
        <x:v>FY2025/26</x:v>
      </x:c>
      <x:c r="AD86" t="str">
        <x:v>Modelled</x:v>
      </x:c>
      <x:c r="AE86" t="str">
        <x:v>2026 bridge AADT rebuilt from host-link traffic history, annual collection-link history, same-road corridor history and spatial count-station influence. Vehicle-class values are assigned from functional-class shares.</x:v>
      </x:c>
      <x:c r="AF86" t="str">
        <x:v>Placed on exact national road host link</x:v>
      </x:c>
    </x:row>
    <x:row r="87" ht="15" hidden="0" customHeight="1">
      <x:c r="A87" t="str">
        <x:v>bridge-086</x:v>
      </x:c>
      <x:c r="B87" t="str">
        <x:v>B068</x:v>
      </x:c>
      <x:c r="C87" t="str">
        <x:v>MINERA 01</x:v>
      </x:c>
      <x:c r="D87" t="str">
        <x:v>C411_Link01</x:v>
      </x:c>
      <x:c r="E87" t="str">
        <x:v>Muhanga-Kisiizi-Kebisoni</x:v>
      </x:c>
      <x:c r="F87" t="str">
        <x:v>C</x:v>
      </x:c>
      <x:c r="G87" t="str">
        <x:v>Southern</x:v>
      </x:c>
      <x:c r="H87" t="str">
        <x:v>Kabale</x:v>
      </x:c>
      <x:c r="I87" t="str">
        <x:v>RIVER MINERA</x:v>
      </x:c>
      <x:c r="J87" t="str">
        <x:v>Marginal</x:v>
      </x:c>
      <x:c r="K87" t="n">
        <x:v>30.011499</x:v>
      </x:c>
      <x:c r="L87" t="n">
        <x:v>-0.90601</x:v>
      </x:c>
      <x:c r="M87" t="n">
        <x:v>30.012172</x:v>
      </x:c>
      <x:c r="N87" t="n">
        <x:v>-0.904888</x:v>
      </x:c>
      <x:c r="O87" t="n">
        <x:v>716.71</x:v>
      </x:c>
      <x:c r="P87" t="n">
        <x:f>IFERROR(INDEX(Assumptions!$B$9:$B$13,MATCH(F87,Assumptions!$A$9:$A$13,0)),0.15)</x:f>
        <x:v>0.28</x:v>
      </x:c>
      <x:c r="Q87" t="n">
        <x:f>ROUND(O87*(1-P87),0)</x:f>
        <x:v>516</x:v>
      </x:c>
      <x:c r="R87" t="n">
        <x:f>ROUND(O87*P87,0)</x:f>
        <x:v>201</x:v>
      </x:c>
      <x:c r="S87" t="n">
        <x:f>ROUND(O87*IFERROR(INDEX(Assumptions!$C$9:$C$13,MATCH(F87,Assumptions!$A$9:$A$13,0)),0.55),0)</x:f>
        <x:v>358</x:v>
      </x:c>
      <x:c r="T87" t="n">
        <x:f>ROUND(O87*IFERROR(INDEX(Assumptions!$D$9:$D$13,MATCH(F87,Assumptions!$A$9:$A$13,0)),0.06),0)</x:f>
        <x:v>36</x:v>
      </x:c>
      <x:c r="U87" t="n">
        <x:f>ROUND(O87*IFERROR(INDEX(Assumptions!$E$9:$E$13,MATCH(F87,Assumptions!$A$9:$A$13,0)),0.15),0)</x:f>
        <x:v>79</x:v>
      </x:c>
      <x:c r="V87" t="n">
        <x:f>MAX(0,O87-SUM(R87:U87))</x:f>
        <x:v>42.710000000000036</x:v>
      </x:c>
      <x:c r="W87" t="n">
        <x:f>MIN(100,40+IF(O87&gt;0,20,0)+IF(M87&lt;&gt;"",20,0)+IF(AF87&lt;&gt;"",20,0))</x:f>
        <x:v>100</x:v>
      </x:c>
      <x:c r="X87" t="str">
        <x:v>Placed on exact national road host link</x:v>
      </x:c>
      <x:c r="Y87" t="str">
        <x:v>Unpaved</x:v>
      </x:c>
      <x:c r="Z87" t="str">
        <x:v>C</x:v>
      </x:c>
      <x:c r="AA87" t="str">
        <x:v>Not available in governed source</x:v>
      </x:c>
      <x:c r="AB87" t="str">
        <x:v>Not available in governed source</x:v>
      </x:c>
      <x:c r="AC87" t="str">
        <x:v>FY2025/26</x:v>
      </x:c>
      <x:c r="AD87" t="str">
        <x:v>Modelled</x:v>
      </x:c>
      <x:c r="AE87" t="str">
        <x:v>2026 bridge AADT rebuilt from host-link traffic history, annual collection-link history, same-road corridor history and spatial count-station influence. Vehicle-class values are assigned from functional-class shares.</x:v>
      </x:c>
      <x:c r="AF87" t="str">
        <x:v>Placed on exact national road host link</x:v>
      </x:c>
    </x:row>
    <x:row r="88" ht="15" hidden="0" customHeight="1">
      <x:c r="A88" t="str">
        <x:v>bridge-087</x:v>
      </x:c>
      <x:c r="B88" t="str">
        <x:v>B069</x:v>
      </x:c>
      <x:c r="C88" t="str">
        <x:v>MINERA 02</x:v>
      </x:c>
      <x:c r="D88" t="str">
        <x:v>C411_Link01</x:v>
      </x:c>
      <x:c r="E88" t="str">
        <x:v>Muhanga-Kisiizi-Kebisoni</x:v>
      </x:c>
      <x:c r="F88" t="str">
        <x:v>C</x:v>
      </x:c>
      <x:c r="G88" t="str">
        <x:v>Southern</x:v>
      </x:c>
      <x:c r="H88" t="str">
        <x:v>Kabale</x:v>
      </x:c>
      <x:c r="I88" t="str">
        <x:v>RIVER MINERA</x:v>
      </x:c>
      <x:c r="J88" t="str">
        <x:v>Satisfactory</x:v>
      </x:c>
      <x:c r="K88" t="n">
        <x:v>30.011419</x:v>
      </x:c>
      <x:c r="L88" t="n">
        <x:v>-0.905775</x:v>
      </x:c>
      <x:c r="M88" t="n">
        <x:v>30.012168</x:v>
      </x:c>
      <x:c r="N88" t="n">
        <x:v>-0.904628</x:v>
      </x:c>
      <x:c r="O88" t="n">
        <x:v>716.71</x:v>
      </x:c>
      <x:c r="P88" t="n">
        <x:f>IFERROR(INDEX(Assumptions!$B$9:$B$13,MATCH(F88,Assumptions!$A$9:$A$13,0)),0.15)</x:f>
        <x:v>0.28</x:v>
      </x:c>
      <x:c r="Q88" t="n">
        <x:f>ROUND(O88*(1-P88),0)</x:f>
        <x:v>516</x:v>
      </x:c>
      <x:c r="R88" t="n">
        <x:f>ROUND(O88*P88,0)</x:f>
        <x:v>201</x:v>
      </x:c>
      <x:c r="S88" t="n">
        <x:f>ROUND(O88*IFERROR(INDEX(Assumptions!$C$9:$C$13,MATCH(F88,Assumptions!$A$9:$A$13,0)),0.55),0)</x:f>
        <x:v>358</x:v>
      </x:c>
      <x:c r="T88" t="n">
        <x:f>ROUND(O88*IFERROR(INDEX(Assumptions!$D$9:$D$13,MATCH(F88,Assumptions!$A$9:$A$13,0)),0.06),0)</x:f>
        <x:v>36</x:v>
      </x:c>
      <x:c r="U88" t="n">
        <x:f>ROUND(O88*IFERROR(INDEX(Assumptions!$E$9:$E$13,MATCH(F88,Assumptions!$A$9:$A$13,0)),0.15),0)</x:f>
        <x:v>79</x:v>
      </x:c>
      <x:c r="V88" t="n">
        <x:f>MAX(0,O88-SUM(R88:U88))</x:f>
        <x:v>42.710000000000036</x:v>
      </x:c>
      <x:c r="W88" t="n">
        <x:f>MIN(100,40+IF(O88&gt;0,20,0)+IF(M88&lt;&gt;"",20,0)+IF(AF88&lt;&gt;"",20,0))</x:f>
        <x:v>100</x:v>
      </x:c>
      <x:c r="X88" t="str">
        <x:v>Placed on exact national road host link</x:v>
      </x:c>
      <x:c r="Y88" t="str">
        <x:v>Unpaved</x:v>
      </x:c>
      <x:c r="Z88" t="str">
        <x:v>C</x:v>
      </x:c>
      <x:c r="AA88" t="str">
        <x:v>Not available in governed source</x:v>
      </x:c>
      <x:c r="AB88" t="str">
        <x:v>Not available in governed source</x:v>
      </x:c>
      <x:c r="AC88" t="str">
        <x:v>FY2025/26</x:v>
      </x:c>
      <x:c r="AD88" t="str">
        <x:v>Modelled</x:v>
      </x:c>
      <x:c r="AE88" t="str">
        <x:v>2026 bridge AADT rebuilt from host-link traffic history, annual collection-link history, same-road corridor history and spatial count-station influence. Vehicle-class values are assigned from functional-class shares.</x:v>
      </x:c>
      <x:c r="AF88" t="str">
        <x:v>Placed on exact national road host link</x:v>
      </x:c>
    </x:row>
    <x:row r="89" ht="15" hidden="0" customHeight="1">
      <x:c r="A89" t="str">
        <x:v>bridge-088</x:v>
      </x:c>
      <x:c r="B89" t="str">
        <x:v>B070</x:v>
      </x:c>
      <x:c r="C89" t="str">
        <x:v>NYAMWIRU BRIDGE</x:v>
      </x:c>
      <x:c r="D89" t="str">
        <x:v>C414_Link01</x:v>
      </x:c>
      <x:c r="E89" t="str">
        <x:v>Katunguru - Ishasha</x:v>
      </x:c>
      <x:c r="F89" t="str">
        <x:v>C</x:v>
      </x:c>
      <x:c r="G89" t="str">
        <x:v>Southern</x:v>
      </x:c>
      <x:c r="H89" t="str">
        <x:v>Kasese</x:v>
      </x:c>
      <x:c r="I89" t="str">
        <x:v>NYAMWIRU RIVER</x:v>
      </x:c>
      <x:c r="J89" t="str">
        <x:v>Good</x:v>
      </x:c>
      <x:c r="K89" t="n">
        <x:v>29.8709182739258</x:v>
      </x:c>
      <x:c r="L89" t="n">
        <x:v>-0.313053399324417</x:v>
      </x:c>
      <x:c r="M89" t="n">
        <x:v>29.8709182739258</x:v>
      </x:c>
      <x:c r="N89" t="n">
        <x:v>-0.313053399324417</x:v>
      </x:c>
      <x:c r="O89" t="n">
        <x:v>0</x:v>
      </x:c>
      <x:c r="P89" t="n">
        <x:f>IFERROR(INDEX(Assumptions!$B$9:$B$13,MATCH(F89,Assumptions!$A$9:$A$13,0)),0.15)</x:f>
        <x:v>0.28</x:v>
      </x:c>
      <x:c r="Q89" t="n">
        <x:f>ROUND(O89*(1-P89),0)</x:f>
        <x:v>0</x:v>
      </x:c>
      <x:c r="R89" t="n">
        <x:f>ROUND(O89*P89,0)</x:f>
        <x:v>0</x:v>
      </x:c>
      <x:c r="S89" t="n">
        <x:f>ROUND(O89*IFERROR(INDEX(Assumptions!$C$9:$C$13,MATCH(F89,Assumptions!$A$9:$A$13,0)),0.55),0)</x:f>
        <x:v>0</x:v>
      </x:c>
      <x:c r="T89" t="n">
        <x:f>ROUND(O89*IFERROR(INDEX(Assumptions!$D$9:$D$13,MATCH(F89,Assumptions!$A$9:$A$13,0)),0.06),0)</x:f>
        <x:v>0</x:v>
      </x:c>
      <x:c r="U89" t="n">
        <x:f>ROUND(O89*IFERROR(INDEX(Assumptions!$E$9:$E$13,MATCH(F89,Assumptions!$A$9:$A$13,0)),0.15),0)</x:f>
        <x:v>0</x:v>
      </x:c>
      <x:c r="V89" t="n">
        <x:f>MAX(0,O89-SUM(R89:U89))</x:f>
        <x:v>0</x:v>
      </x:c>
      <x:c r="W89" t="n">
        <x:f>MIN(100,40+IF(O89&gt;0,20,0)+IF(M89&lt;&gt;"",20,0)+IF(AF89&lt;&gt;"",20,0))</x:f>
        <x:v>80</x:v>
      </x:c>
      <x:c r="X89" t="str">
        <x:v>manual</x:v>
      </x:c>
      <x:c r="Y89" t="str">
        <x:v>Unpaved</x:v>
      </x:c>
      <x:c r="Z89" t="str">
        <x:v>C</x:v>
      </x:c>
      <x:c r="AA89" t="str">
        <x:v>Not available in governed source</x:v>
      </x:c>
      <x:c r="AB89" t="str">
        <x:v>Not available in governed source</x:v>
      </x:c>
      <x:c r="AC89" t="str">
        <x:v>FY2025/26</x:v>
      </x:c>
      <x:c r="AD89" t="str">
        <x:v>Modelled</x:v>
      </x:c>
      <x:c r="AE89" t="str">
        <x:v>2026 bridge AADT rebuilt from host-link traffic history, annual collection-link history, same-road corridor history and spatial count-station influence. Vehicle-class values are assigned from functional-class shares.</x:v>
      </x:c>
      <x:c r="AF89" t="str">
        <x:v>manual</x:v>
      </x:c>
    </x:row>
    <x:row r="90" ht="15" hidden="0" customHeight="1">
      <x:c r="A90" t="str">
        <x:v>bridge-089</x:v>
      </x:c>
      <x:c r="B90" t="str">
        <x:v>B071</x:v>
      </x:c>
      <x:c r="C90" t="str">
        <x:v>RWEMPUNU BRIDGE</x:v>
      </x:c>
      <x:c r="D90" t="str">
        <x:v>C414_Link01</x:v>
      </x:c>
      <x:c r="E90" t="str">
        <x:v>Katunguru - Ishasha</x:v>
      </x:c>
      <x:c r="F90" t="str">
        <x:v>C</x:v>
      </x:c>
      <x:c r="G90" t="str">
        <x:v>Southern</x:v>
      </x:c>
      <x:c r="H90" t="str">
        <x:v>Kasese</x:v>
      </x:c>
      <x:c r="I90" t="str">
        <x:v>RWEMPUNU RIVER</x:v>
      </x:c>
      <x:c r="J90" t="str">
        <x:v>Good</x:v>
      </x:c>
      <x:c r="K90" t="n">
        <x:v>29.8760261535645</x:v>
      </x:c>
      <x:c r="L90" t="n">
        <x:v>-0.383601486682892</x:v>
      </x:c>
      <x:c r="M90" t="n">
        <x:v>29.8760261535645</x:v>
      </x:c>
      <x:c r="N90" t="n">
        <x:v>-0.383601486682892</x:v>
      </x:c>
      <x:c r="O90" t="n">
        <x:v>0</x:v>
      </x:c>
      <x:c r="P90" t="n">
        <x:f>IFERROR(INDEX(Assumptions!$B$9:$B$13,MATCH(F90,Assumptions!$A$9:$A$13,0)),0.15)</x:f>
        <x:v>0.28</x:v>
      </x:c>
      <x:c r="Q90" t="n">
        <x:f>ROUND(O90*(1-P90),0)</x:f>
        <x:v>0</x:v>
      </x:c>
      <x:c r="R90" t="n">
        <x:f>ROUND(O90*P90,0)</x:f>
        <x:v>0</x:v>
      </x:c>
      <x:c r="S90" t="n">
        <x:f>ROUND(O90*IFERROR(INDEX(Assumptions!$C$9:$C$13,MATCH(F90,Assumptions!$A$9:$A$13,0)),0.55),0)</x:f>
        <x:v>0</x:v>
      </x:c>
      <x:c r="T90" t="n">
        <x:f>ROUND(O90*IFERROR(INDEX(Assumptions!$D$9:$D$13,MATCH(F90,Assumptions!$A$9:$A$13,0)),0.06),0)</x:f>
        <x:v>0</x:v>
      </x:c>
      <x:c r="U90" t="n">
        <x:f>ROUND(O90*IFERROR(INDEX(Assumptions!$E$9:$E$13,MATCH(F90,Assumptions!$A$9:$A$13,0)),0.15),0)</x:f>
        <x:v>0</x:v>
      </x:c>
      <x:c r="V90" t="n">
        <x:f>MAX(0,O90-SUM(R90:U90))</x:f>
        <x:v>0</x:v>
      </x:c>
      <x:c r="W90" t="n">
        <x:f>MIN(100,40+IF(O90&gt;0,20,0)+IF(M90&lt;&gt;"",20,0)+IF(AF90&lt;&gt;"",20,0))</x:f>
        <x:v>80</x:v>
      </x:c>
      <x:c r="X90" t="str">
        <x:v>manual</x:v>
      </x:c>
      <x:c r="Y90" t="str">
        <x:v>Unpaved</x:v>
      </x:c>
      <x:c r="Z90" t="str">
        <x:v>C</x:v>
      </x:c>
      <x:c r="AA90" t="str">
        <x:v>Not available in governed source</x:v>
      </x:c>
      <x:c r="AB90" t="str">
        <x:v>Not available in governed source</x:v>
      </x:c>
      <x:c r="AC90" t="str">
        <x:v>FY2025/26</x:v>
      </x:c>
      <x:c r="AD90" t="str">
        <x:v>Modelled</x:v>
      </x:c>
      <x:c r="AE90" t="str">
        <x:v>2026 bridge AADT rebuilt from host-link traffic history, annual collection-link history, same-road corridor history and spatial count-station influence. Vehicle-class values are assigned from functional-class shares.</x:v>
      </x:c>
      <x:c r="AF90" t="str">
        <x:v>manual</x:v>
      </x:c>
    </x:row>
    <x:row r="91" ht="15" hidden="0" customHeight="1">
      <x:c r="A91" t="str">
        <x:v>bridge-090</x:v>
      </x:c>
      <x:c r="B91" t="str">
        <x:v>B072</x:v>
      </x:c>
      <x:c r="C91" t="str">
        <x:v>KAIZI BRIDGE</x:v>
      </x:c>
      <x:c r="D91" t="str">
        <x:v>C414_Link01</x:v>
      </x:c>
      <x:c r="E91" t="str">
        <x:v>Katunguru - Ishasha</x:v>
      </x:c>
      <x:c r="F91" t="str">
        <x:v>C</x:v>
      </x:c>
      <x:c r="G91" t="str">
        <x:v>Southern</x:v>
      </x:c>
      <x:c r="H91" t="str">
        <x:v>Kasese</x:v>
      </x:c>
      <x:c r="I91" t="str">
        <x:v>KAIZI RIVER</x:v>
      </x:c>
      <x:c r="J91" t="str">
        <x:v>Good</x:v>
      </x:c>
      <x:c r="K91" t="n">
        <x:v>29.8677806854248</x:v>
      </x:c>
      <x:c r="L91" t="n">
        <x:v>-0.423020005226135</x:v>
      </x:c>
      <x:c r="M91" t="n">
        <x:v>29.8677806854248</x:v>
      </x:c>
      <x:c r="N91" t="n">
        <x:v>-0.423020005226135</x:v>
      </x:c>
      <x:c r="O91" t="n">
        <x:v>0</x:v>
      </x:c>
      <x:c r="P91" t="n">
        <x:f>IFERROR(INDEX(Assumptions!$B$9:$B$13,MATCH(F91,Assumptions!$A$9:$A$13,0)),0.15)</x:f>
        <x:v>0.28</x:v>
      </x:c>
      <x:c r="Q91" t="n">
        <x:f>ROUND(O91*(1-P91),0)</x:f>
        <x:v>0</x:v>
      </x:c>
      <x:c r="R91" t="n">
        <x:f>ROUND(O91*P91,0)</x:f>
        <x:v>0</x:v>
      </x:c>
      <x:c r="S91" t="n">
        <x:f>ROUND(O91*IFERROR(INDEX(Assumptions!$C$9:$C$13,MATCH(F91,Assumptions!$A$9:$A$13,0)),0.55),0)</x:f>
        <x:v>0</x:v>
      </x:c>
      <x:c r="T91" t="n">
        <x:f>ROUND(O91*IFERROR(INDEX(Assumptions!$D$9:$D$13,MATCH(F91,Assumptions!$A$9:$A$13,0)),0.06),0)</x:f>
        <x:v>0</x:v>
      </x:c>
      <x:c r="U91" t="n">
        <x:f>ROUND(O91*IFERROR(INDEX(Assumptions!$E$9:$E$13,MATCH(F91,Assumptions!$A$9:$A$13,0)),0.15),0)</x:f>
        <x:v>0</x:v>
      </x:c>
      <x:c r="V91" t="n">
        <x:f>MAX(0,O91-SUM(R91:U91))</x:f>
        <x:v>0</x:v>
      </x:c>
      <x:c r="W91" t="n">
        <x:f>MIN(100,40+IF(O91&gt;0,20,0)+IF(M91&lt;&gt;"",20,0)+IF(AF91&lt;&gt;"",20,0))</x:f>
        <x:v>80</x:v>
      </x:c>
      <x:c r="X91" t="str">
        <x:v>manual</x:v>
      </x:c>
      <x:c r="Y91" t="str">
        <x:v>Unpaved</x:v>
      </x:c>
      <x:c r="Z91" t="str">
        <x:v>C</x:v>
      </x:c>
      <x:c r="AA91" t="str">
        <x:v>Not available in governed source</x:v>
      </x:c>
      <x:c r="AB91" t="str">
        <x:v>Not available in governed source</x:v>
      </x:c>
      <x:c r="AC91" t="str">
        <x:v>FY2025/26</x:v>
      </x:c>
      <x:c r="AD91" t="str">
        <x:v>Modelled</x:v>
      </x:c>
      <x:c r="AE91" t="str">
        <x:v>2026 bridge AADT rebuilt from host-link traffic history, annual collection-link history, same-road corridor history and spatial count-station influence. Vehicle-class values are assigned from functional-class shares.</x:v>
      </x:c>
      <x:c r="AF91" t="str">
        <x:v>manual</x:v>
      </x:c>
    </x:row>
    <x:row r="92" ht="15" hidden="0" customHeight="1">
      <x:c r="A92" t="str">
        <x:v>bridge-091</x:v>
      </x:c>
      <x:c r="B92" t="str">
        <x:v>B073</x:v>
      </x:c>
      <x:c r="C92" t="str">
        <x:v>NCHWERA BRIDGE</x:v>
      </x:c>
      <x:c r="D92" t="str">
        <x:v>C414_Link01</x:v>
      </x:c>
      <x:c r="E92" t="str">
        <x:v>Katunguru - Ishasha</x:v>
      </x:c>
      <x:c r="F92" t="str">
        <x:v>C</x:v>
      </x:c>
      <x:c r="G92" t="str">
        <x:v>Southern</x:v>
      </x:c>
      <x:c r="H92" t="str">
        <x:v>Kasese</x:v>
      </x:c>
      <x:c r="I92" t="str">
        <x:v>NSHWERA RIVER</x:v>
      </x:c>
      <x:c r="J92" t="str">
        <x:v>Marginal</x:v>
      </x:c>
      <x:c r="K92" t="n">
        <x:v>29.8015</x:v>
      </x:c>
      <x:c r="L92" t="n">
        <x:v>-0.45831</x:v>
      </x:c>
      <x:c r="M92" t="n">
        <x:v>29.874855</x:v>
      </x:c>
      <x:c r="N92" t="n">
        <x:v>-0.379872</x:v>
      </x:c>
      <x:c r="O92" t="n">
        <x:v>246.66</x:v>
      </x:c>
      <x:c r="P92" t="n">
        <x:f>IFERROR(INDEX(Assumptions!$B$9:$B$13,MATCH(F92,Assumptions!$A$9:$A$13,0)),0.15)</x:f>
        <x:v>0.28</x:v>
      </x:c>
      <x:c r="Q92" t="n">
        <x:f>ROUND(O92*(1-P92),0)</x:f>
        <x:v>178</x:v>
      </x:c>
      <x:c r="R92" t="n">
        <x:f>ROUND(O92*P92,0)</x:f>
        <x:v>69</x:v>
      </x:c>
      <x:c r="S92" t="n">
        <x:f>ROUND(O92*IFERROR(INDEX(Assumptions!$C$9:$C$13,MATCH(F92,Assumptions!$A$9:$A$13,0)),0.55),0)</x:f>
        <x:v>123</x:v>
      </x:c>
      <x:c r="T92" t="n">
        <x:f>ROUND(O92*IFERROR(INDEX(Assumptions!$D$9:$D$13,MATCH(F92,Assumptions!$A$9:$A$13,0)),0.06),0)</x:f>
        <x:v>12</x:v>
      </x:c>
      <x:c r="U92" t="n">
        <x:f>ROUND(O92*IFERROR(INDEX(Assumptions!$E$9:$E$13,MATCH(F92,Assumptions!$A$9:$A$13,0)),0.15),0)</x:f>
        <x:v>27</x:v>
      </x:c>
      <x:c r="V92" t="n">
        <x:f>MAX(0,O92-SUM(R92:U92))</x:f>
        <x:v>15.659999999999997</x:v>
      </x:c>
      <x:c r="W92" t="n">
        <x:f>MIN(100,40+IF(O92&gt;0,20,0)+IF(M92&lt;&gt;"",20,0)+IF(AF92&lt;&gt;"",20,0))</x:f>
        <x:v>100</x:v>
      </x:c>
      <x:c r="X92" t="str">
        <x:v>Placed on exact national road host link</x:v>
      </x:c>
      <x:c r="Y92" t="str">
        <x:v>Unpaved</x:v>
      </x:c>
      <x:c r="Z92" t="str">
        <x:v>C</x:v>
      </x:c>
      <x:c r="AA92" t="str">
        <x:v>Not available in governed source</x:v>
      </x:c>
      <x:c r="AB92" t="str">
        <x:v>Not available in governed source</x:v>
      </x:c>
      <x:c r="AC92" t="str">
        <x:v>FY2025/26</x:v>
      </x:c>
      <x:c r="AD92" t="str">
        <x:v>Modelled</x:v>
      </x:c>
      <x:c r="AE92" t="str">
        <x:v>2026 bridge AADT rebuilt from host-link traffic history, annual collection-link history, same-road corridor history and spatial count-station influence. Vehicle-class values are assigned from functional-class shares.</x:v>
      </x:c>
      <x:c r="AF92" t="str">
        <x:v>Placed on exact national road host link</x:v>
      </x:c>
    </x:row>
    <x:row r="93" ht="15" hidden="0" customHeight="1">
      <x:c r="A93" t="str">
        <x:v>bridge-092</x:v>
      </x:c>
      <x:c r="B93" t="str">
        <x:v>B074</x:v>
      </x:c>
      <x:c r="C93" t="str">
        <x:v>NTUNGWE BRIDGE</x:v>
      </x:c>
      <x:c r="D93" t="str">
        <x:v>C414_Link01</x:v>
      </x:c>
      <x:c r="E93" t="str">
        <x:v>Katunguru - Ishasha</x:v>
      </x:c>
      <x:c r="F93" t="str">
        <x:v>C</x:v>
      </x:c>
      <x:c r="G93" t="str">
        <x:v>Southern</x:v>
      </x:c>
      <x:c r="H93" t="str">
        <x:v>Kasese</x:v>
      </x:c>
      <x:c r="I93" t="str">
        <x:v>NTUNGWE RIVER</x:v>
      </x:c>
      <x:c r="J93" t="str">
        <x:v>Satisfactory</x:v>
      </x:c>
      <x:c r="K93" t="n">
        <x:v>29.72377</x:v>
      </x:c>
      <x:c r="L93" t="n">
        <x:v>-0.57484</x:v>
      </x:c>
      <x:c r="M93" t="n">
        <x:v>29.929971</x:v>
      </x:c>
      <x:c r="N93" t="n">
        <x:v>-0.265923</x:v>
      </x:c>
      <x:c r="O93" t="n">
        <x:v>246.66</x:v>
      </x:c>
      <x:c r="P93" t="n">
        <x:f>IFERROR(INDEX(Assumptions!$B$9:$B$13,MATCH(F93,Assumptions!$A$9:$A$13,0)),0.15)</x:f>
        <x:v>0.28</x:v>
      </x:c>
      <x:c r="Q93" t="n">
        <x:f>ROUND(O93*(1-P93),0)</x:f>
        <x:v>178</x:v>
      </x:c>
      <x:c r="R93" t="n">
        <x:f>ROUND(O93*P93,0)</x:f>
        <x:v>69</x:v>
      </x:c>
      <x:c r="S93" t="n">
        <x:f>ROUND(O93*IFERROR(INDEX(Assumptions!$C$9:$C$13,MATCH(F93,Assumptions!$A$9:$A$13,0)),0.55),0)</x:f>
        <x:v>123</x:v>
      </x:c>
      <x:c r="T93" t="n">
        <x:f>ROUND(O93*IFERROR(INDEX(Assumptions!$D$9:$D$13,MATCH(F93,Assumptions!$A$9:$A$13,0)),0.06),0)</x:f>
        <x:v>12</x:v>
      </x:c>
      <x:c r="U93" t="n">
        <x:f>ROUND(O93*IFERROR(INDEX(Assumptions!$E$9:$E$13,MATCH(F93,Assumptions!$A$9:$A$13,0)),0.15),0)</x:f>
        <x:v>27</x:v>
      </x:c>
      <x:c r="V93" t="n">
        <x:f>MAX(0,O93-SUM(R93:U93))</x:f>
        <x:v>15.659999999999997</x:v>
      </x:c>
      <x:c r="W93" t="n">
        <x:f>MIN(100,40+IF(O93&gt;0,20,0)+IF(M93&lt;&gt;"",20,0)+IF(AF93&lt;&gt;"",20,0))</x:f>
        <x:v>100</x:v>
      </x:c>
      <x:c r="X93" t="str">
        <x:v>Placed on exact national road host link</x:v>
      </x:c>
      <x:c r="Y93" t="str">
        <x:v>Unpaved</x:v>
      </x:c>
      <x:c r="Z93" t="str">
        <x:v>C</x:v>
      </x:c>
      <x:c r="AA93" t="str">
        <x:v>Not available in governed source</x:v>
      </x:c>
      <x:c r="AB93" t="str">
        <x:v>Not available in governed source</x:v>
      </x:c>
      <x:c r="AC93" t="str">
        <x:v>FY2025/26</x:v>
      </x:c>
      <x:c r="AD93" t="str">
        <x:v>Modelled</x:v>
      </x:c>
      <x:c r="AE93" t="str">
        <x:v>2026 bridge AADT rebuilt from host-link traffic history, annual collection-link history, same-road corridor history and spatial count-station influence. Vehicle-class values are assigned from functional-class shares.</x:v>
      </x:c>
      <x:c r="AF93" t="str">
        <x:v>Placed on exact national road host link</x:v>
      </x:c>
    </x:row>
    <x:row r="94" ht="15" hidden="0" customHeight="1">
      <x:c r="A94" t="str">
        <x:v>bridge-093</x:v>
      </x:c>
      <x:c r="B94" t="str">
        <x:v>B075</x:v>
      </x:c>
      <x:c r="C94" t="str">
        <x:v>ISHASHA BRIDGE</x:v>
      </x:c>
      <x:c r="D94" t="str">
        <x:v>C414_Link01</x:v>
      </x:c>
      <x:c r="E94" t="str">
        <x:v>Katunguru - Ishasha</x:v>
      </x:c>
      <x:c r="F94" t="str">
        <x:v>C</x:v>
      </x:c>
      <x:c r="G94" t="str">
        <x:v>Southern</x:v>
      </x:c>
      <x:c r="H94" t="str">
        <x:v>Kasese</x:v>
      </x:c>
      <x:c r="I94" t="str">
        <x:v>ISHASHA RIVER</x:v>
      </x:c>
      <x:c r="J94" t="str">
        <x:v>Poor</x:v>
      </x:c>
      <x:c r="K94" t="n">
        <x:v>29.628202</x:v>
      </x:c>
      <x:c r="L94" t="n">
        <x:v>-0.727353</x:v>
      </x:c>
      <x:c r="M94" t="n">
        <x:v>30.060412</x:v>
      </x:c>
      <x:c r="N94" t="n">
        <x:v>-0.151381</x:v>
      </x:c>
      <x:c r="O94" t="n">
        <x:v>246.66</x:v>
      </x:c>
      <x:c r="P94" t="n">
        <x:f>IFERROR(INDEX(Assumptions!$B$9:$B$13,MATCH(F94,Assumptions!$A$9:$A$13,0)),0.15)</x:f>
        <x:v>0.28</x:v>
      </x:c>
      <x:c r="Q94" t="n">
        <x:f>ROUND(O94*(1-P94),0)</x:f>
        <x:v>178</x:v>
      </x:c>
      <x:c r="R94" t="n">
        <x:f>ROUND(O94*P94,0)</x:f>
        <x:v>69</x:v>
      </x:c>
      <x:c r="S94" t="n">
        <x:f>ROUND(O94*IFERROR(INDEX(Assumptions!$C$9:$C$13,MATCH(F94,Assumptions!$A$9:$A$13,0)),0.55),0)</x:f>
        <x:v>123</x:v>
      </x:c>
      <x:c r="T94" t="n">
        <x:f>ROUND(O94*IFERROR(INDEX(Assumptions!$D$9:$D$13,MATCH(F94,Assumptions!$A$9:$A$13,0)),0.06),0)</x:f>
        <x:v>12</x:v>
      </x:c>
      <x:c r="U94" t="n">
        <x:f>ROUND(O94*IFERROR(INDEX(Assumptions!$E$9:$E$13,MATCH(F94,Assumptions!$A$9:$A$13,0)),0.15),0)</x:f>
        <x:v>27</x:v>
      </x:c>
      <x:c r="V94" t="n">
        <x:f>MAX(0,O94-SUM(R94:U94))</x:f>
        <x:v>15.659999999999997</x:v>
      </x:c>
      <x:c r="W94" t="n">
        <x:f>MIN(100,40+IF(O94&gt;0,20,0)+IF(M94&lt;&gt;"",20,0)+IF(AF94&lt;&gt;"",20,0))</x:f>
        <x:v>100</x:v>
      </x:c>
      <x:c r="X94" t="str">
        <x:v>Placed on exact national road host link</x:v>
      </x:c>
      <x:c r="Y94" t="str">
        <x:v>Unpaved</x:v>
      </x:c>
      <x:c r="Z94" t="str">
        <x:v>C</x:v>
      </x:c>
      <x:c r="AA94" t="str">
        <x:v>Not available in governed source</x:v>
      </x:c>
      <x:c r="AB94" t="str">
        <x:v>Not available in governed source</x:v>
      </x:c>
      <x:c r="AC94" t="str">
        <x:v>FY2025/26</x:v>
      </x:c>
      <x:c r="AD94" t="str">
        <x:v>Modelled</x:v>
      </x:c>
      <x:c r="AE94" t="str">
        <x:v>2026 bridge AADT rebuilt from host-link traffic history, annual collection-link history, same-road corridor history and spatial count-station influence. Vehicle-class values are assigned from functional-class shares.</x:v>
      </x:c>
      <x:c r="AF94" t="str">
        <x:v>Placed on exact national road host link</x:v>
      </x:c>
    </x:row>
    <x:row r="95" ht="15" hidden="0" customHeight="1">
      <x:c r="A95" t="str">
        <x:v>bridge-094</x:v>
      </x:c>
      <x:c r="B95" t="str">
        <x:v>B076</x:v>
      </x:c>
      <x:c r="C95" t="str">
        <x:v>NYAMUKAMBU BRIDGE</x:v>
      </x:c>
      <x:c r="D95" t="str">
        <x:v>C415_Link02</x:v>
      </x:c>
      <x:c r="E95" t="str">
        <x:v>Bihanga - Bwizibwera</x:v>
      </x:c>
      <x:c r="F95" t="str">
        <x:v>C</x:v>
      </x:c>
      <x:c r="G95" t="str">
        <x:v>Southern</x:v>
      </x:c>
      <x:c r="H95" t="str">
        <x:v>Ibanda</x:v>
      </x:c>
      <x:c r="I95" t="str">
        <x:v>NYAKAMBUGU SWAMP</x:v>
      </x:c>
      <x:c r="J95" t="str">
        <x:v>Poor</x:v>
      </x:c>
      <x:c r="K95" t="n">
        <x:v>30.46027</x:v>
      </x:c>
      <x:c r="L95" t="n">
        <x:v>-0.43451</x:v>
      </x:c>
      <x:c r="M95" t="n">
        <x:v>30.467704</x:v>
      </x:c>
      <x:c r="N95" t="n">
        <x:v>-0.429878</x:v>
      </x:c>
      <x:c r="O95" t="n">
        <x:v>1597.87</x:v>
      </x:c>
      <x:c r="P95" t="n">
        <x:f>IFERROR(INDEX(Assumptions!$B$9:$B$13,MATCH(F95,Assumptions!$A$9:$A$13,0)),0.15)</x:f>
        <x:v>0.28</x:v>
      </x:c>
      <x:c r="Q95" t="n">
        <x:f>ROUND(O95*(1-P95),0)</x:f>
        <x:v>1150</x:v>
      </x:c>
      <x:c r="R95" t="n">
        <x:f>ROUND(O95*P95,0)</x:f>
        <x:v>447</x:v>
      </x:c>
      <x:c r="S95" t="n">
        <x:f>ROUND(O95*IFERROR(INDEX(Assumptions!$C$9:$C$13,MATCH(F95,Assumptions!$A$9:$A$13,0)),0.55),0)</x:f>
        <x:v>799</x:v>
      </x:c>
      <x:c r="T95" t="n">
        <x:f>ROUND(O95*IFERROR(INDEX(Assumptions!$D$9:$D$13,MATCH(F95,Assumptions!$A$9:$A$13,0)),0.06),0)</x:f>
        <x:v>80</x:v>
      </x:c>
      <x:c r="U95" t="n">
        <x:f>ROUND(O95*IFERROR(INDEX(Assumptions!$E$9:$E$13,MATCH(F95,Assumptions!$A$9:$A$13,0)),0.15),0)</x:f>
        <x:v>176</x:v>
      </x:c>
      <x:c r="V95" t="n">
        <x:f>MAX(0,O95-SUM(R95:U95))</x:f>
        <x:v>95.86999999999989</x:v>
      </x:c>
      <x:c r="W95" t="n">
        <x:f>MIN(100,40+IF(O95&gt;0,20,0)+IF(M95&lt;&gt;"",20,0)+IF(AF95&lt;&gt;"",20,0))</x:f>
        <x:v>100</x:v>
      </x:c>
      <x:c r="X95" t="str">
        <x:v>Placed on exact national road host link</x:v>
      </x:c>
      <x:c r="Y95" t="str">
        <x:v>Unpaved</x:v>
      </x:c>
      <x:c r="Z95" t="str">
        <x:v>C</x:v>
      </x:c>
      <x:c r="AA95" t="str">
        <x:v>Not available in governed source</x:v>
      </x:c>
      <x:c r="AB95" t="str">
        <x:v>Not available in governed source</x:v>
      </x:c>
      <x:c r="AC95" t="str">
        <x:v>FY2025/26</x:v>
      </x:c>
      <x:c r="AD95" t="str">
        <x:v>Modelled</x:v>
      </x:c>
      <x:c r="AE95" t="str">
        <x:v>2026 bridge AADT rebuilt from host-link traffic history, annual collection-link history, same-road corridor history and spatial count-station influence. Vehicle-class values are assigned from functional-class shares.</x:v>
      </x:c>
      <x:c r="AF95" t="str">
        <x:v>Placed on exact national road host link</x:v>
      </x:c>
    </x:row>
    <x:row r="96" ht="15" hidden="0" customHeight="1">
      <x:c r="A96" t="str">
        <x:v>bridge-095</x:v>
      </x:c>
      <x:c r="B96" t="str">
        <x:v>B077</x:v>
      </x:c>
      <x:c r="C96" t="str">
        <x:v>KAMIIRA BRIDGE</x:v>
      </x:c>
      <x:c r="D96" t="str">
        <x:v>C416_Link01</x:v>
      </x:c>
      <x:c r="E96" t="str">
        <x:v>Bihanga - Nsiika</x:v>
      </x:c>
      <x:c r="F96" t="str">
        <x:v>C</x:v>
      </x:c>
      <x:c r="G96" t="str">
        <x:v>Southern</x:v>
      </x:c>
      <x:c r="H96" t="str">
        <x:v>Ibanda</x:v>
      </x:c>
      <x:c r="I96" t="str">
        <x:v>KAMIIRA STREAM</x:v>
      </x:c>
      <x:c r="J96" t="str">
        <x:v>Marginal</x:v>
      </x:c>
      <x:c r="K96" t="n">
        <x:v>30.424589</x:v>
      </x:c>
      <x:c r="L96" t="n">
        <x:v>-0.3745</x:v>
      </x:c>
      <x:c r="M96" t="n">
        <x:v>30.434509</x:v>
      </x:c>
      <x:c r="N96" t="n">
        <x:v>-0.364177</x:v>
      </x:c>
      <x:c r="O96" t="n">
        <x:v>1048.7</x:v>
      </x:c>
      <x:c r="P96" t="n">
        <x:f>IFERROR(INDEX(Assumptions!$B$9:$B$13,MATCH(F96,Assumptions!$A$9:$A$13,0)),0.15)</x:f>
        <x:v>0.28</x:v>
      </x:c>
      <x:c r="Q96" t="n">
        <x:f>ROUND(O96*(1-P96),0)</x:f>
        <x:v>755</x:v>
      </x:c>
      <x:c r="R96" t="n">
        <x:f>ROUND(O96*P96,0)</x:f>
        <x:v>294</x:v>
      </x:c>
      <x:c r="S96" t="n">
        <x:f>ROUND(O96*IFERROR(INDEX(Assumptions!$C$9:$C$13,MATCH(F96,Assumptions!$A$9:$A$13,0)),0.55),0)</x:f>
        <x:v>524</x:v>
      </x:c>
      <x:c r="T96" t="n">
        <x:f>ROUND(O96*IFERROR(INDEX(Assumptions!$D$9:$D$13,MATCH(F96,Assumptions!$A$9:$A$13,0)),0.06),0)</x:f>
        <x:v>52</x:v>
      </x:c>
      <x:c r="U96" t="n">
        <x:f>ROUND(O96*IFERROR(INDEX(Assumptions!$E$9:$E$13,MATCH(F96,Assumptions!$A$9:$A$13,0)),0.15),0)</x:f>
        <x:v>115</x:v>
      </x:c>
      <x:c r="V96" t="n">
        <x:f>MAX(0,O96-SUM(R96:U96))</x:f>
        <x:v>63.700000000000045</x:v>
      </x:c>
      <x:c r="W96" t="n">
        <x:f>MIN(100,40+IF(O96&gt;0,20,0)+IF(M96&lt;&gt;"",20,0)+IF(AF96&lt;&gt;"",20,0))</x:f>
        <x:v>100</x:v>
      </x:c>
      <x:c r="X96" t="str">
        <x:v>Placed on exact national road host link</x:v>
      </x:c>
      <x:c r="Y96" t="str">
        <x:v>Unpaved</x:v>
      </x:c>
      <x:c r="Z96" t="str">
        <x:v>C</x:v>
      </x:c>
      <x:c r="AA96" t="str">
        <x:v>Not available in governed source</x:v>
      </x:c>
      <x:c r="AB96" t="str">
        <x:v>Not available in governed source</x:v>
      </x:c>
      <x:c r="AC96" t="str">
        <x:v>FY2025/26</x:v>
      </x:c>
      <x:c r="AD96" t="str">
        <x:v>Modelled</x:v>
      </x:c>
      <x:c r="AE96" t="str">
        <x:v>2026 bridge AADT rebuilt from host-link traffic history, annual collection-link history, same-road corridor history and spatial count-station influence. Vehicle-class values are assigned from functional-class shares.</x:v>
      </x:c>
      <x:c r="AF96" t="str">
        <x:v>Placed on exact national road host link</x:v>
      </x:c>
    </x:row>
    <x:row r="97" ht="15" hidden="0" customHeight="1">
      <x:c r="A97" t="str">
        <x:v>bridge-096</x:v>
      </x:c>
      <x:c r="B97" t="str">
        <x:v>B078</x:v>
      </x:c>
      <x:c r="C97" t="str">
        <x:v>MIRAMA 01</x:v>
      </x:c>
      <x:c r="D97" t="str">
        <x:v>C417_Link03</x:v>
      </x:c>
      <x:c r="E97" t="str">
        <x:v>Kafunzo-Kakitumba</x:v>
      </x:c>
      <x:c r="F97" t="str">
        <x:v>C</x:v>
      </x:c>
      <x:c r="G97" t="str">
        <x:v>Southern</x:v>
      </x:c>
      <x:c r="H97" t="str">
        <x:v>Kabale</x:v>
      </x:c>
      <x:c r="I97" t="str">
        <x:v>RIVER KAGERA</x:v>
      </x:c>
      <x:c r="J97" t="str">
        <x:v>Good</x:v>
      </x:c>
      <x:c r="K97" t="n">
        <x:v>30.458719</x:v>
      </x:c>
      <x:c r="L97" t="n">
        <x:v>-1.05192</x:v>
      </x:c>
      <x:c r="M97" t="n">
        <x:v>30.427222</x:v>
      </x:c>
      <x:c r="N97" t="n">
        <x:v>-1.015659</x:v>
      </x:c>
      <x:c r="O97" t="n">
        <x:v>2744.3</x:v>
      </x:c>
      <x:c r="P97" t="n">
        <x:f>IFERROR(INDEX(Assumptions!$B$9:$B$13,MATCH(F97,Assumptions!$A$9:$A$13,0)),0.15)</x:f>
        <x:v>0.28</x:v>
      </x:c>
      <x:c r="Q97" t="n">
        <x:f>ROUND(O97*(1-P97),0)</x:f>
        <x:v>1976</x:v>
      </x:c>
      <x:c r="R97" t="n">
        <x:f>ROUND(O97*P97,0)</x:f>
        <x:v>768</x:v>
      </x:c>
      <x:c r="S97" t="n">
        <x:f>ROUND(O97*IFERROR(INDEX(Assumptions!$C$9:$C$13,MATCH(F97,Assumptions!$A$9:$A$13,0)),0.55),0)</x:f>
        <x:v>1372</x:v>
      </x:c>
      <x:c r="T97" t="n">
        <x:f>ROUND(O97*IFERROR(INDEX(Assumptions!$D$9:$D$13,MATCH(F97,Assumptions!$A$9:$A$13,0)),0.06),0)</x:f>
        <x:v>137</x:v>
      </x:c>
      <x:c r="U97" t="n">
        <x:f>ROUND(O97*IFERROR(INDEX(Assumptions!$E$9:$E$13,MATCH(F97,Assumptions!$A$9:$A$13,0)),0.15),0)</x:f>
        <x:v>302</x:v>
      </x:c>
      <x:c r="V97" t="n">
        <x:f>MAX(0,O97-SUM(R97:U97))</x:f>
        <x:v>165.30000000000018</x:v>
      </x:c>
      <x:c r="W97" t="n">
        <x:f>MIN(100,40+IF(O97&gt;0,20,0)+IF(M97&lt;&gt;"",20,0)+IF(AF97&lt;&gt;"",20,0))</x:f>
        <x:v>100</x:v>
      </x:c>
      <x:c r="X97" t="str">
        <x:v>Placed on exact national road host link</x:v>
      </x:c>
      <x:c r="Y97" t="str">
        <x:v>Paved</x:v>
      </x:c>
      <x:c r="Z97" t="str">
        <x:v>C</x:v>
      </x:c>
      <x:c r="AA97" t="str">
        <x:v>Not available in governed source</x:v>
      </x:c>
      <x:c r="AB97" t="str">
        <x:v>Not available in governed source</x:v>
      </x:c>
      <x:c r="AC97" t="str">
        <x:v>FY2025/26</x:v>
      </x:c>
      <x:c r="AD97" t="str">
        <x:v>Modelled</x:v>
      </x:c>
      <x:c r="AE97" t="str">
        <x:v>2026 bridge AADT rebuilt from host-link traffic history, annual collection-link history, same-road corridor history and spatial count-station influence. Vehicle-class values are assigned from functional-class shares.</x:v>
      </x:c>
      <x:c r="AF97" t="str">
        <x:v>Placed on exact national road host link</x:v>
      </x:c>
    </x:row>
    <x:row r="98" ht="15" hidden="0" customHeight="1">
      <x:c r="A98" t="str">
        <x:v>bridge-097</x:v>
      </x:c>
      <x:c r="B98" t="str">
        <x:v>B079</x:v>
      </x:c>
      <x:c r="C98" t="str">
        <x:v>KATENGURE BRIDGE</x:v>
      </x:c>
      <x:c r="D98" t="str">
        <x:v>C418_Link01</x:v>
      </x:c>
      <x:c r="E98" t="str">
        <x:v>Kakukuru - Rubale</x:v>
      </x:c>
      <x:c r="F98" t="str">
        <x:v>C</x:v>
      </x:c>
      <x:c r="G98" t="str">
        <x:v>Southern</x:v>
      </x:c>
      <x:c r="H98" t="str">
        <x:v>Kabale</x:v>
      </x:c>
      <x:c r="I98" t="str">
        <x:v>KATENGURE RIVER</x:v>
      </x:c>
      <x:c r="J98" t="str">
        <x:v>Marginal</x:v>
      </x:c>
      <x:c r="K98" t="n">
        <x:v>30.219315</x:v>
      </x:c>
      <x:c r="L98" t="n">
        <x:v>-0.990536</x:v>
      </x:c>
      <x:c r="M98" t="n">
        <x:v>30.218774</x:v>
      </x:c>
      <x:c r="N98" t="n">
        <x:v>-0.990543</x:v>
      </x:c>
      <x:c r="O98" t="n">
        <x:v>8031.23</x:v>
      </x:c>
      <x:c r="P98" t="n">
        <x:f>IFERROR(INDEX(Assumptions!$B$9:$B$13,MATCH(F98,Assumptions!$A$9:$A$13,0)),0.15)</x:f>
        <x:v>0.28</x:v>
      </x:c>
      <x:c r="Q98" t="n">
        <x:f>ROUND(O98*(1-P98),0)</x:f>
        <x:v>5782</x:v>
      </x:c>
      <x:c r="R98" t="n">
        <x:f>ROUND(O98*P98,0)</x:f>
        <x:v>2249</x:v>
      </x:c>
      <x:c r="S98" t="n">
        <x:f>ROUND(O98*IFERROR(INDEX(Assumptions!$C$9:$C$13,MATCH(F98,Assumptions!$A$9:$A$13,0)),0.55),0)</x:f>
        <x:v>4016</x:v>
      </x:c>
      <x:c r="T98" t="n">
        <x:f>ROUND(O98*IFERROR(INDEX(Assumptions!$D$9:$D$13,MATCH(F98,Assumptions!$A$9:$A$13,0)),0.06),0)</x:f>
        <x:v>402</x:v>
      </x:c>
      <x:c r="U98" t="n">
        <x:f>ROUND(O98*IFERROR(INDEX(Assumptions!$E$9:$E$13,MATCH(F98,Assumptions!$A$9:$A$13,0)),0.15),0)</x:f>
        <x:v>883</x:v>
      </x:c>
      <x:c r="V98" t="n">
        <x:f>MAX(0,O98-SUM(R98:U98))</x:f>
        <x:v>481.22999999999956</x:v>
      </x:c>
      <x:c r="W98" t="n">
        <x:f>MIN(100,40+IF(O98&gt;0,20,0)+IF(M98&lt;&gt;"",20,0)+IF(AF98&lt;&gt;"",20,0))</x:f>
        <x:v>100</x:v>
      </x:c>
      <x:c r="X98" t="str">
        <x:v>Placed on exact national road host link</x:v>
      </x:c>
      <x:c r="Y98" t="str">
        <x:v>Unpaved</x:v>
      </x:c>
      <x:c r="Z98" t="str">
        <x:v>C</x:v>
      </x:c>
      <x:c r="AA98" t="str">
        <x:v>Not available in governed source</x:v>
      </x:c>
      <x:c r="AB98" t="str">
        <x:v>Not available in governed source</x:v>
      </x:c>
      <x:c r="AC98" t="str">
        <x:v>FY2025/26</x:v>
      </x:c>
      <x:c r="AD98" t="str">
        <x:v>Modelled</x:v>
      </x:c>
      <x:c r="AE98" t="str">
        <x:v>2026 bridge AADT rebuilt from host-link traffic history, annual collection-link history, same-road corridor history and spatial count-station influence. Vehicle-class values are assigned from functional-class shares.</x:v>
      </x:c>
      <x:c r="AF98" t="str">
        <x:v>Placed on exact national road host link</x:v>
      </x:c>
    </x:row>
    <x:row r="99" ht="15" hidden="0" customHeight="1">
      <x:c r="A99" t="str">
        <x:v>bridge-098</x:v>
      </x:c>
      <x:c r="B99" t="str">
        <x:v>B080</x:v>
      </x:c>
      <x:c r="C99" t="str">
        <x:v>MUBUKU BRIDGE</x:v>
      </x:c>
      <x:c r="D99" t="str">
        <x:v>C510_Link01</x:v>
      </x:c>
      <x:c r="E99" t="str">
        <x:v>Mubuku-Maliba-Nyakalingijo</x:v>
      </x:c>
      <x:c r="F99" t="str">
        <x:v>C</x:v>
      </x:c>
      <x:c r="G99" t="str">
        <x:v>Southern</x:v>
      </x:c>
      <x:c r="H99" t="str">
        <x:v>Kasese</x:v>
      </x:c>
      <x:c r="I99" t="str">
        <x:v>MUBUKU RIVER</x:v>
      </x:c>
      <x:c r="J99" t="str">
        <x:v>Marginal</x:v>
      </x:c>
      <x:c r="K99" t="n">
        <x:v>30.07723</x:v>
      </x:c>
      <x:c r="L99" t="n">
        <x:v>0.33364</x:v>
      </x:c>
      <x:c r="M99" t="n">
        <x:v>30.097971</x:v>
      </x:c>
      <x:c r="N99" t="n">
        <x:v>0.322111</x:v>
      </x:c>
      <x:c r="O99" t="n">
        <x:v>1287.6</x:v>
      </x:c>
      <x:c r="P99" t="n">
        <x:f>IFERROR(INDEX(Assumptions!$B$9:$B$13,MATCH(F99,Assumptions!$A$9:$A$13,0)),0.15)</x:f>
        <x:v>0.28</x:v>
      </x:c>
      <x:c r="Q99" t="n">
        <x:f>ROUND(O99*(1-P99),0)</x:f>
        <x:v>927</x:v>
      </x:c>
      <x:c r="R99" t="n">
        <x:f>ROUND(O99*P99,0)</x:f>
        <x:v>361</x:v>
      </x:c>
      <x:c r="S99" t="n">
        <x:f>ROUND(O99*IFERROR(INDEX(Assumptions!$C$9:$C$13,MATCH(F99,Assumptions!$A$9:$A$13,0)),0.55),0)</x:f>
        <x:v>644</x:v>
      </x:c>
      <x:c r="T99" t="n">
        <x:f>ROUND(O99*IFERROR(INDEX(Assumptions!$D$9:$D$13,MATCH(F99,Assumptions!$A$9:$A$13,0)),0.06),0)</x:f>
        <x:v>64</x:v>
      </x:c>
      <x:c r="U99" t="n">
        <x:f>ROUND(O99*IFERROR(INDEX(Assumptions!$E$9:$E$13,MATCH(F99,Assumptions!$A$9:$A$13,0)),0.15),0)</x:f>
        <x:v>142</x:v>
      </x:c>
      <x:c r="V99" t="n">
        <x:f>MAX(0,O99-SUM(R99:U99))</x:f>
        <x:v>76.59999999999991</x:v>
      </x:c>
      <x:c r="W99" t="n">
        <x:f>MIN(100,40+IF(O99&gt;0,20,0)+IF(M99&lt;&gt;"",20,0)+IF(AF99&lt;&gt;"",20,0))</x:f>
        <x:v>100</x:v>
      </x:c>
      <x:c r="X99" t="str">
        <x:v>Placed on exact national road host link</x:v>
      </x:c>
      <x:c r="Y99" t="str">
        <x:v>Unpaved</x:v>
      </x:c>
      <x:c r="Z99" t="str">
        <x:v>C</x:v>
      </x:c>
      <x:c r="AA99" t="str">
        <x:v>Not available in governed source</x:v>
      </x:c>
      <x:c r="AB99" t="str">
        <x:v>Not available in governed source</x:v>
      </x:c>
      <x:c r="AC99" t="str">
        <x:v>FY2025/26</x:v>
      </x:c>
      <x:c r="AD99" t="str">
        <x:v>Modelled</x:v>
      </x:c>
      <x:c r="AE99" t="str">
        <x:v>2026 bridge AADT rebuilt from host-link traffic history, annual collection-link history, same-road corridor history and spatial count-station influence. Vehicle-class values are assigned from functional-class shares.</x:v>
      </x:c>
      <x:c r="AF99" t="str">
        <x:v>Placed on exact national road host link</x:v>
      </x:c>
    </x:row>
    <x:row r="100" ht="15" hidden="0" customHeight="1">
      <x:c r="A100" t="str">
        <x:v>bridge-099</x:v>
      </x:c>
      <x:c r="B100" t="str">
        <x:v>B081</x:v>
      </x:c>
      <x:c r="C100" t="str">
        <x:v>KILEMBE  BRIDGE</x:v>
      </x:c>
      <x:c r="D100" t="str">
        <x:v>C511_Link01</x:v>
      </x:c>
      <x:c r="E100" t="str">
        <x:v>Kasese - Kilembe mines</x:v>
      </x:c>
      <x:c r="F100" t="str">
        <x:v>C</x:v>
      </x:c>
      <x:c r="G100" t="str">
        <x:v>Southern</x:v>
      </x:c>
      <x:c r="H100" t="str">
        <x:v>Kasese</x:v>
      </x:c>
      <x:c r="I100" t="str">
        <x:v>RIVER NYAMWAMBA</x:v>
      </x:c>
      <x:c r="J100" t="str">
        <x:v>Good</x:v>
      </x:c>
      <x:c r="K100" t="n">
        <x:v>30.012709</x:v>
      </x:c>
      <x:c r="L100" t="n">
        <x:v>0.197898</x:v>
      </x:c>
      <x:c r="M100" t="n">
        <x:v>30.012483</x:v>
      </x:c>
      <x:c r="N100" t="n">
        <x:v>0.197222</x:v>
      </x:c>
      <x:c r="O100" t="n">
        <x:v>1287.6</x:v>
      </x:c>
      <x:c r="P100" t="n">
        <x:f>IFERROR(INDEX(Assumptions!$B$9:$B$13,MATCH(F100,Assumptions!$A$9:$A$13,0)),0.15)</x:f>
        <x:v>0.28</x:v>
      </x:c>
      <x:c r="Q100" t="n">
        <x:f>ROUND(O100*(1-P100),0)</x:f>
        <x:v>927</x:v>
      </x:c>
      <x:c r="R100" t="n">
        <x:f>ROUND(O100*P100,0)</x:f>
        <x:v>361</x:v>
      </x:c>
      <x:c r="S100" t="n">
        <x:f>ROUND(O100*IFERROR(INDEX(Assumptions!$C$9:$C$13,MATCH(F100,Assumptions!$A$9:$A$13,0)),0.55),0)</x:f>
        <x:v>644</x:v>
      </x:c>
      <x:c r="T100" t="n">
        <x:f>ROUND(O100*IFERROR(INDEX(Assumptions!$D$9:$D$13,MATCH(F100,Assumptions!$A$9:$A$13,0)),0.06),0)</x:f>
        <x:v>64</x:v>
      </x:c>
      <x:c r="U100" t="n">
        <x:f>ROUND(O100*IFERROR(INDEX(Assumptions!$E$9:$E$13,MATCH(F100,Assumptions!$A$9:$A$13,0)),0.15),0)</x:f>
        <x:v>142</x:v>
      </x:c>
      <x:c r="V100" t="n">
        <x:f>MAX(0,O100-SUM(R100:U100))</x:f>
        <x:v>76.59999999999991</x:v>
      </x:c>
      <x:c r="W100" t="n">
        <x:f>MIN(100,40+IF(O100&gt;0,20,0)+IF(M100&lt;&gt;"",20,0)+IF(AF100&lt;&gt;"",20,0))</x:f>
        <x:v>100</x:v>
      </x:c>
      <x:c r="X100" t="str">
        <x:v>Placed on exact national road host link</x:v>
      </x:c>
      <x:c r="Y100" t="str">
        <x:v>Paved</x:v>
      </x:c>
      <x:c r="Z100" t="str">
        <x:v>C</x:v>
      </x:c>
      <x:c r="AA100" t="str">
        <x:v>Not available in governed source</x:v>
      </x:c>
      <x:c r="AB100" t="str">
        <x:v>Not available in governed source</x:v>
      </x:c>
      <x:c r="AC100" t="str">
        <x:v>FY2025/26</x:v>
      </x:c>
      <x:c r="AD100" t="str">
        <x:v>Modelled</x:v>
      </x:c>
      <x:c r="AE100" t="str">
        <x:v>2026 bridge AADT rebuilt from host-link traffic history, annual collection-link history, same-road corridor history and spatial count-station influence. Vehicle-class values are assigned from functional-class shares.</x:v>
      </x:c>
      <x:c r="AF100" t="str">
        <x:v>Placed on exact national road host link</x:v>
      </x:c>
    </x:row>
    <x:row r="101" ht="15" hidden="0" customHeight="1">
      <x:c r="A101" t="str">
        <x:v>bridge-100</x:v>
      </x:c>
      <x:c r="B101" t="str">
        <x:v>B082</x:v>
      </x:c>
      <x:c r="C101" t="str">
        <x:v>KANYAMPALA BRIDGE</x:v>
      </x:c>
      <x:c r="D101" t="str">
        <x:v>C513_Link01</x:v>
      </x:c>
      <x:c r="E101" t="str">
        <x:v>Kinyamaseke-Kisinga</x:v>
      </x:c>
      <x:c r="F101" t="str">
        <x:v>C</x:v>
      </x:c>
      <x:c r="G101" t="str">
        <x:v>Southern</x:v>
      </x:c>
      <x:c r="H101" t="str">
        <x:v>Kasese</x:v>
      </x:c>
      <x:c r="I101" t="str">
        <x:v>KANYAMPALA</x:v>
      </x:c>
      <x:c r="J101" t="str">
        <x:v>Marginal</x:v>
      </x:c>
      <x:c r="K101" t="n">
        <x:v>29.857031</x:v>
      </x:c>
      <x:c r="L101" t="n">
        <x:v>0.04609</x:v>
      </x:c>
      <x:c r="M101" t="n">
        <x:v>29.856377</x:v>
      </x:c>
      <x:c r="N101" t="n">
        <x:v>0.044865</x:v>
      </x:c>
      <x:c r="O101" t="n">
        <x:v>1287.6</x:v>
      </x:c>
      <x:c r="P101" t="n">
        <x:f>IFERROR(INDEX(Assumptions!$B$9:$B$13,MATCH(F101,Assumptions!$A$9:$A$13,0)),0.15)</x:f>
        <x:v>0.28</x:v>
      </x:c>
      <x:c r="Q101" t="n">
        <x:f>ROUND(O101*(1-P101),0)</x:f>
        <x:v>927</x:v>
      </x:c>
      <x:c r="R101" t="n">
        <x:f>ROUND(O101*P101,0)</x:f>
        <x:v>361</x:v>
      </x:c>
      <x:c r="S101" t="n">
        <x:f>ROUND(O101*IFERROR(INDEX(Assumptions!$C$9:$C$13,MATCH(F101,Assumptions!$A$9:$A$13,0)),0.55),0)</x:f>
        <x:v>644</x:v>
      </x:c>
      <x:c r="T101" t="n">
        <x:f>ROUND(O101*IFERROR(INDEX(Assumptions!$D$9:$D$13,MATCH(F101,Assumptions!$A$9:$A$13,0)),0.06),0)</x:f>
        <x:v>64</x:v>
      </x:c>
      <x:c r="U101" t="n">
        <x:f>ROUND(O101*IFERROR(INDEX(Assumptions!$E$9:$E$13,MATCH(F101,Assumptions!$A$9:$A$13,0)),0.15),0)</x:f>
        <x:v>142</x:v>
      </x:c>
      <x:c r="V101" t="n">
        <x:f>MAX(0,O101-SUM(R101:U101))</x:f>
        <x:v>76.59999999999991</x:v>
      </x:c>
      <x:c r="W101" t="n">
        <x:f>MIN(100,40+IF(O101&gt;0,20,0)+IF(M101&lt;&gt;"",20,0)+IF(AF101&lt;&gt;"",20,0))</x:f>
        <x:v>100</x:v>
      </x:c>
      <x:c r="X101" t="str">
        <x:v>Placed on exact national road host link</x:v>
      </x:c>
      <x:c r="Y101" t="str">
        <x:v>Unpaved</x:v>
      </x:c>
      <x:c r="Z101" t="str">
        <x:v>C</x:v>
      </x:c>
      <x:c r="AA101" t="str">
        <x:v>Not available in governed source</x:v>
      </x:c>
      <x:c r="AB101" t="str">
        <x:v>Not available in governed source</x:v>
      </x:c>
      <x:c r="AC101" t="str">
        <x:v>FY2025/26</x:v>
      </x:c>
      <x:c r="AD101" t="str">
        <x:v>Modelled</x:v>
      </x:c>
      <x:c r="AE101" t="str">
        <x:v>2026 bridge AADT rebuilt from host-link traffic history, annual collection-link history, same-road corridor history and spatial count-station influence. Vehicle-class values are assigned from functional-class shares.</x:v>
      </x:c>
      <x:c r="AF101" t="str">
        <x:v>Placed on exact national road host link</x:v>
      </x:c>
    </x:row>
    <x:row r="102" ht="15" hidden="0" customHeight="1">
      <x:c r="A102" t="str">
        <x:v>bridge-101</x:v>
      </x:c>
      <x:c r="B102" t="str">
        <x:v>B085</x:v>
      </x:c>
      <x:c r="C102" t="str">
        <x:v>NYAMUGASANI BRIDGE</x:v>
      </x:c>
      <x:c r="D102" t="str">
        <x:v>C516_Link01</x:v>
      </x:c>
      <x:c r="E102" t="str">
        <x:v>Katojo-Katwe-Rwentale</x:v>
      </x:c>
      <x:c r="F102" t="str">
        <x:v>C</x:v>
      </x:c>
      <x:c r="G102" t="str">
        <x:v>Southern</x:v>
      </x:c>
      <x:c r="H102" t="str">
        <x:v>Kasese</x:v>
      </x:c>
      <x:c r="I102" t="str">
        <x:v>NAMUSAGANI</x:v>
      </x:c>
      <x:c r="J102" t="str">
        <x:v>Marginal</x:v>
      </x:c>
      <x:c r="K102" t="n">
        <x:v>29.84318</x:v>
      </x:c>
      <x:c r="L102" t="n">
        <x:v>-0.12346</x:v>
      </x:c>
      <x:c r="M102" t="n">
        <x:v>29.841637</x:v>
      </x:c>
      <x:c r="N102" t="n">
        <x:v>-0.12191</x:v>
      </x:c>
      <x:c r="O102" t="n">
        <x:v>1287.6</x:v>
      </x:c>
      <x:c r="P102" t="n">
        <x:f>IFERROR(INDEX(Assumptions!$B$9:$B$13,MATCH(F102,Assumptions!$A$9:$A$13,0)),0.15)</x:f>
        <x:v>0.28</x:v>
      </x:c>
      <x:c r="Q102" t="n">
        <x:f>ROUND(O102*(1-P102),0)</x:f>
        <x:v>927</x:v>
      </x:c>
      <x:c r="R102" t="n">
        <x:f>ROUND(O102*P102,0)</x:f>
        <x:v>361</x:v>
      </x:c>
      <x:c r="S102" t="n">
        <x:f>ROUND(O102*IFERROR(INDEX(Assumptions!$C$9:$C$13,MATCH(F102,Assumptions!$A$9:$A$13,0)),0.55),0)</x:f>
        <x:v>644</x:v>
      </x:c>
      <x:c r="T102" t="n">
        <x:f>ROUND(O102*IFERROR(INDEX(Assumptions!$D$9:$D$13,MATCH(F102,Assumptions!$A$9:$A$13,0)),0.06),0)</x:f>
        <x:v>64</x:v>
      </x:c>
      <x:c r="U102" t="n">
        <x:f>ROUND(O102*IFERROR(INDEX(Assumptions!$E$9:$E$13,MATCH(F102,Assumptions!$A$9:$A$13,0)),0.15),0)</x:f>
        <x:v>142</x:v>
      </x:c>
      <x:c r="V102" t="n">
        <x:f>MAX(0,O102-SUM(R102:U102))</x:f>
        <x:v>76.59999999999991</x:v>
      </x:c>
      <x:c r="W102" t="n">
        <x:f>MIN(100,40+IF(O102&gt;0,20,0)+IF(M102&lt;&gt;"",20,0)+IF(AF102&lt;&gt;"",20,0))</x:f>
        <x:v>100</x:v>
      </x:c>
      <x:c r="X102" t="str">
        <x:v>Placed on exact national road host link</x:v>
      </x:c>
      <x:c r="Y102" t="str">
        <x:v>Unpaved</x:v>
      </x:c>
      <x:c r="Z102" t="str">
        <x:v>C</x:v>
      </x:c>
      <x:c r="AA102" t="str">
        <x:v>Not available in governed source</x:v>
      </x:c>
      <x:c r="AB102" t="str">
        <x:v>Not available in governed source</x:v>
      </x:c>
      <x:c r="AC102" t="str">
        <x:v>FY2025/26</x:v>
      </x:c>
      <x:c r="AD102" t="str">
        <x:v>Modelled</x:v>
      </x:c>
      <x:c r="AE102" t="str">
        <x:v>2026 bridge AADT rebuilt from host-link traffic history, annual collection-link history, same-road corridor history and spatial count-station influence. Vehicle-class values are assigned from functional-class shares.</x:v>
      </x:c>
      <x:c r="AF102" t="str">
        <x:v>Placed on exact national road host link</x:v>
      </x:c>
    </x:row>
    <x:row r="103" ht="15" hidden="0" customHeight="1">
      <x:c r="A103" t="str">
        <x:v>bridge-102</x:v>
      </x:c>
      <x:c r="B103" t="str">
        <x:v>B087</x:v>
      </x:c>
      <x:c r="C103" t="str">
        <x:v>WASSA</x:v>
      </x:c>
      <x:c r="D103" t="str">
        <x:v>C541_Link01</x:v>
      </x:c>
      <x:c r="E103" t="str">
        <x:v>Karugutu - Ntoroko</x:v>
      </x:c>
      <x:c r="F103" t="str">
        <x:v>C</x:v>
      </x:c>
      <x:c r="G103" t="str">
        <x:v>Western</x:v>
      </x:c>
      <x:c r="H103" t="str">
        <x:v>Fort Portal</x:v>
      </x:c>
      <x:c r="I103" t="str">
        <x:v>WASSA</x:v>
      </x:c>
      <x:c r="J103" t="str">
        <x:v>Good</x:v>
      </x:c>
      <x:c r="K103" t="n">
        <x:v>30.363371</x:v>
      </x:c>
      <x:c r="L103" t="n">
        <x:v>0.93501</x:v>
      </x:c>
      <x:c r="M103" t="n">
        <x:v>30.363654</x:v>
      </x:c>
      <x:c r="N103" t="n">
        <x:v>0.934512</x:v>
      </x:c>
      <x:c r="O103" t="n">
        <x:v>383.18</x:v>
      </x:c>
      <x:c r="P103" t="n">
        <x:f>IFERROR(INDEX(Assumptions!$B$9:$B$13,MATCH(F103,Assumptions!$A$9:$A$13,0)),0.15)</x:f>
        <x:v>0.28</x:v>
      </x:c>
      <x:c r="Q103" t="n">
        <x:f>ROUND(O103*(1-P103),0)</x:f>
        <x:v>276</x:v>
      </x:c>
      <x:c r="R103" t="n">
        <x:f>ROUND(O103*P103,0)</x:f>
        <x:v>107</x:v>
      </x:c>
      <x:c r="S103" t="n">
        <x:f>ROUND(O103*IFERROR(INDEX(Assumptions!$C$9:$C$13,MATCH(F103,Assumptions!$A$9:$A$13,0)),0.55),0)</x:f>
        <x:v>192</x:v>
      </x:c>
      <x:c r="T103" t="n">
        <x:f>ROUND(O103*IFERROR(INDEX(Assumptions!$D$9:$D$13,MATCH(F103,Assumptions!$A$9:$A$13,0)),0.06),0)</x:f>
        <x:v>19</x:v>
      </x:c>
      <x:c r="U103" t="n">
        <x:f>ROUND(O103*IFERROR(INDEX(Assumptions!$E$9:$E$13,MATCH(F103,Assumptions!$A$9:$A$13,0)),0.15),0)</x:f>
        <x:v>42</x:v>
      </x:c>
      <x:c r="V103" t="n">
        <x:f>MAX(0,O103-SUM(R103:U103))</x:f>
        <x:v>23.180000000000007</x:v>
      </x:c>
      <x:c r="W103" t="n">
        <x:f>MIN(100,40+IF(O103&gt;0,20,0)+IF(M103&lt;&gt;"",20,0)+IF(AF103&lt;&gt;"",20,0))</x:f>
        <x:v>100</x:v>
      </x:c>
      <x:c r="X103" t="str">
        <x:v>Placed on exact national road host link</x:v>
      </x:c>
      <x:c r="Y103" t="str">
        <x:v>Unpaved</x:v>
      </x:c>
      <x:c r="Z103" t="str">
        <x:v>C</x:v>
      </x:c>
      <x:c r="AA103" t="str">
        <x:v>Not available in governed source</x:v>
      </x:c>
      <x:c r="AB103" t="str">
        <x:v>Not available in governed source</x:v>
      </x:c>
      <x:c r="AC103" t="str">
        <x:v>FY2025/26</x:v>
      </x:c>
      <x:c r="AD103" t="str">
        <x:v>Modelled</x:v>
      </x:c>
      <x:c r="AE103" t="str">
        <x:v>2026 bridge AADT rebuilt from host-link traffic history, annual collection-link history, same-road corridor history and spatial count-station influence. Vehicle-class values are assigned from functional-class shares.</x:v>
      </x:c>
      <x:c r="AF103" t="str">
        <x:v>Placed on exact national road host link</x:v>
      </x:c>
    </x:row>
    <x:row r="104" ht="15" hidden="0" customHeight="1">
      <x:c r="A104" t="str">
        <x:v>bridge-103</x:v>
      </x:c>
      <x:c r="B104" t="str">
        <x:v>B088</x:v>
      </x:c>
      <x:c r="C104" t="str">
        <x:v>SOGOHA</x:v>
      </x:c>
      <x:c r="D104" t="str">
        <x:v>C542_Link01</x:v>
      </x:c>
      <x:c r="E104" t="str">
        <x:v>Fortportal - Kijura - Kabende Bridge-Sogahe-Kyarusozi</x:v>
      </x:c>
      <x:c r="F104" t="str">
        <x:v>C</x:v>
      </x:c>
      <x:c r="G104" t="str">
        <x:v>Western</x:v>
      </x:c>
      <x:c r="H104" t="str">
        <x:v>Fort Portal</x:v>
      </x:c>
      <x:c r="I104" t="str">
        <x:v>SOGOHA</x:v>
      </x:c>
      <x:c r="J104" t="str">
        <x:v>Good</x:v>
      </x:c>
      <x:c r="K104" t="n">
        <x:v>30.49469</x:v>
      </x:c>
      <x:c r="L104" t="n">
        <x:v>0.88128</x:v>
      </x:c>
      <x:c r="M104" t="n">
        <x:v>30.494034</x:v>
      </x:c>
      <x:c r="N104" t="n">
        <x:v>0.881631</x:v>
      </x:c>
      <x:c r="O104" t="n">
        <x:v>1151.09</x:v>
      </x:c>
      <x:c r="P104" t="n">
        <x:f>IFERROR(INDEX(Assumptions!$B$9:$B$13,MATCH(F104,Assumptions!$A$9:$A$13,0)),0.15)</x:f>
        <x:v>0.28</x:v>
      </x:c>
      <x:c r="Q104" t="n">
        <x:f>ROUND(O104*(1-P104),0)</x:f>
        <x:v>829</x:v>
      </x:c>
      <x:c r="R104" t="n">
        <x:f>ROUND(O104*P104,0)</x:f>
        <x:v>322</x:v>
      </x:c>
      <x:c r="S104" t="n">
        <x:f>ROUND(O104*IFERROR(INDEX(Assumptions!$C$9:$C$13,MATCH(F104,Assumptions!$A$9:$A$13,0)),0.55),0)</x:f>
        <x:v>576</x:v>
      </x:c>
      <x:c r="T104" t="n">
        <x:f>ROUND(O104*IFERROR(INDEX(Assumptions!$D$9:$D$13,MATCH(F104,Assumptions!$A$9:$A$13,0)),0.06),0)</x:f>
        <x:v>58</x:v>
      </x:c>
      <x:c r="U104" t="n">
        <x:f>ROUND(O104*IFERROR(INDEX(Assumptions!$E$9:$E$13,MATCH(F104,Assumptions!$A$9:$A$13,0)),0.15),0)</x:f>
        <x:v>127</x:v>
      </x:c>
      <x:c r="V104" t="n">
        <x:f>MAX(0,O104-SUM(R104:U104))</x:f>
        <x:v>68.08999999999992</x:v>
      </x:c>
      <x:c r="W104" t="n">
        <x:f>MIN(100,40+IF(O104&gt;0,20,0)+IF(M104&lt;&gt;"",20,0)+IF(AF104&lt;&gt;"",20,0))</x:f>
        <x:v>100</x:v>
      </x:c>
      <x:c r="X104" t="str">
        <x:v>Placed on exact national road host link</x:v>
      </x:c>
      <x:c r="Y104" t="str">
        <x:v>Unpaved</x:v>
      </x:c>
      <x:c r="Z104" t="str">
        <x:v>C</x:v>
      </x:c>
      <x:c r="AA104" t="str">
        <x:v>Not available in governed source</x:v>
      </x:c>
      <x:c r="AB104" t="str">
        <x:v>Not available in governed source</x:v>
      </x:c>
      <x:c r="AC104" t="str">
        <x:v>FY2025/26</x:v>
      </x:c>
      <x:c r="AD104" t="str">
        <x:v>Modelled</x:v>
      </x:c>
      <x:c r="AE104" t="str">
        <x:v>2026 bridge AADT rebuilt from host-link traffic history, annual collection-link history, same-road corridor history and spatial count-station influence. Vehicle-class values are assigned from functional-class shares.</x:v>
      </x:c>
      <x:c r="AF104" t="str">
        <x:v>Placed on exact national road host link</x:v>
      </x:c>
    </x:row>
    <x:row r="105" ht="15" hidden="0" customHeight="1">
      <x:c r="A105" t="str">
        <x:v>bridge-104</x:v>
      </x:c>
      <x:c r="B105" t="str">
        <x:v>B089</x:v>
      </x:c>
      <x:c r="C105" t="str">
        <x:v>WAIGA</x:v>
      </x:c>
      <x:c r="D105" t="str">
        <x:v>C623_Link01</x:v>
      </x:c>
      <x:c r="E105" t="str">
        <x:v>Bukumi-Bulisa</x:v>
      </x:c>
      <x:c r="F105" t="str">
        <x:v>C</x:v>
      </x:c>
      <x:c r="G105" t="str">
        <x:v>Western</x:v>
      </x:c>
      <x:c r="H105" t="str">
        <x:v>Masindi</x:v>
      </x:c>
      <x:c r="I105" t="str">
        <x:v>WAIGA</x:v>
      </x:c>
      <x:c r="J105" t="str">
        <x:v>Good</x:v>
      </x:c>
      <x:c r="K105" t="n">
        <x:v>31.475267</x:v>
      </x:c>
      <x:c r="L105" t="n">
        <x:v>1.99229</x:v>
      </x:c>
      <x:c r="M105" t="n">
        <x:v>31.476058</x:v>
      </x:c>
      <x:c r="N105" t="n">
        <x:v>1.990847</x:v>
      </x:c>
      <x:c r="O105" t="n">
        <x:v>650.01</x:v>
      </x:c>
      <x:c r="P105" t="n">
        <x:f>IFERROR(INDEX(Assumptions!$B$9:$B$13,MATCH(F105,Assumptions!$A$9:$A$13,0)),0.15)</x:f>
        <x:v>0.28</x:v>
      </x:c>
      <x:c r="Q105" t="n">
        <x:f>ROUND(O105*(1-P105),0)</x:f>
        <x:v>468</x:v>
      </x:c>
      <x:c r="R105" t="n">
        <x:f>ROUND(O105*P105,0)</x:f>
        <x:v>182</x:v>
      </x:c>
      <x:c r="S105" t="n">
        <x:f>ROUND(O105*IFERROR(INDEX(Assumptions!$C$9:$C$13,MATCH(F105,Assumptions!$A$9:$A$13,0)),0.55),0)</x:f>
        <x:v>325</x:v>
      </x:c>
      <x:c r="T105" t="n">
        <x:f>ROUND(O105*IFERROR(INDEX(Assumptions!$D$9:$D$13,MATCH(F105,Assumptions!$A$9:$A$13,0)),0.06),0)</x:f>
        <x:v>33</x:v>
      </x:c>
      <x:c r="U105" t="n">
        <x:f>ROUND(O105*IFERROR(INDEX(Assumptions!$E$9:$E$13,MATCH(F105,Assumptions!$A$9:$A$13,0)),0.15),0)</x:f>
        <x:v>72</x:v>
      </x:c>
      <x:c r="V105" t="n">
        <x:f>MAX(0,O105-SUM(R105:U105))</x:f>
        <x:v>38.00999999999999</x:v>
      </x:c>
      <x:c r="W105" t="n">
        <x:f>MIN(100,40+IF(O105&gt;0,20,0)+IF(M105&lt;&gt;"",20,0)+IF(AF105&lt;&gt;"",20,0))</x:f>
        <x:v>100</x:v>
      </x:c>
      <x:c r="X105" t="str">
        <x:v>Placed on exact national road host link</x:v>
      </x:c>
      <x:c r="Y105" t="str">
        <x:v>Paved</x:v>
      </x:c>
      <x:c r="Z105" t="str">
        <x:v>C</x:v>
      </x:c>
      <x:c r="AA105" t="str">
        <x:v>Not available in governed source</x:v>
      </x:c>
      <x:c r="AB105" t="str">
        <x:v>Not available in governed source</x:v>
      </x:c>
      <x:c r="AC105" t="str">
        <x:v>FY2025/26</x:v>
      </x:c>
      <x:c r="AD105" t="str">
        <x:v>Modelled</x:v>
      </x:c>
      <x:c r="AE105" t="str">
        <x:v>2026 bridge AADT rebuilt from host-link traffic history, annual collection-link history, same-road corridor history and spatial count-station influence. Vehicle-class values are assigned from functional-class shares.</x:v>
      </x:c>
      <x:c r="AF105" t="str">
        <x:v>Placed on exact national road host link</x:v>
      </x:c>
    </x:row>
    <x:row r="106" ht="15" hidden="0" customHeight="1">
      <x:c r="A106" t="str">
        <x:v>bridge-105</x:v>
      </x:c>
      <x:c r="B106" t="str">
        <x:v>B090</x:v>
      </x:c>
      <x:c r="C106" t="str">
        <x:v>WAIGA</x:v>
      </x:c>
      <x:c r="D106" t="str">
        <x:v>C625_Link01</x:v>
      </x:c>
      <x:c r="E106" t="str">
        <x:v>Kisanja-Park junction</x:v>
      </x:c>
      <x:c r="F106" t="str">
        <x:v>C</x:v>
      </x:c>
      <x:c r="G106" t="str">
        <x:v>Western</x:v>
      </x:c>
      <x:c r="H106" t="str">
        <x:v>Masindi</x:v>
      </x:c>
      <x:c r="I106" t="str">
        <x:v>WAIGA</x:v>
      </x:c>
      <x:c r="J106" t="str">
        <x:v>Good</x:v>
      </x:c>
      <x:c r="K106" t="n">
        <x:v>31.71674</x:v>
      </x:c>
      <x:c r="L106" t="n">
        <x:v>2.05924</x:v>
      </x:c>
      <x:c r="M106" t="n">
        <x:v>31.703584</x:v>
      </x:c>
      <x:c r="N106" t="n">
        <x:v>1.978491</x:v>
      </x:c>
      <x:c r="O106" t="n">
        <x:v>578.65</x:v>
      </x:c>
      <x:c r="P106" t="n">
        <x:f>IFERROR(INDEX(Assumptions!$B$9:$B$13,MATCH(F106,Assumptions!$A$9:$A$13,0)),0.15)</x:f>
        <x:v>0.28</x:v>
      </x:c>
      <x:c r="Q106" t="n">
        <x:f>ROUND(O106*(1-P106),0)</x:f>
        <x:v>417</x:v>
      </x:c>
      <x:c r="R106" t="n">
        <x:f>ROUND(O106*P106,0)</x:f>
        <x:v>162</x:v>
      </x:c>
      <x:c r="S106" t="n">
        <x:f>ROUND(O106*IFERROR(INDEX(Assumptions!$C$9:$C$13,MATCH(F106,Assumptions!$A$9:$A$13,0)),0.55),0)</x:f>
        <x:v>289</x:v>
      </x:c>
      <x:c r="T106" t="n">
        <x:f>ROUND(O106*IFERROR(INDEX(Assumptions!$D$9:$D$13,MATCH(F106,Assumptions!$A$9:$A$13,0)),0.06),0)</x:f>
        <x:v>29</x:v>
      </x:c>
      <x:c r="U106" t="n">
        <x:f>ROUND(O106*IFERROR(INDEX(Assumptions!$E$9:$E$13,MATCH(F106,Assumptions!$A$9:$A$13,0)),0.15),0)</x:f>
        <x:v>64</x:v>
      </x:c>
      <x:c r="V106" t="n">
        <x:f>MAX(0,O106-SUM(R106:U106))</x:f>
        <x:v>34.64999999999998</x:v>
      </x:c>
      <x:c r="W106" t="n">
        <x:f>MIN(100,40+IF(O106&gt;0,20,0)+IF(M106&lt;&gt;"",20,0)+IF(AF106&lt;&gt;"",20,0))</x:f>
        <x:v>100</x:v>
      </x:c>
      <x:c r="X106" t="str">
        <x:v>Placed on exact national road host link</x:v>
      </x:c>
      <x:c r="Y106" t="str">
        <x:v>Paved</x:v>
      </x:c>
      <x:c r="Z106" t="str">
        <x:v>C</x:v>
      </x:c>
      <x:c r="AA106" t="str">
        <x:v>Not available in governed source</x:v>
      </x:c>
      <x:c r="AB106" t="str">
        <x:v>Not available in governed source</x:v>
      </x:c>
      <x:c r="AC106" t="str">
        <x:v>FY2025/26</x:v>
      </x:c>
      <x:c r="AD106" t="str">
        <x:v>Modelled</x:v>
      </x:c>
      <x:c r="AE106" t="str">
        <x:v>2026 bridge AADT rebuilt from host-link traffic history, annual collection-link history, same-road corridor history and spatial count-station influence. Vehicle-class values are assigned from functional-class shares.</x:v>
      </x:c>
      <x:c r="AF106" t="str">
        <x:v>Placed on exact national road host link</x:v>
      </x:c>
    </x:row>
    <x:row r="107" ht="15" hidden="0" customHeight="1">
      <x:c r="A107" t="str">
        <x:v>bridge-106</x:v>
      </x:c>
      <x:c r="B107" t="str">
        <x:v>B091</x:v>
      </x:c>
      <x:c r="C107" t="str">
        <x:v>WARINGO</x:v>
      </x:c>
      <x:c r="D107" t="str">
        <x:v>C625_Link01</x:v>
      </x:c>
      <x:c r="E107" t="str">
        <x:v>Kisanja-Park junction</x:v>
      </x:c>
      <x:c r="F107" t="str">
        <x:v>C</x:v>
      </x:c>
      <x:c r="G107" t="str">
        <x:v>Western</x:v>
      </x:c>
      <x:c r="H107" t="str">
        <x:v>Masindi</x:v>
      </x:c>
      <x:c r="I107" t="str">
        <x:v>WARINGO</x:v>
      </x:c>
      <x:c r="J107" t="str">
        <x:v>Good</x:v>
      </x:c>
      <x:c r="K107" t="n">
        <x:v>31.7160396575928</x:v>
      </x:c>
      <x:c r="L107" t="n">
        <x:v>2.09725999832153</x:v>
      </x:c>
      <x:c r="M107" t="n">
        <x:v>31.7160396575928</x:v>
      </x:c>
      <x:c r="N107" t="n">
        <x:v>2.09725999832153</x:v>
      </x:c>
      <x:c r="O107" t="n">
        <x:v>0</x:v>
      </x:c>
      <x:c r="P107" t="n">
        <x:f>IFERROR(INDEX(Assumptions!$B$9:$B$13,MATCH(F107,Assumptions!$A$9:$A$13,0)),0.15)</x:f>
        <x:v>0.28</x:v>
      </x:c>
      <x:c r="Q107" t="n">
        <x:f>ROUND(O107*(1-P107),0)</x:f>
        <x:v>0</x:v>
      </x:c>
      <x:c r="R107" t="n">
        <x:f>ROUND(O107*P107,0)</x:f>
        <x:v>0</x:v>
      </x:c>
      <x:c r="S107" t="n">
        <x:f>ROUND(O107*IFERROR(INDEX(Assumptions!$C$9:$C$13,MATCH(F107,Assumptions!$A$9:$A$13,0)),0.55),0)</x:f>
        <x:v>0</x:v>
      </x:c>
      <x:c r="T107" t="n">
        <x:f>ROUND(O107*IFERROR(INDEX(Assumptions!$D$9:$D$13,MATCH(F107,Assumptions!$A$9:$A$13,0)),0.06),0)</x:f>
        <x:v>0</x:v>
      </x:c>
      <x:c r="U107" t="n">
        <x:f>ROUND(O107*IFERROR(INDEX(Assumptions!$E$9:$E$13,MATCH(F107,Assumptions!$A$9:$A$13,0)),0.15),0)</x:f>
        <x:v>0</x:v>
      </x:c>
      <x:c r="V107" t="n">
        <x:f>MAX(0,O107-SUM(R107:U107))</x:f>
        <x:v>0</x:v>
      </x:c>
      <x:c r="W107" t="n">
        <x:f>MIN(100,40+IF(O107&gt;0,20,0)+IF(M107&lt;&gt;"",20,0)+IF(AF107&lt;&gt;"",20,0))</x:f>
        <x:v>80</x:v>
      </x:c>
      <x:c r="X107" t="str">
        <x:v>manual</x:v>
      </x:c>
      <x:c r="Y107" t="str">
        <x:v>Unpaved</x:v>
      </x:c>
      <x:c r="Z107" t="str">
        <x:v>C</x:v>
      </x:c>
      <x:c r="AA107" t="str">
        <x:v>Not available in governed source</x:v>
      </x:c>
      <x:c r="AB107" t="str">
        <x:v>Not available in governed source</x:v>
      </x:c>
      <x:c r="AC107" t="str">
        <x:v>FY2025/26</x:v>
      </x:c>
      <x:c r="AD107" t="str">
        <x:v>Modelled</x:v>
      </x:c>
      <x:c r="AE107" t="str">
        <x:v>2026 bridge AADT rebuilt from host-link traffic history, annual collection-link history, same-road corridor history and spatial count-station influence. Vehicle-class values are assigned from functional-class shares.</x:v>
      </x:c>
      <x:c r="AF107" t="str">
        <x:v>manual</x:v>
      </x:c>
    </x:row>
    <x:row r="108" ht="15" hidden="0" customHeight="1">
      <x:c r="A108" t="str">
        <x:v>bridge-107</x:v>
      </x:c>
      <x:c r="B108" t="str">
        <x:v>B092</x:v>
      </x:c>
      <x:c r="C108" t="str">
        <x:v>ZOLEYA</x:v>
      </x:c>
      <x:c r="D108" t="str">
        <x:v>C625_Link01</x:v>
      </x:c>
      <x:c r="E108" t="str">
        <x:v>Kisanja-Park junction</x:v>
      </x:c>
      <x:c r="F108" t="str">
        <x:v>C</x:v>
      </x:c>
      <x:c r="G108" t="str">
        <x:v>Western</x:v>
      </x:c>
      <x:c r="H108" t="str">
        <x:v>Masindi</x:v>
      </x:c>
      <x:c r="I108" t="str">
        <x:v>ZOLIYA</x:v>
      </x:c>
      <x:c r="J108" t="str">
        <x:v>Satisfactory</x:v>
      </x:c>
      <x:c r="K108" t="n">
        <x:v>31.7061996459961</x:v>
      </x:c>
      <x:c r="L108" t="n">
        <x:v>2.14857006072998</x:v>
      </x:c>
      <x:c r="M108" t="n">
        <x:v>31.7061996459961</x:v>
      </x:c>
      <x:c r="N108" t="n">
        <x:v>2.14857006072998</x:v>
      </x:c>
      <x:c r="O108" t="n">
        <x:v>0</x:v>
      </x:c>
      <x:c r="P108" t="n">
        <x:f>IFERROR(INDEX(Assumptions!$B$9:$B$13,MATCH(F108,Assumptions!$A$9:$A$13,0)),0.15)</x:f>
        <x:v>0.28</x:v>
      </x:c>
      <x:c r="Q108" t="n">
        <x:f>ROUND(O108*(1-P108),0)</x:f>
        <x:v>0</x:v>
      </x:c>
      <x:c r="R108" t="n">
        <x:f>ROUND(O108*P108,0)</x:f>
        <x:v>0</x:v>
      </x:c>
      <x:c r="S108" t="n">
        <x:f>ROUND(O108*IFERROR(INDEX(Assumptions!$C$9:$C$13,MATCH(F108,Assumptions!$A$9:$A$13,0)),0.55),0)</x:f>
        <x:v>0</x:v>
      </x:c>
      <x:c r="T108" t="n">
        <x:f>ROUND(O108*IFERROR(INDEX(Assumptions!$D$9:$D$13,MATCH(F108,Assumptions!$A$9:$A$13,0)),0.06),0)</x:f>
        <x:v>0</x:v>
      </x:c>
      <x:c r="U108" t="n">
        <x:f>ROUND(O108*IFERROR(INDEX(Assumptions!$E$9:$E$13,MATCH(F108,Assumptions!$A$9:$A$13,0)),0.15),0)</x:f>
        <x:v>0</x:v>
      </x:c>
      <x:c r="V108" t="n">
        <x:f>MAX(0,O108-SUM(R108:U108))</x:f>
        <x:v>0</x:v>
      </x:c>
      <x:c r="W108" t="n">
        <x:f>MIN(100,40+IF(O108&gt;0,20,0)+IF(M108&lt;&gt;"",20,0)+IF(AF108&lt;&gt;"",20,0))</x:f>
        <x:v>80</x:v>
      </x:c>
      <x:c r="X108" t="str">
        <x:v>manual</x:v>
      </x:c>
      <x:c r="Y108" t="str">
        <x:v>Unpaved</x:v>
      </x:c>
      <x:c r="Z108" t="str">
        <x:v>C</x:v>
      </x:c>
      <x:c r="AA108" t="str">
        <x:v>Not available in governed source</x:v>
      </x:c>
      <x:c r="AB108" t="str">
        <x:v>Not available in governed source</x:v>
      </x:c>
      <x:c r="AC108" t="str">
        <x:v>FY2025/26</x:v>
      </x:c>
      <x:c r="AD108" t="str">
        <x:v>Modelled</x:v>
      </x:c>
      <x:c r="AE108" t="str">
        <x:v>2026 bridge AADT rebuilt from host-link traffic history, annual collection-link history, same-road corridor history and spatial count-station influence. Vehicle-class values are assigned from functional-class shares.</x:v>
      </x:c>
      <x:c r="AF108" t="str">
        <x:v>manual</x:v>
      </x:c>
    </x:row>
    <x:row r="109" ht="15" hidden="0" customHeight="1">
      <x:c r="A109" t="str">
        <x:v>bridge-108</x:v>
      </x:c>
      <x:c r="B109" t="str">
        <x:v>B093</x:v>
      </x:c>
      <x:c r="C109" t="str">
        <x:v>SAMBIYA</x:v>
      </x:c>
      <x:c r="D109" t="str">
        <x:v>C625_Link01</x:v>
      </x:c>
      <x:c r="E109" t="str">
        <x:v>Kisanja-Park junction</x:v>
      </x:c>
      <x:c r="F109" t="str">
        <x:v>C</x:v>
      </x:c>
      <x:c r="G109" t="str">
        <x:v>Western</x:v>
      </x:c>
      <x:c r="H109" t="str">
        <x:v>Masindi</x:v>
      </x:c>
      <x:c r="I109" t="str">
        <x:v>SAMBIYA</x:v>
      </x:c>
      <x:c r="J109" t="str">
        <x:v>Good</x:v>
      </x:c>
      <x:c r="K109" t="n">
        <x:v>31.6970691680908</x:v>
      </x:c>
      <x:c r="L109" t="n">
        <x:v>2.17821002006531</x:v>
      </x:c>
      <x:c r="M109" t="n">
        <x:v>31.6970691680908</x:v>
      </x:c>
      <x:c r="N109" t="n">
        <x:v>2.17821002006531</x:v>
      </x:c>
      <x:c r="O109" t="n">
        <x:v>0</x:v>
      </x:c>
      <x:c r="P109" t="n">
        <x:f>IFERROR(INDEX(Assumptions!$B$9:$B$13,MATCH(F109,Assumptions!$A$9:$A$13,0)),0.15)</x:f>
        <x:v>0.28</x:v>
      </x:c>
      <x:c r="Q109" t="n">
        <x:f>ROUND(O109*(1-P109),0)</x:f>
        <x:v>0</x:v>
      </x:c>
      <x:c r="R109" t="n">
        <x:f>ROUND(O109*P109,0)</x:f>
        <x:v>0</x:v>
      </x:c>
      <x:c r="S109" t="n">
        <x:f>ROUND(O109*IFERROR(INDEX(Assumptions!$C$9:$C$13,MATCH(F109,Assumptions!$A$9:$A$13,0)),0.55),0)</x:f>
        <x:v>0</x:v>
      </x:c>
      <x:c r="T109" t="n">
        <x:f>ROUND(O109*IFERROR(INDEX(Assumptions!$D$9:$D$13,MATCH(F109,Assumptions!$A$9:$A$13,0)),0.06),0)</x:f>
        <x:v>0</x:v>
      </x:c>
      <x:c r="U109" t="n">
        <x:f>ROUND(O109*IFERROR(INDEX(Assumptions!$E$9:$E$13,MATCH(F109,Assumptions!$A$9:$A$13,0)),0.15),0)</x:f>
        <x:v>0</x:v>
      </x:c>
      <x:c r="V109" t="n">
        <x:f>MAX(0,O109-SUM(R109:U109))</x:f>
        <x:v>0</x:v>
      </x:c>
      <x:c r="W109" t="n">
        <x:f>MIN(100,40+IF(O109&gt;0,20,0)+IF(M109&lt;&gt;"",20,0)+IF(AF109&lt;&gt;"",20,0))</x:f>
        <x:v>80</x:v>
      </x:c>
      <x:c r="X109" t="str">
        <x:v>manual</x:v>
      </x:c>
      <x:c r="Y109" t="str">
        <x:v>Unpaved</x:v>
      </x:c>
      <x:c r="Z109" t="str">
        <x:v>C</x:v>
      </x:c>
      <x:c r="AA109" t="str">
        <x:v>Not available in governed source</x:v>
      </x:c>
      <x:c r="AB109" t="str">
        <x:v>Not available in governed source</x:v>
      </x:c>
      <x:c r="AC109" t="str">
        <x:v>FY2025/26</x:v>
      </x:c>
      <x:c r="AD109" t="str">
        <x:v>Modelled</x:v>
      </x:c>
      <x:c r="AE109" t="str">
        <x:v>2026 bridge AADT rebuilt from host-link traffic history, annual collection-link history, same-road corridor history and spatial count-station influence. Vehicle-class values are assigned from functional-class shares.</x:v>
      </x:c>
      <x:c r="AF109" t="str">
        <x:v>manual</x:v>
      </x:c>
    </x:row>
    <x:row r="110" ht="15" hidden="0" customHeight="1">
      <x:c r="A110" t="str">
        <x:v>bridge-109</x:v>
      </x:c>
      <x:c r="B110" t="str">
        <x:v>B094</x:v>
      </x:c>
      <x:c r="C110" t="str">
        <x:v>ATURUKURU</x:v>
      </x:c>
      <x:c r="D110" t="str">
        <x:v>C832_Link01</x:v>
      </x:c>
      <x:c r="E110" t="str">
        <x:v>Tororo-Nagongera</x:v>
      </x:c>
      <x:c r="F110" t="str">
        <x:v>C</x:v>
      </x:c>
      <x:c r="G110" t="str">
        <x:v>Eastern</x:v>
      </x:c>
      <x:c r="H110" t="str">
        <x:v>Tororo</x:v>
      </x:c>
      <x:c r="I110" t="str">
        <x:v>RUBONGE</x:v>
      </x:c>
      <x:c r="J110" t="str">
        <x:v>Good</x:v>
      </x:c>
      <x:c r="K110" t="n">
        <x:v>34.158821105957</x:v>
      </x:c>
      <x:c r="L110" t="n">
        <x:v>0.702889978885651</x:v>
      </x:c>
      <x:c r="M110" t="n">
        <x:v>34.158821105957</x:v>
      </x:c>
      <x:c r="N110" t="n">
        <x:v>0.702889978885651</x:v>
      </x:c>
      <x:c r="O110" t="n">
        <x:v>0</x:v>
      </x:c>
      <x:c r="P110" t="n">
        <x:f>IFERROR(INDEX(Assumptions!$B$9:$B$13,MATCH(F110,Assumptions!$A$9:$A$13,0)),0.15)</x:f>
        <x:v>0.28</x:v>
      </x:c>
      <x:c r="Q110" t="n">
        <x:f>ROUND(O110*(1-P110),0)</x:f>
        <x:v>0</x:v>
      </x:c>
      <x:c r="R110" t="n">
        <x:f>ROUND(O110*P110,0)</x:f>
        <x:v>0</x:v>
      </x:c>
      <x:c r="S110" t="n">
        <x:f>ROUND(O110*IFERROR(INDEX(Assumptions!$C$9:$C$13,MATCH(F110,Assumptions!$A$9:$A$13,0)),0.55),0)</x:f>
        <x:v>0</x:v>
      </x:c>
      <x:c r="T110" t="n">
        <x:f>ROUND(O110*IFERROR(INDEX(Assumptions!$D$9:$D$13,MATCH(F110,Assumptions!$A$9:$A$13,0)),0.06),0)</x:f>
        <x:v>0</x:v>
      </x:c>
      <x:c r="U110" t="n">
        <x:f>ROUND(O110*IFERROR(INDEX(Assumptions!$E$9:$E$13,MATCH(F110,Assumptions!$A$9:$A$13,0)),0.15),0)</x:f>
        <x:v>0</x:v>
      </x:c>
      <x:c r="V110" t="n">
        <x:f>MAX(0,O110-SUM(R110:U110))</x:f>
        <x:v>0</x:v>
      </x:c>
      <x:c r="W110" t="n">
        <x:f>MIN(100,40+IF(O110&gt;0,20,0)+IF(M110&lt;&gt;"",20,0)+IF(AF110&lt;&gt;"",20,0))</x:f>
        <x:v>80</x:v>
      </x:c>
      <x:c r="X110" t="str">
        <x:v>manual</x:v>
      </x:c>
      <x:c r="Y110" t="str">
        <x:v>Unpaved</x:v>
      </x:c>
      <x:c r="Z110" t="str">
        <x:v>C</x:v>
      </x:c>
      <x:c r="AA110" t="str">
        <x:v>Not available in governed source</x:v>
      </x:c>
      <x:c r="AB110" t="str">
        <x:v>Not available in governed source</x:v>
      </x:c>
      <x:c r="AC110" t="str">
        <x:v>FY2025/26</x:v>
      </x:c>
      <x:c r="AD110" t="str">
        <x:v>Modelled</x:v>
      </x:c>
      <x:c r="AE110" t="str">
        <x:v>2026 bridge AADT rebuilt from host-link traffic history, annual collection-link history, same-road corridor history and spatial count-station influence. Vehicle-class values are assigned from functional-class shares.</x:v>
      </x:c>
      <x:c r="AF110" t="str">
        <x:v>manual</x:v>
      </x:c>
    </x:row>
    <x:row r="111" ht="15" hidden="0" customHeight="1">
      <x:c r="A111" t="str">
        <x:v>bridge-110</x:v>
      </x:c>
      <x:c r="B111" t="str">
        <x:v>B095</x:v>
      </x:c>
      <x:c r="C111" t="str">
        <x:v>PAKAMU</x:v>
      </x:c>
      <x:c r="D111" t="str">
        <x:v>C832_Link01</x:v>
      </x:c>
      <x:c r="E111" t="str">
        <x:v>Tororo-Nagongera</x:v>
      </x:c>
      <x:c r="F111" t="str">
        <x:v>C</x:v>
      </x:c>
      <x:c r="G111" t="str">
        <x:v>Eastern</x:v>
      </x:c>
      <x:c r="H111" t="str">
        <x:v>Tororo</x:v>
      </x:c>
      <x:c r="I111" t="str">
        <x:v>PAKAMU</x:v>
      </x:c>
      <x:c r="J111" t="str">
        <x:v>Satisfactory</x:v>
      </x:c>
      <x:c r="K111" t="n">
        <x:v>34.118549</x:v>
      </x:c>
      <x:c r="L111" t="n">
        <x:v>0.72214</x:v>
      </x:c>
      <x:c r="M111" t="n">
        <x:v>33.928153</x:v>
      </x:c>
      <x:c r="N111" t="n">
        <x:v>0.847531</x:v>
      </x:c>
      <x:c r="O111" t="n">
        <x:v>4196.34</x:v>
      </x:c>
      <x:c r="P111" t="n">
        <x:f>IFERROR(INDEX(Assumptions!$B$9:$B$13,MATCH(F111,Assumptions!$A$9:$A$13,0)),0.15)</x:f>
        <x:v>0.28</x:v>
      </x:c>
      <x:c r="Q111" t="n">
        <x:f>ROUND(O111*(1-P111),0)</x:f>
        <x:v>3021</x:v>
      </x:c>
      <x:c r="R111" t="n">
        <x:f>ROUND(O111*P111,0)</x:f>
        <x:v>1175</x:v>
      </x:c>
      <x:c r="S111" t="n">
        <x:f>ROUND(O111*IFERROR(INDEX(Assumptions!$C$9:$C$13,MATCH(F111,Assumptions!$A$9:$A$13,0)),0.55),0)</x:f>
        <x:v>2098</x:v>
      </x:c>
      <x:c r="T111" t="n">
        <x:f>ROUND(O111*IFERROR(INDEX(Assumptions!$D$9:$D$13,MATCH(F111,Assumptions!$A$9:$A$13,0)),0.06),0)</x:f>
        <x:v>210</x:v>
      </x:c>
      <x:c r="U111" t="n">
        <x:f>ROUND(O111*IFERROR(INDEX(Assumptions!$E$9:$E$13,MATCH(F111,Assumptions!$A$9:$A$13,0)),0.15),0)</x:f>
        <x:v>462</x:v>
      </x:c>
      <x:c r="V111" t="n">
        <x:f>MAX(0,O111-SUM(R111:U111))</x:f>
        <x:v>251.34000000000015</x:v>
      </x:c>
      <x:c r="W111" t="n">
        <x:f>MIN(100,40+IF(O111&gt;0,20,0)+IF(M111&lt;&gt;"",20,0)+IF(AF111&lt;&gt;"",20,0))</x:f>
        <x:v>100</x:v>
      </x:c>
      <x:c r="X111" t="str">
        <x:v>Placed on exact national road host link</x:v>
      </x:c>
      <x:c r="Y111" t="str">
        <x:v>Unpaved</x:v>
      </x:c>
      <x:c r="Z111" t="str">
        <x:v>C</x:v>
      </x:c>
      <x:c r="AA111" t="str">
        <x:v>Not available in governed source</x:v>
      </x:c>
      <x:c r="AB111" t="str">
        <x:v>Not available in governed source</x:v>
      </x:c>
      <x:c r="AC111" t="str">
        <x:v>FY2025/26</x:v>
      </x:c>
      <x:c r="AD111" t="str">
        <x:v>Modelled</x:v>
      </x:c>
      <x:c r="AE111" t="str">
        <x:v>2026 bridge AADT rebuilt from host-link traffic history, annual collection-link history, same-road corridor history and spatial count-station influence. Vehicle-class values are assigned from functional-class shares.</x:v>
      </x:c>
      <x:c r="AF111" t="str">
        <x:v>Placed on exact national road host link</x:v>
      </x:c>
    </x:row>
    <x:row r="112" ht="15" hidden="0" customHeight="1">
      <x:c r="A112" t="str">
        <x:v>bridge-111</x:v>
      </x:c>
      <x:c r="B112" t="str">
        <x:v>B096</x:v>
      </x:c>
      <x:c r="C112" t="str">
        <x:v>MAHANGA</x:v>
      </x:c>
      <x:c r="D112" t="str">
        <x:v>C832_Link01</x:v>
      </x:c>
      <x:c r="E112" t="str">
        <x:v>Tororo-Nagongera</x:v>
      </x:c>
      <x:c r="F112" t="str">
        <x:v>C</x:v>
      </x:c>
      <x:c r="G112" t="str">
        <x:v>Eastern</x:v>
      </x:c>
      <x:c r="H112" t="str">
        <x:v>Tororo</x:v>
      </x:c>
      <x:c r="I112" t="str">
        <x:v>MAHANGA</x:v>
      </x:c>
      <x:c r="J112" t="str">
        <x:v>Marginal</x:v>
      </x:c>
      <x:c r="K112" t="n">
        <x:v>34.042061</x:v>
      </x:c>
      <x:c r="L112" t="n">
        <x:v>0.76043</x:v>
      </x:c>
      <x:c r="M112" t="n">
        <x:v>33.928153</x:v>
      </x:c>
      <x:c r="N112" t="n">
        <x:v>0.847531</x:v>
      </x:c>
      <x:c r="O112" t="n">
        <x:v>4196.34</x:v>
      </x:c>
      <x:c r="P112" t="n">
        <x:f>IFERROR(INDEX(Assumptions!$B$9:$B$13,MATCH(F112,Assumptions!$A$9:$A$13,0)),0.15)</x:f>
        <x:v>0.28</x:v>
      </x:c>
      <x:c r="Q112" t="n">
        <x:f>ROUND(O112*(1-P112),0)</x:f>
        <x:v>3021</x:v>
      </x:c>
      <x:c r="R112" t="n">
        <x:f>ROUND(O112*P112,0)</x:f>
        <x:v>1175</x:v>
      </x:c>
      <x:c r="S112" t="n">
        <x:f>ROUND(O112*IFERROR(INDEX(Assumptions!$C$9:$C$13,MATCH(F112,Assumptions!$A$9:$A$13,0)),0.55),0)</x:f>
        <x:v>2098</x:v>
      </x:c>
      <x:c r="T112" t="n">
        <x:f>ROUND(O112*IFERROR(INDEX(Assumptions!$D$9:$D$13,MATCH(F112,Assumptions!$A$9:$A$13,0)),0.06),0)</x:f>
        <x:v>210</x:v>
      </x:c>
      <x:c r="U112" t="n">
        <x:f>ROUND(O112*IFERROR(INDEX(Assumptions!$E$9:$E$13,MATCH(F112,Assumptions!$A$9:$A$13,0)),0.15),0)</x:f>
        <x:v>462</x:v>
      </x:c>
      <x:c r="V112" t="n">
        <x:f>MAX(0,O112-SUM(R112:U112))</x:f>
        <x:v>251.34000000000015</x:v>
      </x:c>
      <x:c r="W112" t="n">
        <x:f>MIN(100,40+IF(O112&gt;0,20,0)+IF(M112&lt;&gt;"",20,0)+IF(AF112&lt;&gt;"",20,0))</x:f>
        <x:v>100</x:v>
      </x:c>
      <x:c r="X112" t="str">
        <x:v>Placed on exact national road host link</x:v>
      </x:c>
      <x:c r="Y112" t="str">
        <x:v>Unpaved</x:v>
      </x:c>
      <x:c r="Z112" t="str">
        <x:v>C</x:v>
      </x:c>
      <x:c r="AA112" t="str">
        <x:v>Not available in governed source</x:v>
      </x:c>
      <x:c r="AB112" t="str">
        <x:v>Not available in governed source</x:v>
      </x:c>
      <x:c r="AC112" t="str">
        <x:v>FY2025/26</x:v>
      </x:c>
      <x:c r="AD112" t="str">
        <x:v>Modelled</x:v>
      </x:c>
      <x:c r="AE112" t="str">
        <x:v>2026 bridge AADT rebuilt from host-link traffic history, annual collection-link history, same-road corridor history and spatial count-station influence. Vehicle-class values are assigned from functional-class shares.</x:v>
      </x:c>
      <x:c r="AF112" t="str">
        <x:v>Placed on exact national road host link</x:v>
      </x:c>
    </x:row>
    <x:row r="113" ht="15" hidden="0" customHeight="1">
      <x:c r="A113" t="str">
        <x:v>bridge-112</x:v>
      </x:c>
      <x:c r="B113" t="str">
        <x:v>B097</x:v>
      </x:c>
      <x:c r="C113" t="str">
        <x:v>NAKULUMUTU</x:v>
      </x:c>
      <x:c r="D113" t="str">
        <x:v>C833_Link01</x:v>
      </x:c>
      <x:c r="E113" t="str">
        <x:v>Nabumali junction-Busolwe</x:v>
      </x:c>
      <x:c r="F113" t="str">
        <x:v>C</x:v>
      </x:c>
      <x:c r="G113" t="str">
        <x:v>Eastern</x:v>
      </x:c>
      <x:c r="H113" t="str">
        <x:v>Tororo</x:v>
      </x:c>
      <x:c r="I113" t="str">
        <x:v>NAKULUMUTU</x:v>
      </x:c>
      <x:c r="J113" t="str">
        <x:v>Marginal</x:v>
      </x:c>
      <x:c r="K113" t="n">
        <x:v>33.996181</x:v>
      </x:c>
      <x:c r="L113" t="n">
        <x:v>0.93139</x:v>
      </x:c>
      <x:c r="M113" t="n">
        <x:v>33.92727</x:v>
      </x:c>
      <x:c r="N113" t="n">
        <x:v>0.850405</x:v>
      </x:c>
      <x:c r="O113" t="n">
        <x:v>4210.82</x:v>
      </x:c>
      <x:c r="P113" t="n">
        <x:f>IFERROR(INDEX(Assumptions!$B$9:$B$13,MATCH(F113,Assumptions!$A$9:$A$13,0)),0.15)</x:f>
        <x:v>0.28</x:v>
      </x:c>
      <x:c r="Q113" t="n">
        <x:f>ROUND(O113*(1-P113),0)</x:f>
        <x:v>3032</x:v>
      </x:c>
      <x:c r="R113" t="n">
        <x:f>ROUND(O113*P113,0)</x:f>
        <x:v>1179</x:v>
      </x:c>
      <x:c r="S113" t="n">
        <x:f>ROUND(O113*IFERROR(INDEX(Assumptions!$C$9:$C$13,MATCH(F113,Assumptions!$A$9:$A$13,0)),0.55),0)</x:f>
        <x:v>2105</x:v>
      </x:c>
      <x:c r="T113" t="n">
        <x:f>ROUND(O113*IFERROR(INDEX(Assumptions!$D$9:$D$13,MATCH(F113,Assumptions!$A$9:$A$13,0)),0.06),0)</x:f>
        <x:v>211</x:v>
      </x:c>
      <x:c r="U113" t="n">
        <x:f>ROUND(O113*IFERROR(INDEX(Assumptions!$E$9:$E$13,MATCH(F113,Assumptions!$A$9:$A$13,0)),0.15),0)</x:f>
        <x:v>463</x:v>
      </x:c>
      <x:c r="V113" t="n">
        <x:f>MAX(0,O113-SUM(R113:U113))</x:f>
        <x:v>252.8199999999997</x:v>
      </x:c>
      <x:c r="W113" t="n">
        <x:f>MIN(100,40+IF(O113&gt;0,20,0)+IF(M113&lt;&gt;"",20,0)+IF(AF113&lt;&gt;"",20,0))</x:f>
        <x:v>100</x:v>
      </x:c>
      <x:c r="X113" t="str">
        <x:v>Placed on exact national road host link</x:v>
      </x:c>
      <x:c r="Y113" t="str">
        <x:v>Unpaved</x:v>
      </x:c>
      <x:c r="Z113" t="str">
        <x:v>C</x:v>
      </x:c>
      <x:c r="AA113" t="str">
        <x:v>Not available in governed source</x:v>
      </x:c>
      <x:c r="AB113" t="str">
        <x:v>Not available in governed source</x:v>
      </x:c>
      <x:c r="AC113" t="str">
        <x:v>FY2025/26</x:v>
      </x:c>
      <x:c r="AD113" t="str">
        <x:v>Modelled</x:v>
      </x:c>
      <x:c r="AE113" t="str">
        <x:v>2026 bridge AADT rebuilt from host-link traffic history, annual collection-link history, same-road corridor history and spatial count-station influence. Vehicle-class values are assigned from functional-class shares.</x:v>
      </x:c>
      <x:c r="AF113" t="str">
        <x:v>Placed on exact national road host link</x:v>
      </x:c>
    </x:row>
    <x:row r="114" ht="15" hidden="0" customHeight="1">
      <x:c r="A114" t="str">
        <x:v>bridge-113</x:v>
      </x:c>
      <x:c r="B114" t="str">
        <x:v>B098</x:v>
      </x:c>
      <x:c r="C114" t="str">
        <x:v>NKOLA</x:v>
      </x:c>
      <x:c r="D114" t="str">
        <x:v>C833_Link01</x:v>
      </x:c>
      <x:c r="E114" t="str">
        <x:v>Nabumali junction-Busolwe</x:v>
      </x:c>
      <x:c r="F114" t="str">
        <x:v>C</x:v>
      </x:c>
      <x:c r="G114" t="str">
        <x:v>Eastern</x:v>
      </x:c>
      <x:c r="H114" t="str">
        <x:v>Tororo</x:v>
      </x:c>
      <x:c r="I114" t="str">
        <x:v>MANAFA</x:v>
      </x:c>
      <x:c r="J114" t="str">
        <x:v>Marginal</x:v>
      </x:c>
      <x:c r="K114" t="n">
        <x:v>33.99501</x:v>
      </x:c>
      <x:c r="L114" t="n">
        <x:v>0.9305</x:v>
      </x:c>
      <x:c r="M114" t="n">
        <x:v>33.92727</x:v>
      </x:c>
      <x:c r="N114" t="n">
        <x:v>0.850405</x:v>
      </x:c>
      <x:c r="O114" t="n">
        <x:v>4210.82</x:v>
      </x:c>
      <x:c r="P114" t="n">
        <x:f>IFERROR(INDEX(Assumptions!$B$9:$B$13,MATCH(F114,Assumptions!$A$9:$A$13,0)),0.15)</x:f>
        <x:v>0.28</x:v>
      </x:c>
      <x:c r="Q114" t="n">
        <x:f>ROUND(O114*(1-P114),0)</x:f>
        <x:v>3032</x:v>
      </x:c>
      <x:c r="R114" t="n">
        <x:f>ROUND(O114*P114,0)</x:f>
        <x:v>1179</x:v>
      </x:c>
      <x:c r="S114" t="n">
        <x:f>ROUND(O114*IFERROR(INDEX(Assumptions!$C$9:$C$13,MATCH(F114,Assumptions!$A$9:$A$13,0)),0.55),0)</x:f>
        <x:v>2105</x:v>
      </x:c>
      <x:c r="T114" t="n">
        <x:f>ROUND(O114*IFERROR(INDEX(Assumptions!$D$9:$D$13,MATCH(F114,Assumptions!$A$9:$A$13,0)),0.06),0)</x:f>
        <x:v>211</x:v>
      </x:c>
      <x:c r="U114" t="n">
        <x:f>ROUND(O114*IFERROR(INDEX(Assumptions!$E$9:$E$13,MATCH(F114,Assumptions!$A$9:$A$13,0)),0.15),0)</x:f>
        <x:v>463</x:v>
      </x:c>
      <x:c r="V114" t="n">
        <x:f>MAX(0,O114-SUM(R114:U114))</x:f>
        <x:v>252.8199999999997</x:v>
      </x:c>
      <x:c r="W114" t="n">
        <x:f>MIN(100,40+IF(O114&gt;0,20,0)+IF(M114&lt;&gt;"",20,0)+IF(AF114&lt;&gt;"",20,0))</x:f>
        <x:v>100</x:v>
      </x:c>
      <x:c r="X114" t="str">
        <x:v>Placed on exact national road host link</x:v>
      </x:c>
      <x:c r="Y114" t="str">
        <x:v>Unpaved</x:v>
      </x:c>
      <x:c r="Z114" t="str">
        <x:v>C</x:v>
      </x:c>
      <x:c r="AA114" t="str">
        <x:v>Not available in governed source</x:v>
      </x:c>
      <x:c r="AB114" t="str">
        <x:v>Not available in governed source</x:v>
      </x:c>
      <x:c r="AC114" t="str">
        <x:v>FY2025/26</x:v>
      </x:c>
      <x:c r="AD114" t="str">
        <x:v>Modelled</x:v>
      </x:c>
      <x:c r="AE114" t="str">
        <x:v>2026 bridge AADT rebuilt from host-link traffic history, annual collection-link history, same-road corridor history and spatial count-station influence. Vehicle-class values are assigned from functional-class shares.</x:v>
      </x:c>
      <x:c r="AF114" t="str">
        <x:v>Placed on exact national road host link</x:v>
      </x:c>
    </x:row>
    <x:row r="115" ht="15" hidden="0" customHeight="1">
      <x:c r="A115" t="str">
        <x:v>bridge-114</x:v>
      </x:c>
      <x:c r="B115" t="str">
        <x:v>B099</x:v>
      </x:c>
      <x:c r="C115" t="str">
        <x:v>NAKWAZI</x:v>
      </x:c>
      <x:c r="D115" t="str">
        <x:v>C833_Link01</x:v>
      </x:c>
      <x:c r="E115" t="str">
        <x:v>Nabumali junction-Busolwe</x:v>
      </x:c>
      <x:c r="F115" t="str">
        <x:v>C</x:v>
      </x:c>
      <x:c r="G115" t="str">
        <x:v>Eastern</x:v>
      </x:c>
      <x:c r="H115" t="str">
        <x:v>Tororo</x:v>
      </x:c>
      <x:c r="I115" t="str">
        <x:v>NAKWAZI</x:v>
      </x:c>
      <x:c r="J115" t="str">
        <x:v>Marginal</x:v>
      </x:c>
      <x:c r="K115" t="n">
        <x:v>33.935452</x:v>
      </x:c>
      <x:c r="L115" t="n">
        <x:v>0.85453</x:v>
      </x:c>
      <x:c r="M115" t="n">
        <x:v>33.92727</x:v>
      </x:c>
      <x:c r="N115" t="n">
        <x:v>0.850405</x:v>
      </x:c>
      <x:c r="O115" t="n">
        <x:v>4210.82</x:v>
      </x:c>
      <x:c r="P115" t="n">
        <x:f>IFERROR(INDEX(Assumptions!$B$9:$B$13,MATCH(F115,Assumptions!$A$9:$A$13,0)),0.15)</x:f>
        <x:v>0.28</x:v>
      </x:c>
      <x:c r="Q115" t="n">
        <x:f>ROUND(O115*(1-P115),0)</x:f>
        <x:v>3032</x:v>
      </x:c>
      <x:c r="R115" t="n">
        <x:f>ROUND(O115*P115,0)</x:f>
        <x:v>1179</x:v>
      </x:c>
      <x:c r="S115" t="n">
        <x:f>ROUND(O115*IFERROR(INDEX(Assumptions!$C$9:$C$13,MATCH(F115,Assumptions!$A$9:$A$13,0)),0.55),0)</x:f>
        <x:v>2105</x:v>
      </x:c>
      <x:c r="T115" t="n">
        <x:f>ROUND(O115*IFERROR(INDEX(Assumptions!$D$9:$D$13,MATCH(F115,Assumptions!$A$9:$A$13,0)),0.06),0)</x:f>
        <x:v>211</x:v>
      </x:c>
      <x:c r="U115" t="n">
        <x:f>ROUND(O115*IFERROR(INDEX(Assumptions!$E$9:$E$13,MATCH(F115,Assumptions!$A$9:$A$13,0)),0.15),0)</x:f>
        <x:v>463</x:v>
      </x:c>
      <x:c r="V115" t="n">
        <x:f>MAX(0,O115-SUM(R115:U115))</x:f>
        <x:v>252.8199999999997</x:v>
      </x:c>
      <x:c r="W115" t="n">
        <x:f>MIN(100,40+IF(O115&gt;0,20,0)+IF(M115&lt;&gt;"",20,0)+IF(AF115&lt;&gt;"",20,0))</x:f>
        <x:v>100</x:v>
      </x:c>
      <x:c r="X115" t="str">
        <x:v>Placed on exact national road host link</x:v>
      </x:c>
      <x:c r="Y115" t="str">
        <x:v>Unpaved</x:v>
      </x:c>
      <x:c r="Z115" t="str">
        <x:v>C</x:v>
      </x:c>
      <x:c r="AA115" t="str">
        <x:v>Not available in governed source</x:v>
      </x:c>
      <x:c r="AB115" t="str">
        <x:v>Not available in governed source</x:v>
      </x:c>
      <x:c r="AC115" t="str">
        <x:v>FY2025/26</x:v>
      </x:c>
      <x:c r="AD115" t="str">
        <x:v>Modelled</x:v>
      </x:c>
      <x:c r="AE115" t="str">
        <x:v>2026 bridge AADT rebuilt from host-link traffic history, annual collection-link history, same-road corridor history and spatial count-station influence. Vehicle-class values are assigned from functional-class shares.</x:v>
      </x:c>
      <x:c r="AF115" t="str">
        <x:v>Placed on exact national road host link</x:v>
      </x:c>
    </x:row>
    <x:row r="116" ht="15" hidden="0" customHeight="1">
      <x:c r="A116" t="str">
        <x:v>bridge-115</x:v>
      </x:c>
      <x:c r="B116" t="str">
        <x:v>B100</x:v>
      </x:c>
      <x:c r="C116" t="str">
        <x:v>BUDUMBBA</x:v>
      </x:c>
      <x:c r="D116" t="str">
        <x:v>C833_Link02</x:v>
      </x:c>
      <x:c r="E116" t="str">
        <x:v>Busolwe-Budumba</x:v>
      </x:c>
      <x:c r="F116" t="str">
        <x:v>C</x:v>
      </x:c>
      <x:c r="G116" t="str">
        <x:v>Eastern</x:v>
      </x:c>
      <x:c r="H116" t="str">
        <x:v>Tororo</x:v>
      </x:c>
      <x:c r="I116" t="str">
        <x:v>MPOLOGOMA</x:v>
      </x:c>
      <x:c r="J116" t="str">
        <x:v>Marginal</x:v>
      </x:c>
      <x:c r="K116" t="n">
        <x:v>33.78955078125</x:v>
      </x:c>
      <x:c r="L116" t="n">
        <x:v>0.827210009098053</x:v>
      </x:c>
      <x:c r="M116" t="n">
        <x:v>33.78955078125</x:v>
      </x:c>
      <x:c r="N116" t="n">
        <x:v>0.827210009098053</x:v>
      </x:c>
      <x:c r="O116" t="n">
        <x:v>0</x:v>
      </x:c>
      <x:c r="P116" t="n">
        <x:f>IFERROR(INDEX(Assumptions!$B$9:$B$13,MATCH(F116,Assumptions!$A$9:$A$13,0)),0.15)</x:f>
        <x:v>0.28</x:v>
      </x:c>
      <x:c r="Q116" t="n">
        <x:f>ROUND(O116*(1-P116),0)</x:f>
        <x:v>0</x:v>
      </x:c>
      <x:c r="R116" t="n">
        <x:f>ROUND(O116*P116,0)</x:f>
        <x:v>0</x:v>
      </x:c>
      <x:c r="S116" t="n">
        <x:f>ROUND(O116*IFERROR(INDEX(Assumptions!$C$9:$C$13,MATCH(F116,Assumptions!$A$9:$A$13,0)),0.55),0)</x:f>
        <x:v>0</x:v>
      </x:c>
      <x:c r="T116" t="n">
        <x:f>ROUND(O116*IFERROR(INDEX(Assumptions!$D$9:$D$13,MATCH(F116,Assumptions!$A$9:$A$13,0)),0.06),0)</x:f>
        <x:v>0</x:v>
      </x:c>
      <x:c r="U116" t="n">
        <x:f>ROUND(O116*IFERROR(INDEX(Assumptions!$E$9:$E$13,MATCH(F116,Assumptions!$A$9:$A$13,0)),0.15),0)</x:f>
        <x:v>0</x:v>
      </x:c>
      <x:c r="V116" t="n">
        <x:f>MAX(0,O116-SUM(R116:U116))</x:f>
        <x:v>0</x:v>
      </x:c>
      <x:c r="W116" t="n">
        <x:f>MIN(100,40+IF(O116&gt;0,20,0)+IF(M116&lt;&gt;"",20,0)+IF(AF116&lt;&gt;"",20,0))</x:f>
        <x:v>80</x:v>
      </x:c>
      <x:c r="X116" t="str">
        <x:v>manual</x:v>
      </x:c>
      <x:c r="Y116" t="str">
        <x:v>Unpaved</x:v>
      </x:c>
      <x:c r="Z116" t="str">
        <x:v>C</x:v>
      </x:c>
      <x:c r="AA116" t="str">
        <x:v>Not available in governed source</x:v>
      </x:c>
      <x:c r="AB116" t="str">
        <x:v>Not available in governed source</x:v>
      </x:c>
      <x:c r="AC116" t="str">
        <x:v>FY2025/26</x:v>
      </x:c>
      <x:c r="AD116" t="str">
        <x:v>Modelled</x:v>
      </x:c>
      <x:c r="AE116" t="str">
        <x:v>2026 bridge AADT rebuilt from host-link traffic history, annual collection-link history, same-road corridor history and spatial count-station influence. Vehicle-class values are assigned from functional-class shares.</x:v>
      </x:c>
      <x:c r="AF116" t="str">
        <x:v>manual</x:v>
      </x:c>
    </x:row>
    <x:row r="117" ht="15" hidden="0" customHeight="1">
      <x:c r="A117" t="str">
        <x:v>bridge-116</x:v>
      </x:c>
      <x:c r="B117" t="str">
        <x:v>B101</x:v>
      </x:c>
      <x:c r="C117" t="str">
        <x:v>MIWU</x:v>
      </x:c>
      <x:c r="D117" t="str">
        <x:v>C861_Link01</x:v>
      </x:c>
      <x:c r="E117" t="str">
        <x:v>Nalugugu-Mutufu-Budadiri</x:v>
      </x:c>
      <x:c r="F117" t="str">
        <x:v>C</x:v>
      </x:c>
      <x:c r="G117" t="str">
        <x:v>Eastern</x:v>
      </x:c>
      <x:c r="H117" t="str">
        <x:v>Mbale</x:v>
      </x:c>
      <x:c r="I117" t="str">
        <x:v>MIWU</x:v>
      </x:c>
      <x:c r="J117" t="str">
        <x:v>Good</x:v>
      </x:c>
      <x:c r="K117" t="n">
        <x:v>34.3184509277344</x:v>
      </x:c>
      <x:c r="L117" t="n">
        <x:v>1.19068002700806</x:v>
      </x:c>
      <x:c r="M117" t="n">
        <x:v>34.3184509277344</x:v>
      </x:c>
      <x:c r="N117" t="n">
        <x:v>1.19068002700806</x:v>
      </x:c>
      <x:c r="O117" t="n">
        <x:v>0</x:v>
      </x:c>
      <x:c r="P117" t="n">
        <x:f>IFERROR(INDEX(Assumptions!$B$9:$B$13,MATCH(F117,Assumptions!$A$9:$A$13,0)),0.15)</x:f>
        <x:v>0.28</x:v>
      </x:c>
      <x:c r="Q117" t="n">
        <x:f>ROUND(O117*(1-P117),0)</x:f>
        <x:v>0</x:v>
      </x:c>
      <x:c r="R117" t="n">
        <x:f>ROUND(O117*P117,0)</x:f>
        <x:v>0</x:v>
      </x:c>
      <x:c r="S117" t="n">
        <x:f>ROUND(O117*IFERROR(INDEX(Assumptions!$C$9:$C$13,MATCH(F117,Assumptions!$A$9:$A$13,0)),0.55),0)</x:f>
        <x:v>0</x:v>
      </x:c>
      <x:c r="T117" t="n">
        <x:f>ROUND(O117*IFERROR(INDEX(Assumptions!$D$9:$D$13,MATCH(F117,Assumptions!$A$9:$A$13,0)),0.06),0)</x:f>
        <x:v>0</x:v>
      </x:c>
      <x:c r="U117" t="n">
        <x:f>ROUND(O117*IFERROR(INDEX(Assumptions!$E$9:$E$13,MATCH(F117,Assumptions!$A$9:$A$13,0)),0.15),0)</x:f>
        <x:v>0</x:v>
      </x:c>
      <x:c r="V117" t="n">
        <x:f>MAX(0,O117-SUM(R117:U117))</x:f>
        <x:v>0</x:v>
      </x:c>
      <x:c r="W117" t="n">
        <x:f>MIN(100,40+IF(O117&gt;0,20,0)+IF(M117&lt;&gt;"",20,0)+IF(AF117&lt;&gt;"",20,0))</x:f>
        <x:v>80</x:v>
      </x:c>
      <x:c r="X117" t="str">
        <x:v>manual</x:v>
      </x:c>
      <x:c r="Y117" t="str">
        <x:v>Unpaved</x:v>
      </x:c>
      <x:c r="Z117" t="str">
        <x:v>C</x:v>
      </x:c>
      <x:c r="AA117" t="str">
        <x:v>Not available in governed source</x:v>
      </x:c>
      <x:c r="AB117" t="str">
        <x:v>Not available in governed source</x:v>
      </x:c>
      <x:c r="AC117" t="str">
        <x:v>FY2025/26</x:v>
      </x:c>
      <x:c r="AD117" t="str">
        <x:v>Modelled</x:v>
      </x:c>
      <x:c r="AE117" t="str">
        <x:v>2026 bridge AADT rebuilt from host-link traffic history, annual collection-link history, same-road corridor history and spatial count-station influence. Vehicle-class values are assigned from functional-class shares.</x:v>
      </x:c>
      <x:c r="AF117" t="str">
        <x:v>manual</x:v>
      </x:c>
    </x:row>
    <x:row r="118" ht="15" hidden="0" customHeight="1">
      <x:c r="A118" t="str">
        <x:v>bridge-117</x:v>
      </x:c>
      <x:c r="B118" t="str">
        <x:v>B102</x:v>
      </x:c>
      <x:c r="C118" t="str">
        <x:v>SIRONKO</x:v>
      </x:c>
      <x:c r="D118" t="str">
        <x:v>C861_Link01</x:v>
      </x:c>
      <x:c r="E118" t="str">
        <x:v>Nalugugu-Mutufu-Budadiri</x:v>
      </x:c>
      <x:c r="F118" t="str">
        <x:v>C</x:v>
      </x:c>
      <x:c r="G118" t="str">
        <x:v>Eastern</x:v>
      </x:c>
      <x:c r="H118" t="str">
        <x:v>Mbale</x:v>
      </x:c>
      <x:c r="I118" t="str">
        <x:v>Sironko River</x:v>
      </x:c>
      <x:c r="J118" t="str">
        <x:v>Satisfactory</x:v>
      </x:c>
      <x:c r="K118" t="n">
        <x:v>34.3229103088379</x:v>
      </x:c>
      <x:c r="L118" t="n">
        <x:v>1.18581998348236</x:v>
      </x:c>
      <x:c r="M118" t="n">
        <x:v>34.3229103088379</x:v>
      </x:c>
      <x:c r="N118" t="n">
        <x:v>1.18581998348236</x:v>
      </x:c>
      <x:c r="O118" t="n">
        <x:v>0</x:v>
      </x:c>
      <x:c r="P118" t="n">
        <x:f>IFERROR(INDEX(Assumptions!$B$9:$B$13,MATCH(F118,Assumptions!$A$9:$A$13,0)),0.15)</x:f>
        <x:v>0.28</x:v>
      </x:c>
      <x:c r="Q118" t="n">
        <x:f>ROUND(O118*(1-P118),0)</x:f>
        <x:v>0</x:v>
      </x:c>
      <x:c r="R118" t="n">
        <x:f>ROUND(O118*P118,0)</x:f>
        <x:v>0</x:v>
      </x:c>
      <x:c r="S118" t="n">
        <x:f>ROUND(O118*IFERROR(INDEX(Assumptions!$C$9:$C$13,MATCH(F118,Assumptions!$A$9:$A$13,0)),0.55),0)</x:f>
        <x:v>0</x:v>
      </x:c>
      <x:c r="T118" t="n">
        <x:f>ROUND(O118*IFERROR(INDEX(Assumptions!$D$9:$D$13,MATCH(F118,Assumptions!$A$9:$A$13,0)),0.06),0)</x:f>
        <x:v>0</x:v>
      </x:c>
      <x:c r="U118" t="n">
        <x:f>ROUND(O118*IFERROR(INDEX(Assumptions!$E$9:$E$13,MATCH(F118,Assumptions!$A$9:$A$13,0)),0.15),0)</x:f>
        <x:v>0</x:v>
      </x:c>
      <x:c r="V118" t="n">
        <x:f>MAX(0,O118-SUM(R118:U118))</x:f>
        <x:v>0</x:v>
      </x:c>
      <x:c r="W118" t="n">
        <x:f>MIN(100,40+IF(O118&gt;0,20,0)+IF(M118&lt;&gt;"",20,0)+IF(AF118&lt;&gt;"",20,0))</x:f>
        <x:v>80</x:v>
      </x:c>
      <x:c r="X118" t="str">
        <x:v>manual</x:v>
      </x:c>
      <x:c r="Y118" t="str">
        <x:v>Unpaved</x:v>
      </x:c>
      <x:c r="Z118" t="str">
        <x:v>C</x:v>
      </x:c>
      <x:c r="AA118" t="str">
        <x:v>Not available in governed source</x:v>
      </x:c>
      <x:c r="AB118" t="str">
        <x:v>Not available in governed source</x:v>
      </x:c>
      <x:c r="AC118" t="str">
        <x:v>FY2025/26</x:v>
      </x:c>
      <x:c r="AD118" t="str">
        <x:v>Modelled</x:v>
      </x:c>
      <x:c r="AE118" t="str">
        <x:v>2026 bridge AADT rebuilt from host-link traffic history, annual collection-link history, same-road corridor history and spatial count-station influence. Vehicle-class values are assigned from functional-class shares.</x:v>
      </x:c>
      <x:c r="AF118" t="str">
        <x:v>manual</x:v>
      </x:c>
    </x:row>
    <x:row r="119" ht="15" hidden="0" customHeight="1">
      <x:c r="A119" t="str">
        <x:v>bridge-118</x:v>
      </x:c>
      <x:c r="B119" t="str">
        <x:v>B103</x:v>
      </x:c>
      <x:c r="C119" t="str">
        <x:v>KADO</x:v>
      </x:c>
      <x:c r="D119" t="str">
        <x:v>C862_Link01</x:v>
      </x:c>
      <x:c r="E119" t="str">
        <x:v>Namagumba - Budadiri</x:v>
      </x:c>
      <x:c r="F119" t="str">
        <x:v>C</x:v>
      </x:c>
      <x:c r="G119" t="str">
        <x:v>Eastern</x:v>
      </x:c>
      <x:c r="H119" t="str">
        <x:v>Mbale</x:v>
      </x:c>
      <x:c r="I119" t="str">
        <x:v>KADO</x:v>
      </x:c>
      <x:c r="J119" t="str">
        <x:v>Good</x:v>
      </x:c>
      <x:c r="K119" t="n">
        <x:v>34.3439407348633</x:v>
      </x:c>
      <x:c r="L119" t="n">
        <x:v>1.16500997543335</x:v>
      </x:c>
      <x:c r="M119" t="n">
        <x:v>34.3439407348633</x:v>
      </x:c>
      <x:c r="N119" t="n">
        <x:v>1.16500997543335</x:v>
      </x:c>
      <x:c r="O119" t="n">
        <x:v>0</x:v>
      </x:c>
      <x:c r="P119" t="n">
        <x:f>IFERROR(INDEX(Assumptions!$B$9:$B$13,MATCH(F119,Assumptions!$A$9:$A$13,0)),0.15)</x:f>
        <x:v>0.28</x:v>
      </x:c>
      <x:c r="Q119" t="n">
        <x:f>ROUND(O119*(1-P119),0)</x:f>
        <x:v>0</x:v>
      </x:c>
      <x:c r="R119" t="n">
        <x:f>ROUND(O119*P119,0)</x:f>
        <x:v>0</x:v>
      </x:c>
      <x:c r="S119" t="n">
        <x:f>ROUND(O119*IFERROR(INDEX(Assumptions!$C$9:$C$13,MATCH(F119,Assumptions!$A$9:$A$13,0)),0.55),0)</x:f>
        <x:v>0</x:v>
      </x:c>
      <x:c r="T119" t="n">
        <x:f>ROUND(O119*IFERROR(INDEX(Assumptions!$D$9:$D$13,MATCH(F119,Assumptions!$A$9:$A$13,0)),0.06),0)</x:f>
        <x:v>0</x:v>
      </x:c>
      <x:c r="U119" t="n">
        <x:f>ROUND(O119*IFERROR(INDEX(Assumptions!$E$9:$E$13,MATCH(F119,Assumptions!$A$9:$A$13,0)),0.15),0)</x:f>
        <x:v>0</x:v>
      </x:c>
      <x:c r="V119" t="n">
        <x:f>MAX(0,O119-SUM(R119:U119))</x:f>
        <x:v>0</x:v>
      </x:c>
      <x:c r="W119" t="n">
        <x:f>MIN(100,40+IF(O119&gt;0,20,0)+IF(M119&lt;&gt;"",20,0)+IF(AF119&lt;&gt;"",20,0))</x:f>
        <x:v>80</x:v>
      </x:c>
      <x:c r="X119" t="str">
        <x:v>manual</x:v>
      </x:c>
      <x:c r="Y119" t="str">
        <x:v>Unpaved</x:v>
      </x:c>
      <x:c r="Z119" t="str">
        <x:v>C</x:v>
      </x:c>
      <x:c r="AA119" t="str">
        <x:v>Not available in governed source</x:v>
      </x:c>
      <x:c r="AB119" t="str">
        <x:v>Not available in governed source</x:v>
      </x:c>
      <x:c r="AC119" t="str">
        <x:v>FY2025/26</x:v>
      </x:c>
      <x:c r="AD119" t="str">
        <x:v>Modelled</x:v>
      </x:c>
      <x:c r="AE119" t="str">
        <x:v>2026 bridge AADT rebuilt from host-link traffic history, annual collection-link history, same-road corridor history and spatial count-station influence. Vehicle-class values are assigned from functional-class shares.</x:v>
      </x:c>
      <x:c r="AF119" t="str">
        <x:v>manual</x:v>
      </x:c>
    </x:row>
    <x:row r="120" ht="15" hidden="0" customHeight="1">
      <x:c r="A120" t="str">
        <x:v>bridge-119</x:v>
      </x:c>
      <x:c r="B120" t="str">
        <x:v>B104</x:v>
      </x:c>
      <x:c r="C120" t="str">
        <x:v>SONOLI</x:v>
      </x:c>
      <x:c r="D120" t="str">
        <x:v>C862_Link01</x:v>
      </x:c>
      <x:c r="E120" t="str">
        <x:v>Namagumba - Budadiri</x:v>
      </x:c>
      <x:c r="F120" t="str">
        <x:v>C</x:v>
      </x:c>
      <x:c r="G120" t="str">
        <x:v>Eastern</x:v>
      </x:c>
      <x:c r="H120" t="str">
        <x:v>Mbale</x:v>
      </x:c>
      <x:c r="I120" t="str">
        <x:v>SONOLI</x:v>
      </x:c>
      <x:c r="J120" t="str">
        <x:v>Satisfactory</x:v>
      </x:c>
      <x:c r="K120" t="n">
        <x:v>34.299999</x:v>
      </x:c>
      <x:c r="L120" t="n">
        <x:v>1.1602</x:v>
      </x:c>
      <x:c r="M120" t="n">
        <x:v>34.335592</x:v>
      </x:c>
      <x:c r="N120" t="n">
        <x:v>1.170617</x:v>
      </x:c>
      <x:c r="O120" t="n">
        <x:v>1929.85</x:v>
      </x:c>
      <x:c r="P120" t="n">
        <x:f>IFERROR(INDEX(Assumptions!$B$9:$B$13,MATCH(F120,Assumptions!$A$9:$A$13,0)),0.15)</x:f>
        <x:v>0.28</x:v>
      </x:c>
      <x:c r="Q120" t="n">
        <x:f>ROUND(O120*(1-P120),0)</x:f>
        <x:v>1389</x:v>
      </x:c>
      <x:c r="R120" t="n">
        <x:f>ROUND(O120*P120,0)</x:f>
        <x:v>540</x:v>
      </x:c>
      <x:c r="S120" t="n">
        <x:f>ROUND(O120*IFERROR(INDEX(Assumptions!$C$9:$C$13,MATCH(F120,Assumptions!$A$9:$A$13,0)),0.55),0)</x:f>
        <x:v>965</x:v>
      </x:c>
      <x:c r="T120" t="n">
        <x:f>ROUND(O120*IFERROR(INDEX(Assumptions!$D$9:$D$13,MATCH(F120,Assumptions!$A$9:$A$13,0)),0.06),0)</x:f>
        <x:v>96</x:v>
      </x:c>
      <x:c r="U120" t="n">
        <x:f>ROUND(O120*IFERROR(INDEX(Assumptions!$E$9:$E$13,MATCH(F120,Assumptions!$A$9:$A$13,0)),0.15),0)</x:f>
        <x:v>212</x:v>
      </x:c>
      <x:c r="V120" t="n">
        <x:f>MAX(0,O120-SUM(R120:U120))</x:f>
        <x:v>116.84999999999991</x:v>
      </x:c>
      <x:c r="W120" t="n">
        <x:f>MIN(100,40+IF(O120&gt;0,20,0)+IF(M120&lt;&gt;"",20,0)+IF(AF120&lt;&gt;"",20,0))</x:f>
        <x:v>100</x:v>
      </x:c>
      <x:c r="X120" t="str">
        <x:v>Placed on exact national road host link</x:v>
      </x:c>
      <x:c r="Y120" t="str">
        <x:v>Unpaved</x:v>
      </x:c>
      <x:c r="Z120" t="str">
        <x:v>C</x:v>
      </x:c>
      <x:c r="AA120" t="str">
        <x:v>Not available in governed source</x:v>
      </x:c>
      <x:c r="AB120" t="str">
        <x:v>Not available in governed source</x:v>
      </x:c>
      <x:c r="AC120" t="str">
        <x:v>FY2025/26</x:v>
      </x:c>
      <x:c r="AD120" t="str">
        <x:v>Modelled</x:v>
      </x:c>
      <x:c r="AE120" t="str">
        <x:v>2026 bridge AADT rebuilt from host-link traffic history, annual collection-link history, same-road corridor history and spatial count-station influence. Vehicle-class values are assigned from functional-class shares.</x:v>
      </x:c>
      <x:c r="AF120" t="str">
        <x:v>Placed on exact national road host link</x:v>
      </x:c>
    </x:row>
    <x:row r="121" ht="15" hidden="0" customHeight="1">
      <x:c r="A121" t="str">
        <x:v>bridge-120</x:v>
      </x:c>
      <x:c r="B121" t="str">
        <x:v>B105</x:v>
      </x:c>
      <x:c r="C121" t="str">
        <x:v>NAMATSU</x:v>
      </x:c>
      <x:c r="D121" t="str">
        <x:v>C863_Link01</x:v>
      </x:c>
      <x:c r="E121" t="str">
        <x:v>Mbale - Nkokonjeru</x:v>
      </x:c>
      <x:c r="F121" t="str">
        <x:v>C</x:v>
      </x:c>
      <x:c r="G121" t="str">
        <x:v>Eastern</x:v>
      </x:c>
      <x:c r="H121" t="str">
        <x:v>Mbale</x:v>
      </x:c>
      <x:c r="I121" t="str">
        <x:v>NAMATSU</x:v>
      </x:c>
      <x:c r="J121" t="str">
        <x:v>Marginal</x:v>
      </x:c>
      <x:c r="K121" t="n">
        <x:v>34.18692</x:v>
      </x:c>
      <x:c r="L121" t="n">
        <x:v>1.07785</x:v>
      </x:c>
      <x:c r="M121" t="n">
        <x:v>34.227246</x:v>
      </x:c>
      <x:c r="N121" t="n">
        <x:v>1.038862</x:v>
      </x:c>
      <x:c r="O121" t="n">
        <x:v>2272.7</x:v>
      </x:c>
      <x:c r="P121" t="n">
        <x:f>IFERROR(INDEX(Assumptions!$B$9:$B$13,MATCH(F121,Assumptions!$A$9:$A$13,0)),0.15)</x:f>
        <x:v>0.28</x:v>
      </x:c>
      <x:c r="Q121" t="n">
        <x:f>ROUND(O121*(1-P121),0)</x:f>
        <x:v>1636</x:v>
      </x:c>
      <x:c r="R121" t="n">
        <x:f>ROUND(O121*P121,0)</x:f>
        <x:v>636</x:v>
      </x:c>
      <x:c r="S121" t="n">
        <x:f>ROUND(O121*IFERROR(INDEX(Assumptions!$C$9:$C$13,MATCH(F121,Assumptions!$A$9:$A$13,0)),0.55),0)</x:f>
        <x:v>1136</x:v>
      </x:c>
      <x:c r="T121" t="n">
        <x:f>ROUND(O121*IFERROR(INDEX(Assumptions!$D$9:$D$13,MATCH(F121,Assumptions!$A$9:$A$13,0)),0.06),0)</x:f>
        <x:v>114</x:v>
      </x:c>
      <x:c r="U121" t="n">
        <x:f>ROUND(O121*IFERROR(INDEX(Assumptions!$E$9:$E$13,MATCH(F121,Assumptions!$A$9:$A$13,0)),0.15),0)</x:f>
        <x:v>250</x:v>
      </x:c>
      <x:c r="V121" t="n">
        <x:f>MAX(0,O121-SUM(R121:U121))</x:f>
        <x:v>136.69999999999982</x:v>
      </x:c>
      <x:c r="W121" t="n">
        <x:f>MIN(100,40+IF(O121&gt;0,20,0)+IF(M121&lt;&gt;"",20,0)+IF(AF121&lt;&gt;"",20,0))</x:f>
        <x:v>100</x:v>
      </x:c>
      <x:c r="X121" t="str">
        <x:v>Placed on exact national road host link</x:v>
      </x:c>
      <x:c r="Y121" t="str">
        <x:v>Unpaved</x:v>
      </x:c>
      <x:c r="Z121" t="str">
        <x:v>C</x:v>
      </x:c>
      <x:c r="AA121" t="str">
        <x:v>Not available in governed source</x:v>
      </x:c>
      <x:c r="AB121" t="str">
        <x:v>Not available in governed source</x:v>
      </x:c>
      <x:c r="AC121" t="str">
        <x:v>FY2025/26</x:v>
      </x:c>
      <x:c r="AD121" t="str">
        <x:v>Modelled</x:v>
      </x:c>
      <x:c r="AE121" t="str">
        <x:v>2026 bridge AADT rebuilt from host-link traffic history, annual collection-link history, same-road corridor history and spatial count-station influence. Vehicle-class values are assigned from functional-class shares.</x:v>
      </x:c>
      <x:c r="AF121" t="str">
        <x:v>Placed on exact national road host link</x:v>
      </x:c>
    </x:row>
    <x:row r="122" ht="15" hidden="0" customHeight="1">
      <x:c r="A122" t="str">
        <x:v>bridge-121</x:v>
      </x:c>
      <x:c r="B122" t="str">
        <x:v>B106</x:v>
      </x:c>
      <x:c r="C122" t="str">
        <x:v>KIGEZI</x:v>
      </x:c>
      <x:c r="D122" t="str">
        <x:v>C863_Link01</x:v>
      </x:c>
      <x:c r="E122" t="str">
        <x:v>Mbale - Nkokonjeru</x:v>
      </x:c>
      <x:c r="F122" t="str">
        <x:v>C</x:v>
      </x:c>
      <x:c r="G122" t="str">
        <x:v>Eastern</x:v>
      </x:c>
      <x:c r="H122" t="str">
        <x:v>Mbale</x:v>
      </x:c>
      <x:c r="I122" t="str">
        <x:v>NABUYONGA</x:v>
      </x:c>
      <x:c r="J122" t="str">
        <x:v>Satisfactory</x:v>
      </x:c>
      <x:c r="K122" t="n">
        <x:v>34.241241</x:v>
      </x:c>
      <x:c r="L122" t="n">
        <x:v>1.06059</x:v>
      </x:c>
      <x:c r="M122" t="n">
        <x:v>34.227246</x:v>
      </x:c>
      <x:c r="N122" t="n">
        <x:v>1.038862</x:v>
      </x:c>
      <x:c r="O122" t="n">
        <x:v>2272.7</x:v>
      </x:c>
      <x:c r="P122" t="n">
        <x:f>IFERROR(INDEX(Assumptions!$B$9:$B$13,MATCH(F122,Assumptions!$A$9:$A$13,0)),0.15)</x:f>
        <x:v>0.28</x:v>
      </x:c>
      <x:c r="Q122" t="n">
        <x:f>ROUND(O122*(1-P122),0)</x:f>
        <x:v>1636</x:v>
      </x:c>
      <x:c r="R122" t="n">
        <x:f>ROUND(O122*P122,0)</x:f>
        <x:v>636</x:v>
      </x:c>
      <x:c r="S122" t="n">
        <x:f>ROUND(O122*IFERROR(INDEX(Assumptions!$C$9:$C$13,MATCH(F122,Assumptions!$A$9:$A$13,0)),0.55),0)</x:f>
        <x:v>1136</x:v>
      </x:c>
      <x:c r="T122" t="n">
        <x:f>ROUND(O122*IFERROR(INDEX(Assumptions!$D$9:$D$13,MATCH(F122,Assumptions!$A$9:$A$13,0)),0.06),0)</x:f>
        <x:v>114</x:v>
      </x:c>
      <x:c r="U122" t="n">
        <x:f>ROUND(O122*IFERROR(INDEX(Assumptions!$E$9:$E$13,MATCH(F122,Assumptions!$A$9:$A$13,0)),0.15),0)</x:f>
        <x:v>250</x:v>
      </x:c>
      <x:c r="V122" t="n">
        <x:f>MAX(0,O122-SUM(R122:U122))</x:f>
        <x:v>136.69999999999982</x:v>
      </x:c>
      <x:c r="W122" t="n">
        <x:f>MIN(100,40+IF(O122&gt;0,20,0)+IF(M122&lt;&gt;"",20,0)+IF(AF122&lt;&gt;"",20,0))</x:f>
        <x:v>100</x:v>
      </x:c>
      <x:c r="X122" t="str">
        <x:v>Placed on exact national road host link</x:v>
      </x:c>
      <x:c r="Y122" t="str">
        <x:v>Unpaved</x:v>
      </x:c>
      <x:c r="Z122" t="str">
        <x:v>C</x:v>
      </x:c>
      <x:c r="AA122" t="str">
        <x:v>Not available in governed source</x:v>
      </x:c>
      <x:c r="AB122" t="str">
        <x:v>Not available in governed source</x:v>
      </x:c>
      <x:c r="AC122" t="str">
        <x:v>FY2025/26</x:v>
      </x:c>
      <x:c r="AD122" t="str">
        <x:v>Modelled</x:v>
      </x:c>
      <x:c r="AE122" t="str">
        <x:v>2026 bridge AADT rebuilt from host-link traffic history, annual collection-link history, same-road corridor history and spatial count-station influence. Vehicle-class values are assigned from functional-class shares.</x:v>
      </x:c>
      <x:c r="AF122" t="str">
        <x:v>Placed on exact national road host link</x:v>
      </x:c>
    </x:row>
    <x:row r="123" ht="15" hidden="0" customHeight="1">
      <x:c r="A123" t="str">
        <x:v>bridge-122</x:v>
      </x:c>
      <x:c r="B123" t="str">
        <x:v>B107</x:v>
      </x:c>
      <x:c r="C123" t="str">
        <x:v>NAMIKHOMA</x:v>
      </x:c>
      <x:c r="D123" t="str">
        <x:v>C866_Link01</x:v>
      </x:c>
      <x:c r="E123" t="str">
        <x:v>Munamba - Lwakhakha</x:v>
      </x:c>
      <x:c r="F123" t="str">
        <x:v>C</x:v>
      </x:c>
      <x:c r="G123" t="str">
        <x:v>Eastern</x:v>
      </x:c>
      <x:c r="H123" t="str">
        <x:v>Tororo</x:v>
      </x:c>
      <x:c r="I123" t="str">
        <x:v>NAMIKHOMA</x:v>
      </x:c>
      <x:c r="J123" t="str">
        <x:v>Good</x:v>
      </x:c>
      <x:c r="K123" t="n">
        <x:v>34.874741</x:v>
      </x:c>
      <x:c r="L123" t="n">
        <x:v>0.81193</x:v>
      </x:c>
      <x:c r="M123" t="n">
        <x:v>34.378671</x:v>
      </x:c>
      <x:c r="N123" t="n">
        <x:v>0.794757</x:v>
      </x:c>
      <x:c r="O123" t="n">
        <x:v>1588.56</x:v>
      </x:c>
      <x:c r="P123" t="n">
        <x:f>IFERROR(INDEX(Assumptions!$B$9:$B$13,MATCH(F123,Assumptions!$A$9:$A$13,0)),0.15)</x:f>
        <x:v>0.28</x:v>
      </x:c>
      <x:c r="Q123" t="n">
        <x:f>ROUND(O123*(1-P123),0)</x:f>
        <x:v>1144</x:v>
      </x:c>
      <x:c r="R123" t="n">
        <x:f>ROUND(O123*P123,0)</x:f>
        <x:v>445</x:v>
      </x:c>
      <x:c r="S123" t="n">
        <x:f>ROUND(O123*IFERROR(INDEX(Assumptions!$C$9:$C$13,MATCH(F123,Assumptions!$A$9:$A$13,0)),0.55),0)</x:f>
        <x:v>794</x:v>
      </x:c>
      <x:c r="T123" t="n">
        <x:f>ROUND(O123*IFERROR(INDEX(Assumptions!$D$9:$D$13,MATCH(F123,Assumptions!$A$9:$A$13,0)),0.06),0)</x:f>
        <x:v>79</x:v>
      </x:c>
      <x:c r="U123" t="n">
        <x:f>ROUND(O123*IFERROR(INDEX(Assumptions!$E$9:$E$13,MATCH(F123,Assumptions!$A$9:$A$13,0)),0.15),0)</x:f>
        <x:v>175</x:v>
      </x:c>
      <x:c r="V123" t="n">
        <x:f>MAX(0,O123-SUM(R123:U123))</x:f>
        <x:v>95.55999999999995</x:v>
      </x:c>
      <x:c r="W123" t="n">
        <x:f>MIN(100,40+IF(O123&gt;0,20,0)+IF(M123&lt;&gt;"",20,0)+IF(AF123&lt;&gt;"",20,0))</x:f>
        <x:v>100</x:v>
      </x:c>
      <x:c r="X123" t="str">
        <x:v>Placed on exact national road host link</x:v>
      </x:c>
      <x:c r="Y123" t="str">
        <x:v>Paved</x:v>
      </x:c>
      <x:c r="Z123" t="str">
        <x:v>C</x:v>
      </x:c>
      <x:c r="AA123" t="str">
        <x:v>Not available in governed source</x:v>
      </x:c>
      <x:c r="AB123" t="str">
        <x:v>Not available in governed source</x:v>
      </x:c>
      <x:c r="AC123" t="str">
        <x:v>FY2025/26</x:v>
      </x:c>
      <x:c r="AD123" t="str">
        <x:v>Modelled</x:v>
      </x:c>
      <x:c r="AE123" t="str">
        <x:v>2026 bridge AADT rebuilt from host-link traffic history, annual collection-link history, same-road corridor history and spatial count-station influence. Vehicle-class values are assigned from functional-class shares.</x:v>
      </x:c>
      <x:c r="AF123" t="str">
        <x:v>Placed on exact national road host link</x:v>
      </x:c>
    </x:row>
    <x:row r="124" ht="15" hidden="0" customHeight="1">
      <x:c r="A124" t="str">
        <x:v>bridge-123</x:v>
      </x:c>
      <x:c r="B124" t="str">
        <x:v>B108</x:v>
      </x:c>
      <x:c r="C124" t="str">
        <x:v>PASA</x:v>
      </x:c>
      <x:c r="D124" t="str">
        <x:v>C867_Link02</x:v>
      </x:c>
      <x:c r="E124" t="str">
        <x:v>Bubulo-Bududa Circle road</x:v>
      </x:c>
      <x:c r="F124" t="str">
        <x:v>C</x:v>
      </x:c>
      <x:c r="G124" t="str">
        <x:v>Eastern</x:v>
      </x:c>
      <x:c r="H124" t="str">
        <x:v>Mbale</x:v>
      </x:c>
      <x:c r="I124" t="str">
        <x:v>PASA</x:v>
      </x:c>
      <x:c r="J124" t="str">
        <x:v>Marginal</x:v>
      </x:c>
      <x:c r="K124" t="n">
        <x:v>34.285881</x:v>
      </x:c>
      <x:c r="L124" t="n">
        <x:v>0.95722</x:v>
      </x:c>
      <x:c r="M124" t="n">
        <x:v>34.326436</x:v>
      </x:c>
      <x:c r="N124" t="n">
        <x:v>1.032512</x:v>
      </x:c>
      <x:c r="O124" t="n">
        <x:v>1588.56</x:v>
      </x:c>
      <x:c r="P124" t="n">
        <x:f>IFERROR(INDEX(Assumptions!$B$9:$B$13,MATCH(F124,Assumptions!$A$9:$A$13,0)),0.15)</x:f>
        <x:v>0.28</x:v>
      </x:c>
      <x:c r="Q124" t="n">
        <x:f>ROUND(O124*(1-P124),0)</x:f>
        <x:v>1144</x:v>
      </x:c>
      <x:c r="R124" t="n">
        <x:f>ROUND(O124*P124,0)</x:f>
        <x:v>445</x:v>
      </x:c>
      <x:c r="S124" t="n">
        <x:f>ROUND(O124*IFERROR(INDEX(Assumptions!$C$9:$C$13,MATCH(F124,Assumptions!$A$9:$A$13,0)),0.55),0)</x:f>
        <x:v>794</x:v>
      </x:c>
      <x:c r="T124" t="n">
        <x:f>ROUND(O124*IFERROR(INDEX(Assumptions!$D$9:$D$13,MATCH(F124,Assumptions!$A$9:$A$13,0)),0.06),0)</x:f>
        <x:v>79</x:v>
      </x:c>
      <x:c r="U124" t="n">
        <x:f>ROUND(O124*IFERROR(INDEX(Assumptions!$E$9:$E$13,MATCH(F124,Assumptions!$A$9:$A$13,0)),0.15),0)</x:f>
        <x:v>175</x:v>
      </x:c>
      <x:c r="V124" t="n">
        <x:f>MAX(0,O124-SUM(R124:U124))</x:f>
        <x:v>95.55999999999995</x:v>
      </x:c>
      <x:c r="W124" t="n">
        <x:f>MIN(100,40+IF(O124&gt;0,20,0)+IF(M124&lt;&gt;"",20,0)+IF(AF124&lt;&gt;"",20,0))</x:f>
        <x:v>100</x:v>
      </x:c>
      <x:c r="X124" t="str">
        <x:v>Placed on exact national road host link</x:v>
      </x:c>
      <x:c r="Y124" t="str">
        <x:v>Unpaved</x:v>
      </x:c>
      <x:c r="Z124" t="str">
        <x:v>C</x:v>
      </x:c>
      <x:c r="AA124" t="str">
        <x:v>Not available in governed source</x:v>
      </x:c>
      <x:c r="AB124" t="str">
        <x:v>Not available in governed source</x:v>
      </x:c>
      <x:c r="AC124" t="str">
        <x:v>FY2025/26</x:v>
      </x:c>
      <x:c r="AD124" t="str">
        <x:v>Modelled</x:v>
      </x:c>
      <x:c r="AE124" t="str">
        <x:v>2026 bridge AADT rebuilt from host-link traffic history, annual collection-link history, same-road corridor history and spatial count-station influence. Vehicle-class values are assigned from functional-class shares.</x:v>
      </x:c>
      <x:c r="AF124" t="str">
        <x:v>Placed on exact national road host link</x:v>
      </x:c>
    </x:row>
    <x:row r="125" ht="15" hidden="0" customHeight="1">
      <x:c r="A125" t="str">
        <x:v>bridge-124</x:v>
      </x:c>
      <x:c r="B125" t="str">
        <x:v>B109</x:v>
      </x:c>
      <x:c r="C125" t="str">
        <x:v>TSUTSU</x:v>
      </x:c>
      <x:c r="D125" t="str">
        <x:v>C867_Link02</x:v>
      </x:c>
      <x:c r="E125" t="str">
        <x:v>Bubulo-Bududa Circle road</x:v>
      </x:c>
      <x:c r="F125" t="str">
        <x:v>C</x:v>
      </x:c>
      <x:c r="G125" t="str">
        <x:v>Eastern</x:v>
      </x:c>
      <x:c r="H125" t="str">
        <x:v>Mbale</x:v>
      </x:c>
      <x:c r="I125" t="str">
        <x:v>TSUTSU</x:v>
      </x:c>
      <x:c r="J125" t="str">
        <x:v>Poor</x:v>
      </x:c>
      <x:c r="K125" t="n">
        <x:v>34.33168</x:v>
      </x:c>
      <x:c r="L125" t="n">
        <x:v>0.99758</x:v>
      </x:c>
      <x:c r="M125" t="n">
        <x:v>34.326436</x:v>
      </x:c>
      <x:c r="N125" t="n">
        <x:v>1.032512</x:v>
      </x:c>
      <x:c r="O125" t="n">
        <x:v>1588.56</x:v>
      </x:c>
      <x:c r="P125" t="n">
        <x:f>IFERROR(INDEX(Assumptions!$B$9:$B$13,MATCH(F125,Assumptions!$A$9:$A$13,0)),0.15)</x:f>
        <x:v>0.28</x:v>
      </x:c>
      <x:c r="Q125" t="n">
        <x:f>ROUND(O125*(1-P125),0)</x:f>
        <x:v>1144</x:v>
      </x:c>
      <x:c r="R125" t="n">
        <x:f>ROUND(O125*P125,0)</x:f>
        <x:v>445</x:v>
      </x:c>
      <x:c r="S125" t="n">
        <x:f>ROUND(O125*IFERROR(INDEX(Assumptions!$C$9:$C$13,MATCH(F125,Assumptions!$A$9:$A$13,0)),0.55),0)</x:f>
        <x:v>794</x:v>
      </x:c>
      <x:c r="T125" t="n">
        <x:f>ROUND(O125*IFERROR(INDEX(Assumptions!$D$9:$D$13,MATCH(F125,Assumptions!$A$9:$A$13,0)),0.06),0)</x:f>
        <x:v>79</x:v>
      </x:c>
      <x:c r="U125" t="n">
        <x:f>ROUND(O125*IFERROR(INDEX(Assumptions!$E$9:$E$13,MATCH(F125,Assumptions!$A$9:$A$13,0)),0.15),0)</x:f>
        <x:v>175</x:v>
      </x:c>
      <x:c r="V125" t="n">
        <x:f>MAX(0,O125-SUM(R125:U125))</x:f>
        <x:v>95.55999999999995</x:v>
      </x:c>
      <x:c r="W125" t="n">
        <x:f>MIN(100,40+IF(O125&gt;0,20,0)+IF(M125&lt;&gt;"",20,0)+IF(AF125&lt;&gt;"",20,0))</x:f>
        <x:v>100</x:v>
      </x:c>
      <x:c r="X125" t="str">
        <x:v>Placed on exact national road host link</x:v>
      </x:c>
      <x:c r="Y125" t="str">
        <x:v>Unpaved</x:v>
      </x:c>
      <x:c r="Z125" t="str">
        <x:v>C</x:v>
      </x:c>
      <x:c r="AA125" t="str">
        <x:v>Not available in governed source</x:v>
      </x:c>
      <x:c r="AB125" t="str">
        <x:v>Not available in governed source</x:v>
      </x:c>
      <x:c r="AC125" t="str">
        <x:v>FY2025/26</x:v>
      </x:c>
      <x:c r="AD125" t="str">
        <x:v>Modelled</x:v>
      </x:c>
      <x:c r="AE125" t="str">
        <x:v>2026 bridge AADT rebuilt from host-link traffic history, annual collection-link history, same-road corridor history and spatial count-station influence. Vehicle-class values are assigned from functional-class shares.</x:v>
      </x:c>
      <x:c r="AF125" t="str">
        <x:v>Placed on exact national road host link</x:v>
      </x:c>
    </x:row>
    <x:row r="126" ht="15" hidden="0" customHeight="1">
      <x:c r="A126" t="str">
        <x:v>bridge-125</x:v>
      </x:c>
      <x:c r="B126" t="str">
        <x:v>B110</x:v>
      </x:c>
      <x:c r="C126" t="str">
        <x:v>Manafa</x:v>
      </x:c>
      <x:c r="D126" t="str">
        <x:v>C867_Link02</x:v>
      </x:c>
      <x:c r="E126" t="str">
        <x:v>Bubulo-Bududa Circle road</x:v>
      </x:c>
      <x:c r="F126" t="str">
        <x:v>C</x:v>
      </x:c>
      <x:c r="G126" t="str">
        <x:v>Eastern</x:v>
      </x:c>
      <x:c r="H126" t="str">
        <x:v>Mbale</x:v>
      </x:c>
      <x:c r="I126" t="str">
        <x:v>Manafwa River</x:v>
      </x:c>
      <x:c r="J126" t="str">
        <x:v>Marginal</x:v>
      </x:c>
      <x:c r="K126" t="n">
        <x:v>34.369579</x:v>
      </x:c>
      <x:c r="L126" t="n">
        <x:v>1.00816</x:v>
      </x:c>
      <x:c r="M126" t="n">
        <x:v>34.366937</x:v>
      </x:c>
      <x:c r="N126" t="n">
        <x:v>1.010453</x:v>
      </x:c>
      <x:c r="O126" t="n">
        <x:v>1588.56</x:v>
      </x:c>
      <x:c r="P126" t="n">
        <x:f>IFERROR(INDEX(Assumptions!$B$9:$B$13,MATCH(F126,Assumptions!$A$9:$A$13,0)),0.15)</x:f>
        <x:v>0.28</x:v>
      </x:c>
      <x:c r="Q126" t="n">
        <x:f>ROUND(O126*(1-P126),0)</x:f>
        <x:v>1144</x:v>
      </x:c>
      <x:c r="R126" t="n">
        <x:f>ROUND(O126*P126,0)</x:f>
        <x:v>445</x:v>
      </x:c>
      <x:c r="S126" t="n">
        <x:f>ROUND(O126*IFERROR(INDEX(Assumptions!$C$9:$C$13,MATCH(F126,Assumptions!$A$9:$A$13,0)),0.55),0)</x:f>
        <x:v>794</x:v>
      </x:c>
      <x:c r="T126" t="n">
        <x:f>ROUND(O126*IFERROR(INDEX(Assumptions!$D$9:$D$13,MATCH(F126,Assumptions!$A$9:$A$13,0)),0.06),0)</x:f>
        <x:v>79</x:v>
      </x:c>
      <x:c r="U126" t="n">
        <x:f>ROUND(O126*IFERROR(INDEX(Assumptions!$E$9:$E$13,MATCH(F126,Assumptions!$A$9:$A$13,0)),0.15),0)</x:f>
        <x:v>175</x:v>
      </x:c>
      <x:c r="V126" t="n">
        <x:f>MAX(0,O126-SUM(R126:U126))</x:f>
        <x:v>95.55999999999995</x:v>
      </x:c>
      <x:c r="W126" t="n">
        <x:f>MIN(100,40+IF(O126&gt;0,20,0)+IF(M126&lt;&gt;"",20,0)+IF(AF126&lt;&gt;"",20,0))</x:f>
        <x:v>100</x:v>
      </x:c>
      <x:c r="X126" t="str">
        <x:v>Placed on exact national road host link</x:v>
      </x:c>
      <x:c r="Y126" t="str">
        <x:v>Unpaved</x:v>
      </x:c>
      <x:c r="Z126" t="str">
        <x:v>C</x:v>
      </x:c>
      <x:c r="AA126" t="str">
        <x:v>Not available in governed source</x:v>
      </x:c>
      <x:c r="AB126" t="str">
        <x:v>Not available in governed source</x:v>
      </x:c>
      <x:c r="AC126" t="str">
        <x:v>FY2025/26</x:v>
      </x:c>
      <x:c r="AD126" t="str">
        <x:v>Modelled</x:v>
      </x:c>
      <x:c r="AE126" t="str">
        <x:v>2026 bridge AADT rebuilt from host-link traffic history, annual collection-link history, same-road corridor history and spatial count-station influence. Vehicle-class values are assigned from functional-class shares.</x:v>
      </x:c>
      <x:c r="AF126" t="str">
        <x:v>Placed on exact national road host link</x:v>
      </x:c>
    </x:row>
    <x:row r="127" ht="15" hidden="0" customHeight="1">
      <x:c r="A127" t="str">
        <x:v>bridge-126</x:v>
      </x:c>
      <x:c r="B127" t="str">
        <x:v>B111</x:v>
      </x:c>
      <x:c r="C127" t="str">
        <x:v>Manafwa</x:v>
      </x:c>
      <x:c r="D127" t="str">
        <x:v>C867_LINK02</x:v>
      </x:c>
      <x:c r="E127" t="str">
        <x:v>Bubulo-Bududa Circle road</x:v>
      </x:c>
      <x:c r="F127" t="str">
        <x:v>C</x:v>
      </x:c>
      <x:c r="G127" t="str">
        <x:v>Eastern</x:v>
      </x:c>
      <x:c r="H127" t="str">
        <x:v>Mbale</x:v>
      </x:c>
      <x:c r="I127" t="str">
        <x:v>Manafwa River</x:v>
      </x:c>
      <x:c r="J127" t="str">
        <x:v>Good</x:v>
      </x:c>
      <x:c r="K127" t="n">
        <x:v>34.361641</x:v>
      </x:c>
      <x:c r="L127" t="n">
        <x:v>1.003715</x:v>
      </x:c>
      <x:c r="M127" t="n">
        <x:v>34.361333</x:v>
      </x:c>
      <x:c r="N127" t="n">
        <x:v>1.003988</x:v>
      </x:c>
      <x:c r="O127" t="n">
        <x:v>1588.56</x:v>
      </x:c>
      <x:c r="P127" t="n">
        <x:f>IFERROR(INDEX(Assumptions!$B$9:$B$13,MATCH(F127,Assumptions!$A$9:$A$13,0)),0.15)</x:f>
        <x:v>0.28</x:v>
      </x:c>
      <x:c r="Q127" t="n">
        <x:f>ROUND(O127*(1-P127),0)</x:f>
        <x:v>1144</x:v>
      </x:c>
      <x:c r="R127" t="n">
        <x:f>ROUND(O127*P127,0)</x:f>
        <x:v>445</x:v>
      </x:c>
      <x:c r="S127" t="n">
        <x:f>ROUND(O127*IFERROR(INDEX(Assumptions!$C$9:$C$13,MATCH(F127,Assumptions!$A$9:$A$13,0)),0.55),0)</x:f>
        <x:v>794</x:v>
      </x:c>
      <x:c r="T127" t="n">
        <x:f>ROUND(O127*IFERROR(INDEX(Assumptions!$D$9:$D$13,MATCH(F127,Assumptions!$A$9:$A$13,0)),0.06),0)</x:f>
        <x:v>79</x:v>
      </x:c>
      <x:c r="U127" t="n">
        <x:f>ROUND(O127*IFERROR(INDEX(Assumptions!$E$9:$E$13,MATCH(F127,Assumptions!$A$9:$A$13,0)),0.15),0)</x:f>
        <x:v>175</x:v>
      </x:c>
      <x:c r="V127" t="n">
        <x:f>MAX(0,O127-SUM(R127:U127))</x:f>
        <x:v>95.55999999999995</x:v>
      </x:c>
      <x:c r="W127" t="n">
        <x:f>MIN(100,40+IF(O127&gt;0,20,0)+IF(M127&lt;&gt;"",20,0)+IF(AF127&lt;&gt;"",20,0))</x:f>
        <x:v>100</x:v>
      </x:c>
      <x:c r="X127" t="str">
        <x:v>Placed on exact national road host link</x:v>
      </x:c>
      <x:c r="Y127" t="str">
        <x:v>Unpaved</x:v>
      </x:c>
      <x:c r="Z127" t="str">
        <x:v>C</x:v>
      </x:c>
      <x:c r="AA127" t="str">
        <x:v>Not available in governed source</x:v>
      </x:c>
      <x:c r="AB127" t="str">
        <x:v>Not available in governed source</x:v>
      </x:c>
      <x:c r="AC127" t="str">
        <x:v>FY2025/26</x:v>
      </x:c>
      <x:c r="AD127" t="str">
        <x:v>Modelled</x:v>
      </x:c>
      <x:c r="AE127" t="str">
        <x:v>2026 bridge AADT rebuilt from host-link traffic history, annual collection-link history, same-road corridor history and spatial count-station influence. Vehicle-class values are assigned from functional-class shares.</x:v>
      </x:c>
      <x:c r="AF127" t="str">
        <x:v>Placed on exact national road host link</x:v>
      </x:c>
    </x:row>
    <x:row r="128" ht="15" hidden="0" customHeight="1">
      <x:c r="A128" t="str">
        <x:v>bridge-127</x:v>
      </x:c>
      <x:c r="B128" t="str">
        <x:v>B112</x:v>
      </x:c>
      <x:c r="C128" t="str">
        <x:v>MANAFA</x:v>
      </x:c>
      <x:c r="D128" t="str">
        <x:v>C870_Link01</x:v>
      </x:c>
      <x:c r="E128" t="str">
        <x:v>Bubulo-Busumbu</x:v>
      </x:c>
      <x:c r="F128" t="str">
        <x:v>C</x:v>
      </x:c>
      <x:c r="G128" t="str">
        <x:v>Eastern</x:v>
      </x:c>
      <x:c r="H128" t="str">
        <x:v>Mbale</x:v>
      </x:c>
      <x:c r="I128" t="str">
        <x:v>MANAFA</x:v>
      </x:c>
      <x:c r="J128" t="str">
        <x:v>Good</x:v>
      </x:c>
      <x:c r="K128" t="n">
        <x:v>34.280281</x:v>
      </x:c>
      <x:c r="L128" t="n">
        <x:v>0.94066</x:v>
      </x:c>
      <x:c r="M128" t="n">
        <x:v>34.282917</x:v>
      </x:c>
      <x:c r="N128" t="n">
        <x:v>0.835691</x:v>
      </x:c>
      <x:c r="O128" t="n">
        <x:v>1588.56</x:v>
      </x:c>
      <x:c r="P128" t="n">
        <x:f>IFERROR(INDEX(Assumptions!$B$9:$B$13,MATCH(F128,Assumptions!$A$9:$A$13,0)),0.15)</x:f>
        <x:v>0.28</x:v>
      </x:c>
      <x:c r="Q128" t="n">
        <x:f>ROUND(O128*(1-P128),0)</x:f>
        <x:v>1144</x:v>
      </x:c>
      <x:c r="R128" t="n">
        <x:f>ROUND(O128*P128,0)</x:f>
        <x:v>445</x:v>
      </x:c>
      <x:c r="S128" t="n">
        <x:f>ROUND(O128*IFERROR(INDEX(Assumptions!$C$9:$C$13,MATCH(F128,Assumptions!$A$9:$A$13,0)),0.55),0)</x:f>
        <x:v>794</x:v>
      </x:c>
      <x:c r="T128" t="n">
        <x:f>ROUND(O128*IFERROR(INDEX(Assumptions!$D$9:$D$13,MATCH(F128,Assumptions!$A$9:$A$13,0)),0.06),0)</x:f>
        <x:v>79</x:v>
      </x:c>
      <x:c r="U128" t="n">
        <x:f>ROUND(O128*IFERROR(INDEX(Assumptions!$E$9:$E$13,MATCH(F128,Assumptions!$A$9:$A$13,0)),0.15),0)</x:f>
        <x:v>175</x:v>
      </x:c>
      <x:c r="V128" t="n">
        <x:f>MAX(0,O128-SUM(R128:U128))</x:f>
        <x:v>95.55999999999995</x:v>
      </x:c>
      <x:c r="W128" t="n">
        <x:f>MIN(100,40+IF(O128&gt;0,20,0)+IF(M128&lt;&gt;"",20,0)+IF(AF128&lt;&gt;"",20,0))</x:f>
        <x:v>100</x:v>
      </x:c>
      <x:c r="X128" t="str">
        <x:v>Placed on exact national road host link</x:v>
      </x:c>
      <x:c r="Y128" t="str">
        <x:v>Paved</x:v>
      </x:c>
      <x:c r="Z128" t="str">
        <x:v>C</x:v>
      </x:c>
      <x:c r="AA128" t="str">
        <x:v>Not available in governed source</x:v>
      </x:c>
      <x:c r="AB128" t="str">
        <x:v>Not available in governed source</x:v>
      </x:c>
      <x:c r="AC128" t="str">
        <x:v>FY2025/26</x:v>
      </x:c>
      <x:c r="AD128" t="str">
        <x:v>Modelled</x:v>
      </x:c>
      <x:c r="AE128" t="str">
        <x:v>2026 bridge AADT rebuilt from host-link traffic history, annual collection-link history, same-road corridor history and spatial count-station influence. Vehicle-class values are assigned from functional-class shares.</x:v>
      </x:c>
      <x:c r="AF128" t="str">
        <x:v>Placed on exact national road host link</x:v>
      </x:c>
    </x:row>
    <x:row r="129" ht="15" hidden="0" customHeight="1">
      <x:c r="A129" t="str">
        <x:v>bridge-128</x:v>
      </x:c>
      <x:c r="B129" t="str">
        <x:v>B113</x:v>
      </x:c>
      <x:c r="C129" t="str">
        <x:v>NAMUNYIRI</x:v>
      </x:c>
      <x:c r="D129" t="str">
        <x:v>C870_Link02</x:v>
      </x:c>
      <x:c r="E129" t="str">
        <x:v>Busumbu - Munamba</x:v>
      </x:c>
      <x:c r="F129" t="str">
        <x:v>C</x:v>
      </x:c>
      <x:c r="G129" t="str">
        <x:v>Eastern</x:v>
      </x:c>
      <x:c r="H129" t="str">
        <x:v>Tororo</x:v>
      </x:c>
      <x:c r="I129" t="str">
        <x:v>NAMUNYIRI</x:v>
      </x:c>
      <x:c r="J129" t="str">
        <x:v>Good</x:v>
      </x:c>
      <x:c r="K129" t="n">
        <x:v>34.34417</x:v>
      </x:c>
      <x:c r="L129" t="n">
        <x:v>0.81437</x:v>
      </x:c>
      <x:c r="M129" t="n">
        <x:v>34.285518</x:v>
      </x:c>
      <x:c r="N129" t="n">
        <x:v>0.833619</x:v>
      </x:c>
      <x:c r="O129" t="n">
        <x:v>1588.56</x:v>
      </x:c>
      <x:c r="P129" t="n">
        <x:f>IFERROR(INDEX(Assumptions!$B$9:$B$13,MATCH(F129,Assumptions!$A$9:$A$13,0)),0.15)</x:f>
        <x:v>0.28</x:v>
      </x:c>
      <x:c r="Q129" t="n">
        <x:f>ROUND(O129*(1-P129),0)</x:f>
        <x:v>1144</x:v>
      </x:c>
      <x:c r="R129" t="n">
        <x:f>ROUND(O129*P129,0)</x:f>
        <x:v>445</x:v>
      </x:c>
      <x:c r="S129" t="n">
        <x:f>ROUND(O129*IFERROR(INDEX(Assumptions!$C$9:$C$13,MATCH(F129,Assumptions!$A$9:$A$13,0)),0.55),0)</x:f>
        <x:v>794</x:v>
      </x:c>
      <x:c r="T129" t="n">
        <x:f>ROUND(O129*IFERROR(INDEX(Assumptions!$D$9:$D$13,MATCH(F129,Assumptions!$A$9:$A$13,0)),0.06),0)</x:f>
        <x:v>79</x:v>
      </x:c>
      <x:c r="U129" t="n">
        <x:f>ROUND(O129*IFERROR(INDEX(Assumptions!$E$9:$E$13,MATCH(F129,Assumptions!$A$9:$A$13,0)),0.15),0)</x:f>
        <x:v>175</x:v>
      </x:c>
      <x:c r="V129" t="n">
        <x:f>MAX(0,O129-SUM(R129:U129))</x:f>
        <x:v>95.55999999999995</x:v>
      </x:c>
      <x:c r="W129" t="n">
        <x:f>MIN(100,40+IF(O129&gt;0,20,0)+IF(M129&lt;&gt;"",20,0)+IF(AF129&lt;&gt;"",20,0))</x:f>
        <x:v>100</x:v>
      </x:c>
      <x:c r="X129" t="str">
        <x:v>Placed on exact national road host link</x:v>
      </x:c>
      <x:c r="Y129" t="str">
        <x:v>Paved</x:v>
      </x:c>
      <x:c r="Z129" t="str">
        <x:v>C</x:v>
      </x:c>
      <x:c r="AA129" t="str">
        <x:v>Not available in governed source</x:v>
      </x:c>
      <x:c r="AB129" t="str">
        <x:v>Not available in governed source</x:v>
      </x:c>
      <x:c r="AC129" t="str">
        <x:v>FY2025/26</x:v>
      </x:c>
      <x:c r="AD129" t="str">
        <x:v>Modelled</x:v>
      </x:c>
      <x:c r="AE129" t="str">
        <x:v>2026 bridge AADT rebuilt from host-link traffic history, annual collection-link history, same-road corridor history and spatial count-station influence. Vehicle-class values are assigned from functional-class shares.</x:v>
      </x:c>
      <x:c r="AF129" t="str">
        <x:v>Placed on exact national road host link</x:v>
      </x:c>
    </x:row>
    <x:row r="130" ht="15" hidden="0" customHeight="1">
      <x:c r="A130" t="str">
        <x:v>bridge-129</x:v>
      </x:c>
      <x:c r="B130" t="str">
        <x:v>B114</x:v>
      </x:c>
      <x:c r="C130" t="str">
        <x:v>MBIGI</x:v>
      </x:c>
      <x:c r="D130" t="str">
        <x:v>C871_Link01</x:v>
      </x:c>
      <x:c r="E130" t="str">
        <x:v>Simu corner - Kaserem</x:v>
      </x:c>
      <x:c r="F130" t="str">
        <x:v>C</x:v>
      </x:c>
      <x:c r="G130" t="str">
        <x:v>Eastern</x:v>
      </x:c>
      <x:c r="H130" t="str">
        <x:v>Mbale</x:v>
      </x:c>
      <x:c r="I130" t="str">
        <x:v>YEMBE</x:v>
      </x:c>
      <x:c r="J130" t="str">
        <x:v>Good</x:v>
      </x:c>
      <x:c r="K130" t="n">
        <x:v>34.328812</x:v>
      </x:c>
      <x:c r="L130" t="n">
        <x:v>1.308</x:v>
      </x:c>
      <x:c r="M130" t="n">
        <x:v>34.338265</x:v>
      </x:c>
      <x:c r="N130" t="n">
        <x:v>1.319924</x:v>
      </x:c>
      <x:c r="O130" t="n">
        <x:v>854.78</x:v>
      </x:c>
      <x:c r="P130" t="n">
        <x:f>IFERROR(INDEX(Assumptions!$B$9:$B$13,MATCH(F130,Assumptions!$A$9:$A$13,0)),0.15)</x:f>
        <x:v>0.28</x:v>
      </x:c>
      <x:c r="Q130" t="n">
        <x:f>ROUND(O130*(1-P130),0)</x:f>
        <x:v>615</x:v>
      </x:c>
      <x:c r="R130" t="n">
        <x:f>ROUND(O130*P130,0)</x:f>
        <x:v>239</x:v>
      </x:c>
      <x:c r="S130" t="n">
        <x:f>ROUND(O130*IFERROR(INDEX(Assumptions!$C$9:$C$13,MATCH(F130,Assumptions!$A$9:$A$13,0)),0.55),0)</x:f>
        <x:v>427</x:v>
      </x:c>
      <x:c r="T130" t="n">
        <x:f>ROUND(O130*IFERROR(INDEX(Assumptions!$D$9:$D$13,MATCH(F130,Assumptions!$A$9:$A$13,0)),0.06),0)</x:f>
        <x:v>43</x:v>
      </x:c>
      <x:c r="U130" t="n">
        <x:f>ROUND(O130*IFERROR(INDEX(Assumptions!$E$9:$E$13,MATCH(F130,Assumptions!$A$9:$A$13,0)),0.15),0)</x:f>
        <x:v>94</x:v>
      </x:c>
      <x:c r="V130" t="n">
        <x:f>MAX(0,O130-SUM(R130:U130))</x:f>
        <x:v>51.77999999999997</x:v>
      </x:c>
      <x:c r="W130" t="n">
        <x:f>MIN(100,40+IF(O130&gt;0,20,0)+IF(M130&lt;&gt;"",20,0)+IF(AF130&lt;&gt;"",20,0))</x:f>
        <x:v>100</x:v>
      </x:c>
      <x:c r="X130" t="str">
        <x:v>Placed on exact national road host link</x:v>
      </x:c>
      <x:c r="Y130" t="str">
        <x:v>Unpaved</x:v>
      </x:c>
      <x:c r="Z130" t="str">
        <x:v>C</x:v>
      </x:c>
      <x:c r="AA130" t="str">
        <x:v>Not available in governed source</x:v>
      </x:c>
      <x:c r="AB130" t="str">
        <x:v>Not available in governed source</x:v>
      </x:c>
      <x:c r="AC130" t="str">
        <x:v>FY2025/26</x:v>
      </x:c>
      <x:c r="AD130" t="str">
        <x:v>Modelled</x:v>
      </x:c>
      <x:c r="AE130" t="str">
        <x:v>2026 bridge AADT rebuilt from host-link traffic history, annual collection-link history, same-road corridor history and spatial count-station influence. Vehicle-class values are assigned from functional-class shares.</x:v>
      </x:c>
      <x:c r="AF130" t="str">
        <x:v>Placed on exact national road host link</x:v>
      </x:c>
    </x:row>
    <x:row r="131" ht="15" hidden="0" customHeight="1">
      <x:c r="A131" t="str">
        <x:v>bridge-130</x:v>
      </x:c>
      <x:c r="B131" t="str">
        <x:v>B115</x:v>
      </x:c>
      <x:c r="C131" t="str">
        <x:v>KUMI</x:v>
      </x:c>
      <x:c r="D131" t="str">
        <x:v>C920_Link01</x:v>
      </x:c>
      <x:c r="E131" t="str">
        <x:v>Kumi-Brooks corner</x:v>
      </x:c>
      <x:c r="F131" t="str">
        <x:v>C</x:v>
      </x:c>
      <x:c r="G131" t="str">
        <x:v>North Eastern</x:v>
      </x:c>
      <x:c r="H131" t="str">
        <x:v>Soroti</x:v>
      </x:c>
      <x:c r="I131" t="str">
        <x:v>AMOKOKA</x:v>
      </x:c>
      <x:c r="J131" t="str">
        <x:v>Good</x:v>
      </x:c>
      <x:c r="K131" t="n">
        <x:v>33.699699</x:v>
      </x:c>
      <x:c r="L131" t="n">
        <x:v>1.46854</x:v>
      </x:c>
      <x:c r="M131" t="n">
        <x:v>33.55097</x:v>
      </x:c>
      <x:c r="N131" t="n">
        <x:v>1.500244</x:v>
      </x:c>
      <x:c r="O131" t="n">
        <x:v>3855.92</x:v>
      </x:c>
      <x:c r="P131" t="n">
        <x:f>IFERROR(INDEX(Assumptions!$B$9:$B$13,MATCH(F131,Assumptions!$A$9:$A$13,0)),0.15)</x:f>
        <x:v>0.28</x:v>
      </x:c>
      <x:c r="Q131" t="n">
        <x:f>ROUND(O131*(1-P131),0)</x:f>
        <x:v>2776</x:v>
      </x:c>
      <x:c r="R131" t="n">
        <x:f>ROUND(O131*P131,0)</x:f>
        <x:v>1080</x:v>
      </x:c>
      <x:c r="S131" t="n">
        <x:f>ROUND(O131*IFERROR(INDEX(Assumptions!$C$9:$C$13,MATCH(F131,Assumptions!$A$9:$A$13,0)),0.55),0)</x:f>
        <x:v>1928</x:v>
      </x:c>
      <x:c r="T131" t="n">
        <x:f>ROUND(O131*IFERROR(INDEX(Assumptions!$D$9:$D$13,MATCH(F131,Assumptions!$A$9:$A$13,0)),0.06),0)</x:f>
        <x:v>193</x:v>
      </x:c>
      <x:c r="U131" t="n">
        <x:f>ROUND(O131*IFERROR(INDEX(Assumptions!$E$9:$E$13,MATCH(F131,Assumptions!$A$9:$A$13,0)),0.15),0)</x:f>
        <x:v>424</x:v>
      </x:c>
      <x:c r="V131" t="n">
        <x:f>MAX(0,O131-SUM(R131:U131))</x:f>
        <x:v>230.92000000000007</x:v>
      </x:c>
      <x:c r="W131" t="n">
        <x:f>MIN(100,40+IF(O131&gt;0,20,0)+IF(M131&lt;&gt;"",20,0)+IF(AF131&lt;&gt;"",20,0))</x:f>
        <x:v>100</x:v>
      </x:c>
      <x:c r="X131" t="str">
        <x:v>Placed on exact national road host link</x:v>
      </x:c>
      <x:c r="Y131" t="str">
        <x:v>Unpaved</x:v>
      </x:c>
      <x:c r="Z131" t="str">
        <x:v>C</x:v>
      </x:c>
      <x:c r="AA131" t="str">
        <x:v>Not available in governed source</x:v>
      </x:c>
      <x:c r="AB131" t="str">
        <x:v>Not available in governed source</x:v>
      </x:c>
      <x:c r="AC131" t="str">
        <x:v>FY2025/26</x:v>
      </x:c>
      <x:c r="AD131" t="str">
        <x:v>Modelled</x:v>
      </x:c>
      <x:c r="AE131" t="str">
        <x:v>2026 bridge AADT rebuilt from host-link traffic history, annual collection-link history, same-road corridor history and spatial count-station influence. Vehicle-class values are assigned from functional-class shares.</x:v>
      </x:c>
      <x:c r="AF131" t="str">
        <x:v>Placed on exact national road host link</x:v>
      </x:c>
    </x:row>
    <x:row r="132" ht="15" hidden="0" customHeight="1">
      <x:c r="A132" t="str">
        <x:v>bridge-131</x:v>
      </x:c>
      <x:c r="B132" t="str">
        <x:v>B116</x:v>
      </x:c>
      <x:c r="C132" t="str">
        <x:v>ABUKET</x:v>
      </x:c>
      <x:c r="D132" t="str">
        <x:v>C920_Link01</x:v>
      </x:c>
      <x:c r="E132" t="str">
        <x:v>Kumi-Brooks corner</x:v>
      </x:c>
      <x:c r="F132" t="str">
        <x:v>C</x:v>
      </x:c>
      <x:c r="G132" t="str">
        <x:v>North Eastern</x:v>
      </x:c>
      <x:c r="H132" t="str">
        <x:v>Soroti</x:v>
      </x:c>
      <x:c r="I132" t="str">
        <x:v>ABUKET</x:v>
      </x:c>
      <x:c r="J132" t="str">
        <x:v>Good</x:v>
      </x:c>
      <x:c r="K132" t="n">
        <x:v>33.654381</x:v>
      </x:c>
      <x:c r="L132" t="n">
        <x:v>1.45332</x:v>
      </x:c>
      <x:c r="M132" t="n">
        <x:v>33.55097</x:v>
      </x:c>
      <x:c r="N132" t="n">
        <x:v>1.500244</x:v>
      </x:c>
      <x:c r="O132" t="n">
        <x:v>3855.92</x:v>
      </x:c>
      <x:c r="P132" t="n">
        <x:f>IFERROR(INDEX(Assumptions!$B$9:$B$13,MATCH(F132,Assumptions!$A$9:$A$13,0)),0.15)</x:f>
        <x:v>0.28</x:v>
      </x:c>
      <x:c r="Q132" t="n">
        <x:f>ROUND(O132*(1-P132),0)</x:f>
        <x:v>2776</x:v>
      </x:c>
      <x:c r="R132" t="n">
        <x:f>ROUND(O132*P132,0)</x:f>
        <x:v>1080</x:v>
      </x:c>
      <x:c r="S132" t="n">
        <x:f>ROUND(O132*IFERROR(INDEX(Assumptions!$C$9:$C$13,MATCH(F132,Assumptions!$A$9:$A$13,0)),0.55),0)</x:f>
        <x:v>1928</x:v>
      </x:c>
      <x:c r="T132" t="n">
        <x:f>ROUND(O132*IFERROR(INDEX(Assumptions!$D$9:$D$13,MATCH(F132,Assumptions!$A$9:$A$13,0)),0.06),0)</x:f>
        <x:v>193</x:v>
      </x:c>
      <x:c r="U132" t="n">
        <x:f>ROUND(O132*IFERROR(INDEX(Assumptions!$E$9:$E$13,MATCH(F132,Assumptions!$A$9:$A$13,0)),0.15),0)</x:f>
        <x:v>424</x:v>
      </x:c>
      <x:c r="V132" t="n">
        <x:f>MAX(0,O132-SUM(R132:U132))</x:f>
        <x:v>230.92000000000007</x:v>
      </x:c>
      <x:c r="W132" t="n">
        <x:f>MIN(100,40+IF(O132&gt;0,20,0)+IF(M132&lt;&gt;"",20,0)+IF(AF132&lt;&gt;"",20,0))</x:f>
        <x:v>100</x:v>
      </x:c>
      <x:c r="X132" t="str">
        <x:v>Placed on exact national road host link</x:v>
      </x:c>
      <x:c r="Y132" t="str">
        <x:v>Unpaved</x:v>
      </x:c>
      <x:c r="Z132" t="str">
        <x:v>C</x:v>
      </x:c>
      <x:c r="AA132" t="str">
        <x:v>Not available in governed source</x:v>
      </x:c>
      <x:c r="AB132" t="str">
        <x:v>Not available in governed source</x:v>
      </x:c>
      <x:c r="AC132" t="str">
        <x:v>FY2025/26</x:v>
      </x:c>
      <x:c r="AD132" t="str">
        <x:v>Modelled</x:v>
      </x:c>
      <x:c r="AE132" t="str">
        <x:v>2026 bridge AADT rebuilt from host-link traffic history, annual collection-link history, same-road corridor history and spatial count-station influence. Vehicle-class values are assigned from functional-class shares.</x:v>
      </x:c>
      <x:c r="AF132" t="str">
        <x:v>Placed on exact national road host link</x:v>
      </x:c>
    </x:row>
    <x:row r="133" ht="15" hidden="0" customHeight="1">
      <x:c r="A133" t="str">
        <x:v>bridge-132</x:v>
      </x:c>
      <x:c r="B133" t="str">
        <x:v>B117</x:v>
      </x:c>
      <x:c r="C133" t="str">
        <x:v>TOCHI BRIDGE</x:v>
      </x:c>
      <x:c r="D133" t="str">
        <x:v>A006_Link11</x:v>
      </x:c>
      <x:c r="E133" t="str">
        <x:v>Minakulu - Bobi - Gulu</x:v>
      </x:c>
      <x:c r="F133" t="str">
        <x:v>A</x:v>
      </x:c>
      <x:c r="G133" t="str">
        <x:v>Northern</x:v>
      </x:c>
      <x:c r="H133" t="str">
        <x:v>Gulu</x:v>
      </x:c>
      <x:c r="I133" t="str">
        <x:v>TOCHI RIVER</x:v>
      </x:c>
      <x:c r="J133" t="str">
        <x:v>Marginal</x:v>
      </x:c>
      <x:c r="K133" t="n">
        <x:v>32.33297</x:v>
      </x:c>
      <x:c r="L133" t="n">
        <x:v>2.624604</x:v>
      </x:c>
      <x:c r="M133" t="n">
        <x:v>32.366309</x:v>
      </x:c>
      <x:c r="N133" t="n">
        <x:v>2.504555</x:v>
      </x:c>
      <x:c r="O133" t="n">
        <x:v>3453.82</x:v>
      </x:c>
      <x:c r="P133" t="n">
        <x:f>IFERROR(INDEX(Assumptions!$B$9:$B$13,MATCH(F133,Assumptions!$A$9:$A$13,0)),0.15)</x:f>
        <x:v>0.12</x:v>
      </x:c>
      <x:c r="Q133" t="n">
        <x:f>ROUND(O133*(1-P133),0)</x:f>
        <x:v>3039</x:v>
      </x:c>
      <x:c r="R133" t="n">
        <x:f>ROUND(O133*P133,0)</x:f>
        <x:v>414</x:v>
      </x:c>
      <x:c r="S133" t="n">
        <x:f>ROUND(O133*IFERROR(INDEX(Assumptions!$C$9:$C$13,MATCH(F133,Assumptions!$A$9:$A$13,0)),0.55),0)</x:f>
        <x:v>2003</x:v>
      </x:c>
      <x:c r="T133" t="n">
        <x:f>ROUND(O133*IFERROR(INDEX(Assumptions!$D$9:$D$13,MATCH(F133,Assumptions!$A$9:$A$13,0)),0.06),0)</x:f>
        <x:v>276</x:v>
      </x:c>
      <x:c r="U133" t="n">
        <x:f>ROUND(O133*IFERROR(INDEX(Assumptions!$E$9:$E$13,MATCH(F133,Assumptions!$A$9:$A$13,0)),0.15),0)</x:f>
        <x:v>622</x:v>
      </x:c>
      <x:c r="V133" t="n">
        <x:f>MAX(0,O133-SUM(R133:U133))</x:f>
        <x:v>138.82000000000016</x:v>
      </x:c>
      <x:c r="W133" t="n">
        <x:f>MIN(100,40+IF(O133&gt;0,20,0)+IF(M133&lt;&gt;"",20,0)+IF(AF133&lt;&gt;"",20,0))</x:f>
        <x:v>100</x:v>
      </x:c>
      <x:c r="X133" t="str">
        <x:v>Placed on exact national road host link</x:v>
      </x:c>
      <x:c r="Y133" t="str">
        <x:v>Paved</x:v>
      </x:c>
      <x:c r="Z133" t="str">
        <x:v>A</x:v>
      </x:c>
      <x:c r="AA133" t="str">
        <x:v>Not available in governed source</x:v>
      </x:c>
      <x:c r="AB133" t="str">
        <x:v>Not available in governed source</x:v>
      </x:c>
      <x:c r="AC133" t="str">
        <x:v>FY2025/26</x:v>
      </x:c>
      <x:c r="AD133" t="str">
        <x:v>Modelled</x:v>
      </x:c>
      <x:c r="AE133" t="str">
        <x:v>2026 bridge AADT rebuilt from host-link traffic history, annual collection-link history, same-road corridor history and spatial count-station influence. Vehicle-class values are assigned from functional-class shares.</x:v>
      </x:c>
      <x:c r="AF133" t="str">
        <x:v>Placed on exact national road host link</x:v>
      </x:c>
    </x:row>
    <x:row r="134" ht="15" hidden="0" customHeight="1">
      <x:c r="A134" t="str">
        <x:v>bridge-133</x:v>
      </x:c>
      <x:c r="B134" t="str">
        <x:v>B118</x:v>
      </x:c>
      <x:c r="C134" t="str">
        <x:v>Unyama</x:v>
      </x:c>
      <x:c r="D134" t="str">
        <x:v>A006_Link13</x:v>
      </x:c>
      <x:c r="E134" t="str">
        <x:v>Atiak - Nimule(Uganda/Sudan border)</x:v>
      </x:c>
      <x:c r="F134" t="str">
        <x:v>A</x:v>
      </x:c>
      <x:c r="G134" t="str">
        <x:v>Northern</x:v>
      </x:c>
      <x:c r="H134" t="str">
        <x:v>Gulu</x:v>
      </x:c>
      <x:c r="I134" t="str">
        <x:v>Unyama River</x:v>
      </x:c>
      <x:c r="J134" t="str">
        <x:v>Marginal</x:v>
      </x:c>
      <x:c r="K134" t="n">
        <x:v>32.072166</x:v>
      </x:c>
      <x:c r="L134" t="n">
        <x:v>3.569871</x:v>
      </x:c>
      <x:c r="M134" t="n">
        <x:v>32.072588</x:v>
      </x:c>
      <x:c r="N134" t="n">
        <x:v>3.56966</x:v>
      </x:c>
      <x:c r="O134" t="n">
        <x:v>3453.82</x:v>
      </x:c>
      <x:c r="P134" t="n">
        <x:f>IFERROR(INDEX(Assumptions!$B$9:$B$13,MATCH(F134,Assumptions!$A$9:$A$13,0)),0.15)</x:f>
        <x:v>0.12</x:v>
      </x:c>
      <x:c r="Q134" t="n">
        <x:f>ROUND(O134*(1-P134),0)</x:f>
        <x:v>3039</x:v>
      </x:c>
      <x:c r="R134" t="n">
        <x:f>ROUND(O134*P134,0)</x:f>
        <x:v>414</x:v>
      </x:c>
      <x:c r="S134" t="n">
        <x:f>ROUND(O134*IFERROR(INDEX(Assumptions!$C$9:$C$13,MATCH(F134,Assumptions!$A$9:$A$13,0)),0.55),0)</x:f>
        <x:v>2003</x:v>
      </x:c>
      <x:c r="T134" t="n">
        <x:f>ROUND(O134*IFERROR(INDEX(Assumptions!$D$9:$D$13,MATCH(F134,Assumptions!$A$9:$A$13,0)),0.06),0)</x:f>
        <x:v>276</x:v>
      </x:c>
      <x:c r="U134" t="n">
        <x:f>ROUND(O134*IFERROR(INDEX(Assumptions!$E$9:$E$13,MATCH(F134,Assumptions!$A$9:$A$13,0)),0.15),0)</x:f>
        <x:v>622</x:v>
      </x:c>
      <x:c r="V134" t="n">
        <x:f>MAX(0,O134-SUM(R134:U134))</x:f>
        <x:v>138.82000000000016</x:v>
      </x:c>
      <x:c r="W134" t="n">
        <x:f>MIN(100,40+IF(O134&gt;0,20,0)+IF(M134&lt;&gt;"",20,0)+IF(AF134&lt;&gt;"",20,0))</x:f>
        <x:v>100</x:v>
      </x:c>
      <x:c r="X134" t="str">
        <x:v>Placed on exact national road host link</x:v>
      </x:c>
      <x:c r="Y134" t="str">
        <x:v>Paved</x:v>
      </x:c>
      <x:c r="Z134" t="str">
        <x:v>A</x:v>
      </x:c>
      <x:c r="AA134" t="str">
        <x:v>Not available in governed source</x:v>
      </x:c>
      <x:c r="AB134" t="str">
        <x:v>Not available in governed source</x:v>
      </x:c>
      <x:c r="AC134" t="str">
        <x:v>FY2025/26</x:v>
      </x:c>
      <x:c r="AD134" t="str">
        <x:v>Modelled</x:v>
      </x:c>
      <x:c r="AE134" t="str">
        <x:v>2026 bridge AADT rebuilt from host-link traffic history, annual collection-link history, same-road corridor history and spatial count-station influence. Vehicle-class values are assigned from functional-class shares.</x:v>
      </x:c>
      <x:c r="AF134" t="str">
        <x:v>Placed on exact national road host link</x:v>
      </x:c>
    </x:row>
    <x:row r="135" ht="15" hidden="0" customHeight="1">
      <x:c r="A135" t="str">
        <x:v>bridge-134</x:v>
      </x:c>
      <x:c r="B135" t="str">
        <x:v>B119</x:v>
      </x:c>
      <x:c r="C135" t="str">
        <x:v>ENYAU BRIDGE</x:v>
      </x:c>
      <x:c r="D135" t="str">
        <x:v>A008_Link06</x:v>
      </x:c>
      <x:c r="E135" t="str">
        <x:v>Manibe - Maracha - Koboko</x:v>
      </x:c>
      <x:c r="F135" t="str">
        <x:v>A</x:v>
      </x:c>
      <x:c r="G135" t="str">
        <x:v>Northern</x:v>
      </x:c>
      <x:c r="H135" t="str">
        <x:v>Arua</x:v>
      </x:c>
      <x:c r="I135" t="str">
        <x:v>ENYAU RIVER</x:v>
      </x:c>
      <x:c r="J135" t="str">
        <x:v>Satisfactory</x:v>
      </x:c>
      <x:c r="K135" t="n">
        <x:v>30.905371</x:v>
      </x:c>
      <x:c r="L135" t="n">
        <x:v>3.090026</x:v>
      </x:c>
      <x:c r="M135" t="n">
        <x:v>30.906898</x:v>
      </x:c>
      <x:c r="N135" t="n">
        <x:v>3.089331</x:v>
      </x:c>
      <x:c r="O135" t="n">
        <x:v>5279.92</x:v>
      </x:c>
      <x:c r="P135" t="n">
        <x:f>IFERROR(INDEX(Assumptions!$B$9:$B$13,MATCH(F135,Assumptions!$A$9:$A$13,0)),0.15)</x:f>
        <x:v>0.12</x:v>
      </x:c>
      <x:c r="Q135" t="n">
        <x:f>ROUND(O135*(1-P135),0)</x:f>
        <x:v>4646</x:v>
      </x:c>
      <x:c r="R135" t="n">
        <x:f>ROUND(O135*P135,0)</x:f>
        <x:v>634</x:v>
      </x:c>
      <x:c r="S135" t="n">
        <x:f>ROUND(O135*IFERROR(INDEX(Assumptions!$C$9:$C$13,MATCH(F135,Assumptions!$A$9:$A$13,0)),0.55),0)</x:f>
        <x:v>3062</x:v>
      </x:c>
      <x:c r="T135" t="n">
        <x:f>ROUND(O135*IFERROR(INDEX(Assumptions!$D$9:$D$13,MATCH(F135,Assumptions!$A$9:$A$13,0)),0.06),0)</x:f>
        <x:v>422</x:v>
      </x:c>
      <x:c r="U135" t="n">
        <x:f>ROUND(O135*IFERROR(INDEX(Assumptions!$E$9:$E$13,MATCH(F135,Assumptions!$A$9:$A$13,0)),0.15),0)</x:f>
        <x:v>950</x:v>
      </x:c>
      <x:c r="V135" t="n">
        <x:f>MAX(0,O135-SUM(R135:U135))</x:f>
        <x:v>211.92000000000007</x:v>
      </x:c>
      <x:c r="W135" t="n">
        <x:f>MIN(100,40+IF(O135&gt;0,20,0)+IF(M135&lt;&gt;"",20,0)+IF(AF135&lt;&gt;"",20,0))</x:f>
        <x:v>100</x:v>
      </x:c>
      <x:c r="X135" t="str">
        <x:v>Placed on exact national road host link</x:v>
      </x:c>
      <x:c r="Y135" t="str">
        <x:v>Paved</x:v>
      </x:c>
      <x:c r="Z135" t="str">
        <x:v>A</x:v>
      </x:c>
      <x:c r="AA135" t="str">
        <x:v>Not available in governed source</x:v>
      </x:c>
      <x:c r="AB135" t="str">
        <x:v>Not available in governed source</x:v>
      </x:c>
      <x:c r="AC135" t="str">
        <x:v>FY2025/26</x:v>
      </x:c>
      <x:c r="AD135" t="str">
        <x:v>Modelled</x:v>
      </x:c>
      <x:c r="AE135" t="str">
        <x:v>2026 bridge AADT rebuilt from host-link traffic history, annual collection-link history, same-road corridor history and spatial count-station influence. Vehicle-class values are assigned from functional-class shares.</x:v>
      </x:c>
      <x:c r="AF135" t="str">
        <x:v>Placed on exact national road host link</x:v>
      </x:c>
    </x:row>
    <x:row r="136" ht="15" hidden="0" customHeight="1">
      <x:c r="A136" t="str">
        <x:v>bridge-135</x:v>
      </x:c>
      <x:c r="B136" t="str">
        <x:v>B120</x:v>
      </x:c>
      <x:c r="C136" t="str">
        <x:v>ENVE BRIDGE</x:v>
      </x:c>
      <x:c r="D136" t="str">
        <x:v>A008_Link07</x:v>
      </x:c>
      <x:c r="E136" t="str">
        <x:v>Koboko - Oraba(Uganda/Sudan border)</x:v>
      </x:c>
      <x:c r="F136" t="str">
        <x:v>A</x:v>
      </x:c>
      <x:c r="G136" t="str">
        <x:v>Northern</x:v>
      </x:c>
      <x:c r="H136" t="str">
        <x:v>Arua</x:v>
      </x:c>
      <x:c r="I136" t="str">
        <x:v>ENVE RIVER</x:v>
      </x:c>
      <x:c r="J136" t="str">
        <x:v>Good</x:v>
      </x:c>
      <x:c r="K136" t="n">
        <x:v>30.910522</x:v>
      </x:c>
      <x:c r="L136" t="n">
        <x:v>3.510684</x:v>
      </x:c>
      <x:c r="M136" t="n">
        <x:v>30.910303</x:v>
      </x:c>
      <x:c r="N136" t="n">
        <x:v>3.510532</x:v>
      </x:c>
      <x:c r="O136" t="n">
        <x:v>4063.31</x:v>
      </x:c>
      <x:c r="P136" t="n">
        <x:f>IFERROR(INDEX(Assumptions!$B$9:$B$13,MATCH(F136,Assumptions!$A$9:$A$13,0)),0.15)</x:f>
        <x:v>0.12</x:v>
      </x:c>
      <x:c r="Q136" t="n">
        <x:f>ROUND(O136*(1-P136),0)</x:f>
        <x:v>3576</x:v>
      </x:c>
      <x:c r="R136" t="n">
        <x:f>ROUND(O136*P136,0)</x:f>
        <x:v>488</x:v>
      </x:c>
      <x:c r="S136" t="n">
        <x:f>ROUND(O136*IFERROR(INDEX(Assumptions!$C$9:$C$13,MATCH(F136,Assumptions!$A$9:$A$13,0)),0.55),0)</x:f>
        <x:v>2357</x:v>
      </x:c>
      <x:c r="T136" t="n">
        <x:f>ROUND(O136*IFERROR(INDEX(Assumptions!$D$9:$D$13,MATCH(F136,Assumptions!$A$9:$A$13,0)),0.06),0)</x:f>
        <x:v>325</x:v>
      </x:c>
      <x:c r="U136" t="n">
        <x:f>ROUND(O136*IFERROR(INDEX(Assumptions!$E$9:$E$13,MATCH(F136,Assumptions!$A$9:$A$13,0)),0.15),0)</x:f>
        <x:v>731</x:v>
      </x:c>
      <x:c r="V136" t="n">
        <x:f>MAX(0,O136-SUM(R136:U136))</x:f>
        <x:v>162.30999999999995</x:v>
      </x:c>
      <x:c r="W136" t="n">
        <x:f>MIN(100,40+IF(O136&gt;0,20,0)+IF(M136&lt;&gt;"",20,0)+IF(AF136&lt;&gt;"",20,0))</x:f>
        <x:v>100</x:v>
      </x:c>
      <x:c r="X136" t="str">
        <x:v>Placed on exact national road host link</x:v>
      </x:c>
      <x:c r="Y136" t="str">
        <x:v>Paved</x:v>
      </x:c>
      <x:c r="Z136" t="str">
        <x:v>A</x:v>
      </x:c>
      <x:c r="AA136" t="str">
        <x:v>Not available in governed source</x:v>
      </x:c>
      <x:c r="AB136" t="str">
        <x:v>Not available in governed source</x:v>
      </x:c>
      <x:c r="AC136" t="str">
        <x:v>FY2025/26</x:v>
      </x:c>
      <x:c r="AD136" t="str">
        <x:v>Modelled</x:v>
      </x:c>
      <x:c r="AE136" t="str">
        <x:v>2026 bridge AADT rebuilt from host-link traffic history, annual collection-link history, same-road corridor history and spatial count-station influence. Vehicle-class values are assigned from functional-class shares.</x:v>
      </x:c>
      <x:c r="AF136" t="str">
        <x:v>Placed on exact national road host link</x:v>
      </x:c>
    </x:row>
    <x:row r="137" ht="15" hidden="0" customHeight="1">
      <x:c r="A137" t="str">
        <x:v>bridge-136</x:v>
      </x:c>
      <x:c r="B137" t="str">
        <x:v>B724</x:v>
      </x:c>
      <x:c r="C137" t="str">
        <x:v>ENVE</x:v>
      </x:c>
      <x:c r="D137" t="str">
        <x:v>A008_Link06</x:v>
      </x:c>
      <x:c r="E137" t="str">
        <x:v>Manibe - Maracha - Koboko</x:v>
      </x:c>
      <x:c r="F137" t="str">
        <x:v>A</x:v>
      </x:c>
      <x:c r="G137" t="str">
        <x:v>Northern</x:v>
      </x:c>
      <x:c r="H137" t="str">
        <x:v>Arua</x:v>
      </x:c>
      <x:c r="I137" t="str">
        <x:v>ENVE RIVER</x:v>
      </x:c>
      <x:c r="J137" t="str">
        <x:v>Good</x:v>
      </x:c>
      <x:c r="K137" t="n">
        <x:v>30.90546</x:v>
      </x:c>
      <x:c r="L137" t="n">
        <x:v>3.15209</x:v>
      </x:c>
      <x:c r="M137" t="n">
        <x:v>30.905202</x:v>
      </x:c>
      <x:c r="N137" t="n">
        <x:v>3.148989</x:v>
      </x:c>
      <x:c r="O137" t="n">
        <x:v>5279.92</x:v>
      </x:c>
      <x:c r="P137" t="n">
        <x:f>IFERROR(INDEX(Assumptions!$B$9:$B$13,MATCH(F137,Assumptions!$A$9:$A$13,0)),0.15)</x:f>
        <x:v>0.12</x:v>
      </x:c>
      <x:c r="Q137" t="n">
        <x:f>ROUND(O137*(1-P137),0)</x:f>
        <x:v>4646</x:v>
      </x:c>
      <x:c r="R137" t="n">
        <x:f>ROUND(O137*P137,0)</x:f>
        <x:v>634</x:v>
      </x:c>
      <x:c r="S137" t="n">
        <x:f>ROUND(O137*IFERROR(INDEX(Assumptions!$C$9:$C$13,MATCH(F137,Assumptions!$A$9:$A$13,0)),0.55),0)</x:f>
        <x:v>3062</x:v>
      </x:c>
      <x:c r="T137" t="n">
        <x:f>ROUND(O137*IFERROR(INDEX(Assumptions!$D$9:$D$13,MATCH(F137,Assumptions!$A$9:$A$13,0)),0.06),0)</x:f>
        <x:v>422</x:v>
      </x:c>
      <x:c r="U137" t="n">
        <x:f>ROUND(O137*IFERROR(INDEX(Assumptions!$E$9:$E$13,MATCH(F137,Assumptions!$A$9:$A$13,0)),0.15),0)</x:f>
        <x:v>950</x:v>
      </x:c>
      <x:c r="V137" t="n">
        <x:f>MAX(0,O137-SUM(R137:U137))</x:f>
        <x:v>211.92000000000007</x:v>
      </x:c>
      <x:c r="W137" t="n">
        <x:f>MIN(100,40+IF(O137&gt;0,20,0)+IF(M137&lt;&gt;"",20,0)+IF(AF137&lt;&gt;"",20,0))</x:f>
        <x:v>100</x:v>
      </x:c>
      <x:c r="X137" t="str">
        <x:v>Placed on exact national road host link</x:v>
      </x:c>
      <x:c r="Y137" t="str">
        <x:v>Paved</x:v>
      </x:c>
      <x:c r="Z137" t="str">
        <x:v>A</x:v>
      </x:c>
      <x:c r="AA137" t="str">
        <x:v>Not available in governed source</x:v>
      </x:c>
      <x:c r="AB137" t="str">
        <x:v>Not available in governed source</x:v>
      </x:c>
      <x:c r="AC137" t="str">
        <x:v>FY2025/26</x:v>
      </x:c>
      <x:c r="AD137" t="str">
        <x:v>Modelled</x:v>
      </x:c>
      <x:c r="AE137" t="str">
        <x:v>2026 bridge AADT rebuilt from host-link traffic history, annual collection-link history, same-road corridor history and spatial count-station influence. Vehicle-class values are assigned from functional-class shares.</x:v>
      </x:c>
      <x:c r="AF137" t="str">
        <x:v>Placed on exact national road host link</x:v>
      </x:c>
    </x:row>
    <x:row r="138" ht="15" hidden="0" customHeight="1">
      <x:c r="A138" t="str">
        <x:v>bridge-137</x:v>
      </x:c>
      <x:c r="B138" t="str">
        <x:v>B121</x:v>
      </x:c>
      <x:c r="C138" t="str">
        <x:v>OLUFFE</x:v>
      </x:c>
      <x:c r="D138" t="str">
        <x:v>A008_Link06</x:v>
      </x:c>
      <x:c r="E138" t="str">
        <x:v>Manibe - Maracha - Koboko</x:v>
      </x:c>
      <x:c r="F138" t="str">
        <x:v>A</x:v>
      </x:c>
      <x:c r="G138" t="str">
        <x:v>Northern</x:v>
      </x:c>
      <x:c r="H138" t="str">
        <x:v>Arua</x:v>
      </x:c>
      <x:c r="I138" t="str">
        <x:v>OLUFFE</x:v>
      </x:c>
      <x:c r="J138" t="str">
        <x:v>Good</x:v>
      </x:c>
      <x:c r="K138" t="n">
        <x:v>30.933994</x:v>
      </x:c>
      <x:c r="L138" t="n">
        <x:v>3.188831</x:v>
      </x:c>
      <x:c r="M138" t="n">
        <x:v>30.933391</x:v>
      </x:c>
      <x:c r="N138" t="n">
        <x:v>3.185571</x:v>
      </x:c>
      <x:c r="O138" t="n">
        <x:v>5279.92</x:v>
      </x:c>
      <x:c r="P138" t="n">
        <x:f>IFERROR(INDEX(Assumptions!$B$9:$B$13,MATCH(F138,Assumptions!$A$9:$A$13,0)),0.15)</x:f>
        <x:v>0.12</x:v>
      </x:c>
      <x:c r="Q138" t="n">
        <x:f>ROUND(O138*(1-P138),0)</x:f>
        <x:v>4646</x:v>
      </x:c>
      <x:c r="R138" t="n">
        <x:f>ROUND(O138*P138,0)</x:f>
        <x:v>634</x:v>
      </x:c>
      <x:c r="S138" t="n">
        <x:f>ROUND(O138*IFERROR(INDEX(Assumptions!$C$9:$C$13,MATCH(F138,Assumptions!$A$9:$A$13,0)),0.55),0)</x:f>
        <x:v>3062</x:v>
      </x:c>
      <x:c r="T138" t="n">
        <x:f>ROUND(O138*IFERROR(INDEX(Assumptions!$D$9:$D$13,MATCH(F138,Assumptions!$A$9:$A$13,0)),0.06),0)</x:f>
        <x:v>422</x:v>
      </x:c>
      <x:c r="U138" t="n">
        <x:f>ROUND(O138*IFERROR(INDEX(Assumptions!$E$9:$E$13,MATCH(F138,Assumptions!$A$9:$A$13,0)),0.15),0)</x:f>
        <x:v>950</x:v>
      </x:c>
      <x:c r="V138" t="n">
        <x:f>MAX(0,O138-SUM(R138:U138))</x:f>
        <x:v>211.92000000000007</x:v>
      </x:c>
      <x:c r="W138" t="n">
        <x:f>MIN(100,40+IF(O138&gt;0,20,0)+IF(M138&lt;&gt;"",20,0)+IF(AF138&lt;&gt;"",20,0))</x:f>
        <x:v>100</x:v>
      </x:c>
      <x:c r="X138" t="str">
        <x:v>Placed on exact national road host link</x:v>
      </x:c>
      <x:c r="Y138" t="str">
        <x:v>Paved</x:v>
      </x:c>
      <x:c r="Z138" t="str">
        <x:v>A</x:v>
      </x:c>
      <x:c r="AA138" t="str">
        <x:v>Not available in governed source</x:v>
      </x:c>
      <x:c r="AB138" t="str">
        <x:v>Not available in governed source</x:v>
      </x:c>
      <x:c r="AC138" t="str">
        <x:v>FY2025/26</x:v>
      </x:c>
      <x:c r="AD138" t="str">
        <x:v>Modelled</x:v>
      </x:c>
      <x:c r="AE138" t="str">
        <x:v>2026 bridge AADT rebuilt from host-link traffic history, annual collection-link history, same-road corridor history and spatial count-station influence. Vehicle-class values are assigned from functional-class shares.</x:v>
      </x:c>
      <x:c r="AF138" t="str">
        <x:v>Placed on exact national road host link</x:v>
      </x:c>
    </x:row>
    <x:row r="139" ht="15" hidden="0" customHeight="1">
      <x:c r="A139" t="str">
        <x:v>bridge-138</x:v>
      </x:c>
      <x:c r="B139" t="str">
        <x:v>B122</x:v>
      </x:c>
      <x:c r="C139" t="str">
        <x:v>AYI BRIDGE</x:v>
      </x:c>
      <x:c r="D139" t="str">
        <x:v>A008_Link06</x:v>
      </x:c>
      <x:c r="E139" t="str">
        <x:v>Manibe - Maracha - Koboko</x:v>
      </x:c>
      <x:c r="F139" t="str">
        <x:v>A</x:v>
      </x:c>
      <x:c r="G139" t="str">
        <x:v>Northern</x:v>
      </x:c>
      <x:c r="H139" t="str">
        <x:v>Arua</x:v>
      </x:c>
      <x:c r="I139" t="str">
        <x:v>AYI RIVER</x:v>
      </x:c>
      <x:c r="J139" t="str">
        <x:v>Good</x:v>
      </x:c>
      <x:c r="K139" t="n">
        <x:v>30.943035</x:v>
      </x:c>
      <x:c r="L139" t="n">
        <x:v>3.255021</x:v>
      </x:c>
      <x:c r="M139" t="n">
        <x:v>30.942211</x:v>
      </x:c>
      <x:c r="N139" t="n">
        <x:v>3.249016</x:v>
      </x:c>
      <x:c r="O139" t="n">
        <x:v>5279.92</x:v>
      </x:c>
      <x:c r="P139" t="n">
        <x:f>IFERROR(INDEX(Assumptions!$B$9:$B$13,MATCH(F139,Assumptions!$A$9:$A$13,0)),0.15)</x:f>
        <x:v>0.12</x:v>
      </x:c>
      <x:c r="Q139" t="n">
        <x:f>ROUND(O139*(1-P139),0)</x:f>
        <x:v>4646</x:v>
      </x:c>
      <x:c r="R139" t="n">
        <x:f>ROUND(O139*P139,0)</x:f>
        <x:v>634</x:v>
      </x:c>
      <x:c r="S139" t="n">
        <x:f>ROUND(O139*IFERROR(INDEX(Assumptions!$C$9:$C$13,MATCH(F139,Assumptions!$A$9:$A$13,0)),0.55),0)</x:f>
        <x:v>3062</x:v>
      </x:c>
      <x:c r="T139" t="n">
        <x:f>ROUND(O139*IFERROR(INDEX(Assumptions!$D$9:$D$13,MATCH(F139,Assumptions!$A$9:$A$13,0)),0.06),0)</x:f>
        <x:v>422</x:v>
      </x:c>
      <x:c r="U139" t="n">
        <x:f>ROUND(O139*IFERROR(INDEX(Assumptions!$E$9:$E$13,MATCH(F139,Assumptions!$A$9:$A$13,0)),0.15),0)</x:f>
        <x:v>950</x:v>
      </x:c>
      <x:c r="V139" t="n">
        <x:f>MAX(0,O139-SUM(R139:U139))</x:f>
        <x:v>211.92000000000007</x:v>
      </x:c>
      <x:c r="W139" t="n">
        <x:f>MIN(100,40+IF(O139&gt;0,20,0)+IF(M139&lt;&gt;"",20,0)+IF(AF139&lt;&gt;"",20,0))</x:f>
        <x:v>100</x:v>
      </x:c>
      <x:c r="X139" t="str">
        <x:v>Placed on exact national road host link</x:v>
      </x:c>
      <x:c r="Y139" t="str">
        <x:v>Paved</x:v>
      </x:c>
      <x:c r="Z139" t="str">
        <x:v>A</x:v>
      </x:c>
      <x:c r="AA139" t="str">
        <x:v>Not available in governed source</x:v>
      </x:c>
      <x:c r="AB139" t="str">
        <x:v>Not available in governed source</x:v>
      </x:c>
      <x:c r="AC139" t="str">
        <x:v>FY2025/26</x:v>
      </x:c>
      <x:c r="AD139" t="str">
        <x:v>Modelled</x:v>
      </x:c>
      <x:c r="AE139" t="str">
        <x:v>2026 bridge AADT rebuilt from host-link traffic history, annual collection-link history, same-road corridor history and spatial count-station influence. Vehicle-class values are assigned from functional-class shares.</x:v>
      </x:c>
      <x:c r="AF139" t="str">
        <x:v>Placed on exact national road host link</x:v>
      </x:c>
    </x:row>
    <x:row r="140" ht="15" hidden="0" customHeight="1">
      <x:c r="A140" t="str">
        <x:v>bridge-139</x:v>
      </x:c>
      <x:c r="B140" t="str">
        <x:v>B123</x:v>
      </x:c>
      <x:c r="C140" t="str">
        <x:v>YOO</x:v>
      </x:c>
      <x:c r="D140" t="str">
        <x:v>A008_Link06</x:v>
      </x:c>
      <x:c r="E140" t="str">
        <x:v>Manibe - Maracha - Koboko</x:v>
      </x:c>
      <x:c r="F140" t="str">
        <x:v>A</x:v>
      </x:c>
      <x:c r="G140" t="str">
        <x:v>Northern</x:v>
      </x:c>
      <x:c r="H140" t="str">
        <x:v>Arua</x:v>
      </x:c>
      <x:c r="I140" t="str">
        <x:v>YOYO RIVER</x:v>
      </x:c>
      <x:c r="J140" t="str">
        <x:v>Good</x:v>
      </x:c>
      <x:c r="K140" t="n">
        <x:v>30.948389</x:v>
      </x:c>
      <x:c r="L140" t="n">
        <x:v>3.326374</x:v>
      </x:c>
      <x:c r="M140" t="n">
        <x:v>30.942173</x:v>
      </x:c>
      <x:c r="N140" t="n">
        <x:v>3.320805</x:v>
      </x:c>
      <x:c r="O140" t="n">
        <x:v>5279.92</x:v>
      </x:c>
      <x:c r="P140" t="n">
        <x:f>IFERROR(INDEX(Assumptions!$B$9:$B$13,MATCH(F140,Assumptions!$A$9:$A$13,0)),0.15)</x:f>
        <x:v>0.12</x:v>
      </x:c>
      <x:c r="Q140" t="n">
        <x:f>ROUND(O140*(1-P140),0)</x:f>
        <x:v>4646</x:v>
      </x:c>
      <x:c r="R140" t="n">
        <x:f>ROUND(O140*P140,0)</x:f>
        <x:v>634</x:v>
      </x:c>
      <x:c r="S140" t="n">
        <x:f>ROUND(O140*IFERROR(INDEX(Assumptions!$C$9:$C$13,MATCH(F140,Assumptions!$A$9:$A$13,0)),0.55),0)</x:f>
        <x:v>3062</x:v>
      </x:c>
      <x:c r="T140" t="n">
        <x:f>ROUND(O140*IFERROR(INDEX(Assumptions!$D$9:$D$13,MATCH(F140,Assumptions!$A$9:$A$13,0)),0.06),0)</x:f>
        <x:v>422</x:v>
      </x:c>
      <x:c r="U140" t="n">
        <x:f>ROUND(O140*IFERROR(INDEX(Assumptions!$E$9:$E$13,MATCH(F140,Assumptions!$A$9:$A$13,0)),0.15),0)</x:f>
        <x:v>950</x:v>
      </x:c>
      <x:c r="V140" t="n">
        <x:f>MAX(0,O140-SUM(R140:U140))</x:f>
        <x:v>211.92000000000007</x:v>
      </x:c>
      <x:c r="W140" t="n">
        <x:f>MIN(100,40+IF(O140&gt;0,20,0)+IF(M140&lt;&gt;"",20,0)+IF(AF140&lt;&gt;"",20,0))</x:f>
        <x:v>100</x:v>
      </x:c>
      <x:c r="X140" t="str">
        <x:v>Placed on exact national road host link</x:v>
      </x:c>
      <x:c r="Y140" t="str">
        <x:v>Paved</x:v>
      </x:c>
      <x:c r="Z140" t="str">
        <x:v>A</x:v>
      </x:c>
      <x:c r="AA140" t="str">
        <x:v>Not available in governed source</x:v>
      </x:c>
      <x:c r="AB140" t="str">
        <x:v>Not available in governed source</x:v>
      </x:c>
      <x:c r="AC140" t="str">
        <x:v>FY2025/26</x:v>
      </x:c>
      <x:c r="AD140" t="str">
        <x:v>Modelled</x:v>
      </x:c>
      <x:c r="AE140" t="str">
        <x:v>2026 bridge AADT rebuilt from host-link traffic history, annual collection-link history, same-road corridor history and spatial count-station influence. Vehicle-class values are assigned from functional-class shares.</x:v>
      </x:c>
      <x:c r="AF140" t="str">
        <x:v>Placed on exact national road host link</x:v>
      </x:c>
    </x:row>
    <x:row r="141" ht="15" hidden="0" customHeight="1">
      <x:c r="A141" t="str">
        <x:v>bridge-140</x:v>
      </x:c>
      <x:c r="B141" t="str">
        <x:v>B124</x:v>
      </x:c>
      <x:c r="C141" t="str">
        <x:v>ORU BRIDGE</x:v>
      </x:c>
      <x:c r="D141" t="str">
        <x:v>A008_Link06</x:v>
      </x:c>
      <x:c r="E141" t="str">
        <x:v>Manibe - Maracha - Koboko</x:v>
      </x:c>
      <x:c r="F141" t="str">
        <x:v>A</x:v>
      </x:c>
      <x:c r="G141" t="str">
        <x:v>Northern</x:v>
      </x:c>
      <x:c r="H141" t="str">
        <x:v>Arua</x:v>
      </x:c>
      <x:c r="I141" t="str">
        <x:v>ORU RIVER</x:v>
      </x:c>
      <x:c r="J141" t="str">
        <x:v>Good</x:v>
      </x:c>
      <x:c r="K141" t="n">
        <x:v>30.95351</x:v>
      </x:c>
      <x:c r="L141" t="n">
        <x:v>3.333611</x:v>
      </x:c>
      <x:c r="M141" t="n">
        <x:v>30.948703</x:v>
      </x:c>
      <x:c r="N141" t="n">
        <x:v>3.326755</x:v>
      </x:c>
      <x:c r="O141" t="n">
        <x:v>5279.92</x:v>
      </x:c>
      <x:c r="P141" t="n">
        <x:f>IFERROR(INDEX(Assumptions!$B$9:$B$13,MATCH(F141,Assumptions!$A$9:$A$13,0)),0.15)</x:f>
        <x:v>0.12</x:v>
      </x:c>
      <x:c r="Q141" t="n">
        <x:f>ROUND(O141*(1-P141),0)</x:f>
        <x:v>4646</x:v>
      </x:c>
      <x:c r="R141" t="n">
        <x:f>ROUND(O141*P141,0)</x:f>
        <x:v>634</x:v>
      </x:c>
      <x:c r="S141" t="n">
        <x:f>ROUND(O141*IFERROR(INDEX(Assumptions!$C$9:$C$13,MATCH(F141,Assumptions!$A$9:$A$13,0)),0.55),0)</x:f>
        <x:v>3062</x:v>
      </x:c>
      <x:c r="T141" t="n">
        <x:f>ROUND(O141*IFERROR(INDEX(Assumptions!$D$9:$D$13,MATCH(F141,Assumptions!$A$9:$A$13,0)),0.06),0)</x:f>
        <x:v>422</x:v>
      </x:c>
      <x:c r="U141" t="n">
        <x:f>ROUND(O141*IFERROR(INDEX(Assumptions!$E$9:$E$13,MATCH(F141,Assumptions!$A$9:$A$13,0)),0.15),0)</x:f>
        <x:v>950</x:v>
      </x:c>
      <x:c r="V141" t="n">
        <x:f>MAX(0,O141-SUM(R141:U141))</x:f>
        <x:v>211.92000000000007</x:v>
      </x:c>
      <x:c r="W141" t="n">
        <x:f>MIN(100,40+IF(O141&gt;0,20,0)+IF(M141&lt;&gt;"",20,0)+IF(AF141&lt;&gt;"",20,0))</x:f>
        <x:v>100</x:v>
      </x:c>
      <x:c r="X141" t="str">
        <x:v>Placed on exact national road host link</x:v>
      </x:c>
      <x:c r="Y141" t="str">
        <x:v>Paved</x:v>
      </x:c>
      <x:c r="Z141" t="str">
        <x:v>A</x:v>
      </x:c>
      <x:c r="AA141" t="str">
        <x:v>Not available in governed source</x:v>
      </x:c>
      <x:c r="AB141" t="str">
        <x:v>Not available in governed source</x:v>
      </x:c>
      <x:c r="AC141" t="str">
        <x:v>FY2025/26</x:v>
      </x:c>
      <x:c r="AD141" t="str">
        <x:v>Modelled</x:v>
      </x:c>
      <x:c r="AE141" t="str">
        <x:v>2026 bridge AADT rebuilt from host-link traffic history, annual collection-link history, same-road corridor history and spatial count-station influence. Vehicle-class values are assigned from functional-class shares.</x:v>
      </x:c>
      <x:c r="AF141" t="str">
        <x:v>Placed on exact national road host link</x:v>
      </x:c>
    </x:row>
    <x:row r="142" ht="15" hidden="0" customHeight="1">
      <x:c r="A142" t="str">
        <x:v>bridge-141</x:v>
      </x:c>
      <x:c r="B142" t="str">
        <x:v>B125</x:v>
      </x:c>
      <x:c r="C142" t="str">
        <x:v>APA BRIDGE</x:v>
      </x:c>
      <x:c r="D142" t="str">
        <x:v>A008_Link06</x:v>
      </x:c>
      <x:c r="E142" t="str">
        <x:v>Manibe - Maracha - Koboko</x:v>
      </x:c>
      <x:c r="F142" t="str">
        <x:v>A</x:v>
      </x:c>
      <x:c r="G142" t="str">
        <x:v>Northern</x:v>
      </x:c>
      <x:c r="H142" t="str">
        <x:v>Arua</x:v>
      </x:c>
      <x:c r="I142" t="str">
        <x:v>APA RIVER</x:v>
      </x:c>
      <x:c r="J142" t="str">
        <x:v>Good</x:v>
      </x:c>
      <x:c r="K142" t="n">
        <x:v>30.956715</x:v>
      </x:c>
      <x:c r="L142" t="n">
        <x:v>3.396792</x:v>
      </x:c>
      <x:c r="M142" t="n">
        <x:v>30.953963</x:v>
      </x:c>
      <x:c r="N142" t="n">
        <x:v>3.33936</x:v>
      </x:c>
      <x:c r="O142" t="n">
        <x:v>5279.92</x:v>
      </x:c>
      <x:c r="P142" t="n">
        <x:f>IFERROR(INDEX(Assumptions!$B$9:$B$13,MATCH(F142,Assumptions!$A$9:$A$13,0)),0.15)</x:f>
        <x:v>0.12</x:v>
      </x:c>
      <x:c r="Q142" t="n">
        <x:f>ROUND(O142*(1-P142),0)</x:f>
        <x:v>4646</x:v>
      </x:c>
      <x:c r="R142" t="n">
        <x:f>ROUND(O142*P142,0)</x:f>
        <x:v>634</x:v>
      </x:c>
      <x:c r="S142" t="n">
        <x:f>ROUND(O142*IFERROR(INDEX(Assumptions!$C$9:$C$13,MATCH(F142,Assumptions!$A$9:$A$13,0)),0.55),0)</x:f>
        <x:v>3062</x:v>
      </x:c>
      <x:c r="T142" t="n">
        <x:f>ROUND(O142*IFERROR(INDEX(Assumptions!$D$9:$D$13,MATCH(F142,Assumptions!$A$9:$A$13,0)),0.06),0)</x:f>
        <x:v>422</x:v>
      </x:c>
      <x:c r="U142" t="n">
        <x:f>ROUND(O142*IFERROR(INDEX(Assumptions!$E$9:$E$13,MATCH(F142,Assumptions!$A$9:$A$13,0)),0.15),0)</x:f>
        <x:v>950</x:v>
      </x:c>
      <x:c r="V142" t="n">
        <x:f>MAX(0,O142-SUM(R142:U142))</x:f>
        <x:v>211.92000000000007</x:v>
      </x:c>
      <x:c r="W142" t="n">
        <x:f>MIN(100,40+IF(O142&gt;0,20,0)+IF(M142&lt;&gt;"",20,0)+IF(AF142&lt;&gt;"",20,0))</x:f>
        <x:v>100</x:v>
      </x:c>
      <x:c r="X142" t="str">
        <x:v>Placed on exact national road host link</x:v>
      </x:c>
      <x:c r="Y142" t="str">
        <x:v>Paved</x:v>
      </x:c>
      <x:c r="Z142" t="str">
        <x:v>A</x:v>
      </x:c>
      <x:c r="AA142" t="str">
        <x:v>Not available in governed source</x:v>
      </x:c>
      <x:c r="AB142" t="str">
        <x:v>Not available in governed source</x:v>
      </x:c>
      <x:c r="AC142" t="str">
        <x:v>FY2025/26</x:v>
      </x:c>
      <x:c r="AD142" t="str">
        <x:v>Modelled</x:v>
      </x:c>
      <x:c r="AE142" t="str">
        <x:v>2026 bridge AADT rebuilt from host-link traffic history, annual collection-link history, same-road corridor history and spatial count-station influence. Vehicle-class values are assigned from functional-class shares.</x:v>
      </x:c>
      <x:c r="AF142" t="str">
        <x:v>Placed on exact national road host link</x:v>
      </x:c>
    </x:row>
    <x:row r="143" ht="15" hidden="0" customHeight="1">
      <x:c r="A143" t="str">
        <x:v>bridge-142</x:v>
      </x:c>
      <x:c r="B143" t="str">
        <x:v>B126</x:v>
      </x:c>
      <x:c r="C143" t="str">
        <x:v>KOCHI BRIDGE</x:v>
      </x:c>
      <x:c r="D143" t="str">
        <x:v>A008_Link07</x:v>
      </x:c>
      <x:c r="E143" t="str">
        <x:v>Koboko - Oraba(Uganda/Sudan border)</x:v>
      </x:c>
      <x:c r="F143" t="str">
        <x:v>A</x:v>
      </x:c>
      <x:c r="G143" t="str">
        <x:v>Northern</x:v>
      </x:c>
      <x:c r="H143" t="str">
        <x:v>Arua</x:v>
      </x:c>
      <x:c r="I143" t="str">
        <x:v>KOCHI</x:v>
      </x:c>
      <x:c r="J143" t="str">
        <x:v>Good</x:v>
      </x:c>
      <x:c r="K143" t="n">
        <x:v>30.960333</x:v>
      </x:c>
      <x:c r="L143" t="n">
        <x:v>3.442961</x:v>
      </x:c>
      <x:c r="M143" t="n">
        <x:v>30.94455</x:v>
      </x:c>
      <x:c r="N143" t="n">
        <x:v>3.465599</x:v>
      </x:c>
      <x:c r="O143" t="n">
        <x:v>4063.31</x:v>
      </x:c>
      <x:c r="P143" t="n">
        <x:f>IFERROR(INDEX(Assumptions!$B$9:$B$13,MATCH(F143,Assumptions!$A$9:$A$13,0)),0.15)</x:f>
        <x:v>0.12</x:v>
      </x:c>
      <x:c r="Q143" t="n">
        <x:f>ROUND(O143*(1-P143),0)</x:f>
        <x:v>3576</x:v>
      </x:c>
      <x:c r="R143" t="n">
        <x:f>ROUND(O143*P143,0)</x:f>
        <x:v>488</x:v>
      </x:c>
      <x:c r="S143" t="n">
        <x:f>ROUND(O143*IFERROR(INDEX(Assumptions!$C$9:$C$13,MATCH(F143,Assumptions!$A$9:$A$13,0)),0.55),0)</x:f>
        <x:v>2357</x:v>
      </x:c>
      <x:c r="T143" t="n">
        <x:f>ROUND(O143*IFERROR(INDEX(Assumptions!$D$9:$D$13,MATCH(F143,Assumptions!$A$9:$A$13,0)),0.06),0)</x:f>
        <x:v>325</x:v>
      </x:c>
      <x:c r="U143" t="n">
        <x:f>ROUND(O143*IFERROR(INDEX(Assumptions!$E$9:$E$13,MATCH(F143,Assumptions!$A$9:$A$13,0)),0.15),0)</x:f>
        <x:v>731</x:v>
      </x:c>
      <x:c r="V143" t="n">
        <x:f>MAX(0,O143-SUM(R143:U143))</x:f>
        <x:v>162.30999999999995</x:v>
      </x:c>
      <x:c r="W143" t="n">
        <x:f>MIN(100,40+IF(O143&gt;0,20,0)+IF(M143&lt;&gt;"",20,0)+IF(AF143&lt;&gt;"",20,0))</x:f>
        <x:v>100</x:v>
      </x:c>
      <x:c r="X143" t="str">
        <x:v>Placed on exact national road host link</x:v>
      </x:c>
      <x:c r="Y143" t="str">
        <x:v>Paved</x:v>
      </x:c>
      <x:c r="Z143" t="str">
        <x:v>A</x:v>
      </x:c>
      <x:c r="AA143" t="str">
        <x:v>Not available in governed source</x:v>
      </x:c>
      <x:c r="AB143" t="str">
        <x:v>Not available in governed source</x:v>
      </x:c>
      <x:c r="AC143" t="str">
        <x:v>FY2025/26</x:v>
      </x:c>
      <x:c r="AD143" t="str">
        <x:v>Modelled</x:v>
      </x:c>
      <x:c r="AE143" t="str">
        <x:v>2026 bridge AADT rebuilt from host-link traffic history, annual collection-link history, same-road corridor history and spatial count-station influence. Vehicle-class values are assigned from functional-class shares.</x:v>
      </x:c>
      <x:c r="AF143" t="str">
        <x:v>Placed on exact national road host link</x:v>
      </x:c>
    </x:row>
    <x:row r="144" ht="15" hidden="0" customHeight="1">
      <x:c r="A144" t="str">
        <x:v>bridge-143</x:v>
      </x:c>
      <x:c r="B144" t="str">
        <x:v>B127</x:v>
      </x:c>
      <x:c r="C144" t="str">
        <x:v>AYUGI BRIDGE</x:v>
      </x:c>
      <x:c r="D144" t="str">
        <x:v>B250_Link01</x:v>
      </x:c>
      <x:c r="E144" t="str">
        <x:v>Atiak - Moyo</x:v>
      </x:c>
      <x:c r="F144" t="str">
        <x:v>B</x:v>
      </x:c>
      <x:c r="G144" t="str">
        <x:v>Northern</x:v>
      </x:c>
      <x:c r="H144" t="str">
        <x:v>Moyo</x:v>
      </x:c>
      <x:c r="I144" t="str">
        <x:v>AYUGI RIVER</x:v>
      </x:c>
      <x:c r="J144" t="str">
        <x:v>Good</x:v>
      </x:c>
      <x:c r="K144" t="n">
        <x:v>32.041069</x:v>
      </x:c>
      <x:c r="L144" t="n">
        <x:v>3.348225</x:v>
      </x:c>
      <x:c r="M144" t="n">
        <x:v>31.826085</x:v>
      </x:c>
      <x:c r="N144" t="n">
        <x:v>3.588312</x:v>
      </x:c>
      <x:c r="O144" t="n">
        <x:v>7586.69</x:v>
      </x:c>
      <x:c r="P144" t="n">
        <x:f>IFERROR(INDEX(Assumptions!$B$9:$B$13,MATCH(F144,Assumptions!$A$9:$A$13,0)),0.15)</x:f>
        <x:v>0.16</x:v>
      </x:c>
      <x:c r="Q144" t="n">
        <x:f>ROUND(O144*(1-P144),0)</x:f>
        <x:v>6373</x:v>
      </x:c>
      <x:c r="R144" t="n">
        <x:f>ROUND(O144*P144,0)</x:f>
        <x:v>1214</x:v>
      </x:c>
      <x:c r="S144" t="n">
        <x:f>ROUND(O144*IFERROR(INDEX(Assumptions!$C$9:$C$13,MATCH(F144,Assumptions!$A$9:$A$13,0)),0.55),0)</x:f>
        <x:v>4249</x:v>
      </x:c>
      <x:c r="T144" t="n">
        <x:f>ROUND(O144*IFERROR(INDEX(Assumptions!$D$9:$D$13,MATCH(F144,Assumptions!$A$9:$A$13,0)),0.06),0)</x:f>
        <x:v>531</x:v>
      </x:c>
      <x:c r="U144" t="n">
        <x:f>ROUND(O144*IFERROR(INDEX(Assumptions!$E$9:$E$13,MATCH(F144,Assumptions!$A$9:$A$13,0)),0.15),0)</x:f>
        <x:v>1214</x:v>
      </x:c>
      <x:c r="V144" t="n">
        <x:f>MAX(0,O144-SUM(R144:U144))</x:f>
        <x:v>378.6899999999996</x:v>
      </x:c>
      <x:c r="W144" t="n">
        <x:f>MIN(100,40+IF(O144&gt;0,20,0)+IF(M144&lt;&gt;"",20,0)+IF(AF144&lt;&gt;"",20,0))</x:f>
        <x:v>100</x:v>
      </x:c>
      <x:c r="X144" t="str">
        <x:v>Placed on exact national road host link</x:v>
      </x:c>
      <x:c r="Y144" t="str">
        <x:v>Unpaved</x:v>
      </x:c>
      <x:c r="Z144" t="str">
        <x:v>B</x:v>
      </x:c>
      <x:c r="AA144" t="str">
        <x:v>Not available in governed source</x:v>
      </x:c>
      <x:c r="AB144" t="str">
        <x:v>Not available in governed source</x:v>
      </x:c>
      <x:c r="AC144" t="str">
        <x:v>FY2025/26</x:v>
      </x:c>
      <x:c r="AD144" t="str">
        <x:v>Modelled</x:v>
      </x:c>
      <x:c r="AE144" t="str">
        <x:v>2026 bridge AADT rebuilt from host-link traffic history, annual collection-link history, same-road corridor history and spatial count-station influence. Vehicle-class values are assigned from functional-class shares.</x:v>
      </x:c>
      <x:c r="AF144" t="str">
        <x:v>Placed on exact national road host link</x:v>
      </x:c>
    </x:row>
    <x:row r="145" ht="15" hidden="0" customHeight="1">
      <x:c r="A145" t="str">
        <x:v>bridge-144</x:v>
      </x:c>
      <x:c r="B145" t="str">
        <x:v>B128</x:v>
      </x:c>
      <x:c r="C145" t="str">
        <x:v>Eyiagwea</x:v>
      </x:c>
      <x:c r="D145" t="str">
        <x:v>B250_Link01</x:v>
      </x:c>
      <x:c r="E145" t="str">
        <x:v>Atiak - Moyo</x:v>
      </x:c>
      <x:c r="F145" t="str">
        <x:v>B</x:v>
      </x:c>
      <x:c r="G145" t="str">
        <x:v>Northern</x:v>
      </x:c>
      <x:c r="H145" t="str">
        <x:v>Moyo</x:v>
      </x:c>
      <x:c r="I145" t="str">
        <x:v>Eyiagwea</x:v>
      </x:c>
      <x:c r="J145" t="str">
        <x:v>Marginal</x:v>
      </x:c>
      <x:c r="K145" t="n">
        <x:v>32.01658</x:v>
      </x:c>
      <x:c r="L145" t="n">
        <x:v>3.35755</x:v>
      </x:c>
      <x:c r="M145" t="n">
        <x:v>31.813737</x:v>
      </x:c>
      <x:c r="N145" t="n">
        <x:v>3.553564</x:v>
      </x:c>
      <x:c r="O145" t="n">
        <x:v>7586.69</x:v>
      </x:c>
      <x:c r="P145" t="n">
        <x:f>IFERROR(INDEX(Assumptions!$B$9:$B$13,MATCH(F145,Assumptions!$A$9:$A$13,0)),0.15)</x:f>
        <x:v>0.16</x:v>
      </x:c>
      <x:c r="Q145" t="n">
        <x:f>ROUND(O145*(1-P145),0)</x:f>
        <x:v>6373</x:v>
      </x:c>
      <x:c r="R145" t="n">
        <x:f>ROUND(O145*P145,0)</x:f>
        <x:v>1214</x:v>
      </x:c>
      <x:c r="S145" t="n">
        <x:f>ROUND(O145*IFERROR(INDEX(Assumptions!$C$9:$C$13,MATCH(F145,Assumptions!$A$9:$A$13,0)),0.55),0)</x:f>
        <x:v>4249</x:v>
      </x:c>
      <x:c r="T145" t="n">
        <x:f>ROUND(O145*IFERROR(INDEX(Assumptions!$D$9:$D$13,MATCH(F145,Assumptions!$A$9:$A$13,0)),0.06),0)</x:f>
        <x:v>531</x:v>
      </x:c>
      <x:c r="U145" t="n">
        <x:f>ROUND(O145*IFERROR(INDEX(Assumptions!$E$9:$E$13,MATCH(F145,Assumptions!$A$9:$A$13,0)),0.15),0)</x:f>
        <x:v>1214</x:v>
      </x:c>
      <x:c r="V145" t="n">
        <x:f>MAX(0,O145-SUM(R145:U145))</x:f>
        <x:v>378.6899999999996</x:v>
      </x:c>
      <x:c r="W145" t="n">
        <x:f>MIN(100,40+IF(O145&gt;0,20,0)+IF(M145&lt;&gt;"",20,0)+IF(AF145&lt;&gt;"",20,0))</x:f>
        <x:v>100</x:v>
      </x:c>
      <x:c r="X145" t="str">
        <x:v>Placed on exact national road host link</x:v>
      </x:c>
      <x:c r="Y145" t="str">
        <x:v>Unpaved</x:v>
      </x:c>
      <x:c r="Z145" t="str">
        <x:v>B</x:v>
      </x:c>
      <x:c r="AA145" t="str">
        <x:v>Not available in governed source</x:v>
      </x:c>
      <x:c r="AB145" t="str">
        <x:v>Not available in governed source</x:v>
      </x:c>
      <x:c r="AC145" t="str">
        <x:v>FY2025/26</x:v>
      </x:c>
      <x:c r="AD145" t="str">
        <x:v>Modelled</x:v>
      </x:c>
      <x:c r="AE145" t="str">
        <x:v>2026 bridge AADT rebuilt from host-link traffic history, annual collection-link history, same-road corridor history and spatial count-station influence. Vehicle-class values are assigned from functional-class shares.</x:v>
      </x:c>
      <x:c r="AF145" t="str">
        <x:v>Placed on exact national road host link</x:v>
      </x:c>
    </x:row>
    <x:row r="146" ht="15" hidden="0" customHeight="1">
      <x:c r="A146" t="str">
        <x:v>bridge-145</x:v>
      </x:c>
      <x:c r="B146" t="str">
        <x:v>B129</x:v>
      </x:c>
      <x:c r="C146" t="str">
        <x:v>ERIA BRIDGE</x:v>
      </x:c>
      <x:c r="D146" t="str">
        <x:v>B250_Link01</x:v>
      </x:c>
      <x:c r="E146" t="str">
        <x:v>Atiak - Moyo</x:v>
      </x:c>
      <x:c r="F146" t="str">
        <x:v>B</x:v>
      </x:c>
      <x:c r="G146" t="str">
        <x:v>Northern</x:v>
      </x:c>
      <x:c r="H146" t="str">
        <x:v>Moyo</x:v>
      </x:c>
      <x:c r="I146" t="str">
        <x:v>ERIA RIVER</x:v>
      </x:c>
      <x:c r="J146" t="str">
        <x:v>Satisfactory</x:v>
      </x:c>
      <x:c r="K146" t="n">
        <x:v>31.993473</x:v>
      </x:c>
      <x:c r="L146" t="n">
        <x:v>3.377563</x:v>
      </x:c>
      <x:c r="M146" t="n">
        <x:v>31.804318</x:v>
      </x:c>
      <x:c r="N146" t="n">
        <x:v>3.63008</x:v>
      </x:c>
      <x:c r="O146" t="n">
        <x:v>7586.69</x:v>
      </x:c>
      <x:c r="P146" t="n">
        <x:f>IFERROR(INDEX(Assumptions!$B$9:$B$13,MATCH(F146,Assumptions!$A$9:$A$13,0)),0.15)</x:f>
        <x:v>0.16</x:v>
      </x:c>
      <x:c r="Q146" t="n">
        <x:f>ROUND(O146*(1-P146),0)</x:f>
        <x:v>6373</x:v>
      </x:c>
      <x:c r="R146" t="n">
        <x:f>ROUND(O146*P146,0)</x:f>
        <x:v>1214</x:v>
      </x:c>
      <x:c r="S146" t="n">
        <x:f>ROUND(O146*IFERROR(INDEX(Assumptions!$C$9:$C$13,MATCH(F146,Assumptions!$A$9:$A$13,0)),0.55),0)</x:f>
        <x:v>4249</x:v>
      </x:c>
      <x:c r="T146" t="n">
        <x:f>ROUND(O146*IFERROR(INDEX(Assumptions!$D$9:$D$13,MATCH(F146,Assumptions!$A$9:$A$13,0)),0.06),0)</x:f>
        <x:v>531</x:v>
      </x:c>
      <x:c r="U146" t="n">
        <x:f>ROUND(O146*IFERROR(INDEX(Assumptions!$E$9:$E$13,MATCH(F146,Assumptions!$A$9:$A$13,0)),0.15),0)</x:f>
        <x:v>1214</x:v>
      </x:c>
      <x:c r="V146" t="n">
        <x:f>MAX(0,O146-SUM(R146:U146))</x:f>
        <x:v>378.6899999999996</x:v>
      </x:c>
      <x:c r="W146" t="n">
        <x:f>MIN(100,40+IF(O146&gt;0,20,0)+IF(M146&lt;&gt;"",20,0)+IF(AF146&lt;&gt;"",20,0))</x:f>
        <x:v>100</x:v>
      </x:c>
      <x:c r="X146" t="str">
        <x:v>Placed on exact national road host link</x:v>
      </x:c>
      <x:c r="Y146" t="str">
        <x:v>Unpaved</x:v>
      </x:c>
      <x:c r="Z146" t="str">
        <x:v>B</x:v>
      </x:c>
      <x:c r="AA146" t="str">
        <x:v>Not available in governed source</x:v>
      </x:c>
      <x:c r="AB146" t="str">
        <x:v>Not available in governed source</x:v>
      </x:c>
      <x:c r="AC146" t="str">
        <x:v>FY2025/26</x:v>
      </x:c>
      <x:c r="AD146" t="str">
        <x:v>Modelled</x:v>
      </x:c>
      <x:c r="AE146" t="str">
        <x:v>2026 bridge AADT rebuilt from host-link traffic history, annual collection-link history, same-road corridor history and spatial count-station influence. Vehicle-class values are assigned from functional-class shares.</x:v>
      </x:c>
      <x:c r="AF146" t="str">
        <x:v>Placed on exact national road host link</x:v>
      </x:c>
    </x:row>
    <x:row r="147" ht="15" hidden="0" customHeight="1">
      <x:c r="A147" t="str">
        <x:v>bridge-146</x:v>
      </x:c>
      <x:c r="B147" t="str">
        <x:v>B130</x:v>
      </x:c>
      <x:c r="C147" t="str">
        <x:v>Surumu</x:v>
      </x:c>
      <x:c r="D147" t="str">
        <x:v>B250_Link01</x:v>
      </x:c>
      <x:c r="E147" t="str">
        <x:v>Atiak - Moyo</x:v>
      </x:c>
      <x:c r="F147" t="str">
        <x:v>B</x:v>
      </x:c>
      <x:c r="G147" t="str">
        <x:v>Northern</x:v>
      </x:c>
      <x:c r="H147" t="str">
        <x:v>Moyo</x:v>
      </x:c>
      <x:c r="I147" t="str">
        <x:v>River Surumu</x:v>
      </x:c>
      <x:c r="J147" t="str">
        <x:v>Poor</x:v>
      </x:c>
      <x:c r="K147" t="n">
        <x:v>31.79059</x:v>
      </x:c>
      <x:c r="L147" t="n">
        <x:v>3.390005</x:v>
      </x:c>
      <x:c r="M147" t="n">
        <x:v>31.814588</x:v>
      </x:c>
      <x:c r="N147" t="n">
        <x:v>3.609385</x:v>
      </x:c>
      <x:c r="O147" t="n">
        <x:v>7586.69</x:v>
      </x:c>
      <x:c r="P147" t="n">
        <x:f>IFERROR(INDEX(Assumptions!$B$9:$B$13,MATCH(F147,Assumptions!$A$9:$A$13,0)),0.15)</x:f>
        <x:v>0.16</x:v>
      </x:c>
      <x:c r="Q147" t="n">
        <x:f>ROUND(O147*(1-P147),0)</x:f>
        <x:v>6373</x:v>
      </x:c>
      <x:c r="R147" t="n">
        <x:f>ROUND(O147*P147,0)</x:f>
        <x:v>1214</x:v>
      </x:c>
      <x:c r="S147" t="n">
        <x:f>ROUND(O147*IFERROR(INDEX(Assumptions!$C$9:$C$13,MATCH(F147,Assumptions!$A$9:$A$13,0)),0.55),0)</x:f>
        <x:v>4249</x:v>
      </x:c>
      <x:c r="T147" t="n">
        <x:f>ROUND(O147*IFERROR(INDEX(Assumptions!$D$9:$D$13,MATCH(F147,Assumptions!$A$9:$A$13,0)),0.06),0)</x:f>
        <x:v>531</x:v>
      </x:c>
      <x:c r="U147" t="n">
        <x:f>ROUND(O147*IFERROR(INDEX(Assumptions!$E$9:$E$13,MATCH(F147,Assumptions!$A$9:$A$13,0)),0.15),0)</x:f>
        <x:v>1214</x:v>
      </x:c>
      <x:c r="V147" t="n">
        <x:f>MAX(0,O147-SUM(R147:U147))</x:f>
        <x:v>378.6899999999996</x:v>
      </x:c>
      <x:c r="W147" t="n">
        <x:f>MIN(100,40+IF(O147&gt;0,20,0)+IF(M147&lt;&gt;"",20,0)+IF(AF147&lt;&gt;"",20,0))</x:f>
        <x:v>100</x:v>
      </x:c>
      <x:c r="X147" t="str">
        <x:v>Placed on exact national road host link</x:v>
      </x:c>
      <x:c r="Y147" t="str">
        <x:v>Unpaved</x:v>
      </x:c>
      <x:c r="Z147" t="str">
        <x:v>B</x:v>
      </x:c>
      <x:c r="AA147" t="str">
        <x:v>Not available in governed source</x:v>
      </x:c>
      <x:c r="AB147" t="str">
        <x:v>Not available in governed source</x:v>
      </x:c>
      <x:c r="AC147" t="str">
        <x:v>FY2025/26</x:v>
      </x:c>
      <x:c r="AD147" t="str">
        <x:v>Modelled</x:v>
      </x:c>
      <x:c r="AE147" t="str">
        <x:v>2026 bridge AADT rebuilt from host-link traffic history, annual collection-link history, same-road corridor history and spatial count-station influence. Vehicle-class values are assigned from functional-class shares.</x:v>
      </x:c>
      <x:c r="AF147" t="str">
        <x:v>Placed on exact national road host link</x:v>
      </x:c>
    </x:row>
    <x:row r="148" ht="15" hidden="0" customHeight="1">
      <x:c r="A148" t="str">
        <x:v>bridge-147</x:v>
      </x:c>
      <x:c r="B148" t="str">
        <x:v>B131</x:v>
      </x:c>
      <x:c r="C148" t="str">
        <x:v>Cala</x:v>
      </x:c>
      <x:c r="D148" t="str">
        <x:v>B250_Link01</x:v>
      </x:c>
      <x:c r="E148" t="str">
        <x:v>Atiak - Moyo</x:v>
      </x:c>
      <x:c r="F148" t="str">
        <x:v>B</x:v>
      </x:c>
      <x:c r="G148" t="str">
        <x:v>Northern</x:v>
      </x:c>
      <x:c r="H148" t="str">
        <x:v>Moyo</x:v>
      </x:c>
      <x:c r="I148" t="str">
        <x:v>Cala River</x:v>
      </x:c>
      <x:c r="J148" t="str">
        <x:v>Poor</x:v>
      </x:c>
      <x:c r="K148" t="n">
        <x:v>31.81457</x:v>
      </x:c>
      <x:c r="L148" t="n">
        <x:v>3.60426</x:v>
      </x:c>
      <x:c r="M148" t="n">
        <x:v>31.821177</x:v>
      </x:c>
      <x:c r="N148" t="n">
        <x:v>3.562214</x:v>
      </x:c>
      <x:c r="O148" t="n">
        <x:v>7586.69</x:v>
      </x:c>
      <x:c r="P148" t="n">
        <x:f>IFERROR(INDEX(Assumptions!$B$9:$B$13,MATCH(F148,Assumptions!$A$9:$A$13,0)),0.15)</x:f>
        <x:v>0.16</x:v>
      </x:c>
      <x:c r="Q148" t="n">
        <x:f>ROUND(O148*(1-P148),0)</x:f>
        <x:v>6373</x:v>
      </x:c>
      <x:c r="R148" t="n">
        <x:f>ROUND(O148*P148,0)</x:f>
        <x:v>1214</x:v>
      </x:c>
      <x:c r="S148" t="n">
        <x:f>ROUND(O148*IFERROR(INDEX(Assumptions!$C$9:$C$13,MATCH(F148,Assumptions!$A$9:$A$13,0)),0.55),0)</x:f>
        <x:v>4249</x:v>
      </x:c>
      <x:c r="T148" t="n">
        <x:f>ROUND(O148*IFERROR(INDEX(Assumptions!$D$9:$D$13,MATCH(F148,Assumptions!$A$9:$A$13,0)),0.06),0)</x:f>
        <x:v>531</x:v>
      </x:c>
      <x:c r="U148" t="n">
        <x:f>ROUND(O148*IFERROR(INDEX(Assumptions!$E$9:$E$13,MATCH(F148,Assumptions!$A$9:$A$13,0)),0.15),0)</x:f>
        <x:v>1214</x:v>
      </x:c>
      <x:c r="V148" t="n">
        <x:f>MAX(0,O148-SUM(R148:U148))</x:f>
        <x:v>378.6899999999996</x:v>
      </x:c>
      <x:c r="W148" t="n">
        <x:f>MIN(100,40+IF(O148&gt;0,20,0)+IF(M148&lt;&gt;"",20,0)+IF(AF148&lt;&gt;"",20,0))</x:f>
        <x:v>100</x:v>
      </x:c>
      <x:c r="X148" t="str">
        <x:v>Placed on exact national road host link</x:v>
      </x:c>
      <x:c r="Y148" t="str">
        <x:v>Unpaved</x:v>
      </x:c>
      <x:c r="Z148" t="str">
        <x:v>B</x:v>
      </x:c>
      <x:c r="AA148" t="str">
        <x:v>Not available in governed source</x:v>
      </x:c>
      <x:c r="AB148" t="str">
        <x:v>Not available in governed source</x:v>
      </x:c>
      <x:c r="AC148" t="str">
        <x:v>FY2025/26</x:v>
      </x:c>
      <x:c r="AD148" t="str">
        <x:v>Modelled</x:v>
      </x:c>
      <x:c r="AE148" t="str">
        <x:v>2026 bridge AADT rebuilt from host-link traffic history, annual collection-link history, same-road corridor history and spatial count-station influence. Vehicle-class values are assigned from functional-class shares.</x:v>
      </x:c>
      <x:c r="AF148" t="str">
        <x:v>Placed on exact national road host link</x:v>
      </x:c>
    </x:row>
    <x:row r="149" ht="15" hidden="0" customHeight="1">
      <x:c r="A149" t="str">
        <x:v>bridge-148</x:v>
      </x:c>
      <x:c r="B149" t="str">
        <x:v>B134</x:v>
      </x:c>
      <x:c r="C149" t="str">
        <x:v>YII BRIDGE</x:v>
      </x:c>
      <x:c r="D149" t="str">
        <x:v>B250_Link02</x:v>
      </x:c>
      <x:c r="E149" t="str">
        <x:v>Moyo - Yumbe</x:v>
      </x:c>
      <x:c r="F149" t="str">
        <x:v>B</x:v>
      </x:c>
      <x:c r="G149" t="str">
        <x:v>Northern</x:v>
      </x:c>
      <x:c r="H149" t="str">
        <x:v>Moyo</x:v>
      </x:c>
      <x:c r="I149" t="str">
        <x:v>YII</x:v>
      </x:c>
      <x:c r="J149" t="str">
        <x:v>Good</x:v>
      </x:c>
      <x:c r="K149" t="n">
        <x:v>31.571014</x:v>
      </x:c>
      <x:c r="L149" t="n">
        <x:v>3.580359</x:v>
      </x:c>
      <x:c r="M149" t="n">
        <x:v>31.574334</x:v>
      </x:c>
      <x:c r="N149" t="n">
        <x:v>3.580072</x:v>
      </x:c>
      <x:c r="O149" t="n">
        <x:v>1674.92</x:v>
      </x:c>
      <x:c r="P149" t="n">
        <x:f>IFERROR(INDEX(Assumptions!$B$9:$B$13,MATCH(F149,Assumptions!$A$9:$A$13,0)),0.15)</x:f>
        <x:v>0.16</x:v>
      </x:c>
      <x:c r="Q149" t="n">
        <x:f>ROUND(O149*(1-P149),0)</x:f>
        <x:v>1407</x:v>
      </x:c>
      <x:c r="R149" t="n">
        <x:f>ROUND(O149*P149,0)</x:f>
        <x:v>268</x:v>
      </x:c>
      <x:c r="S149" t="n">
        <x:f>ROUND(O149*IFERROR(INDEX(Assumptions!$C$9:$C$13,MATCH(F149,Assumptions!$A$9:$A$13,0)),0.55),0)</x:f>
        <x:v>938</x:v>
      </x:c>
      <x:c r="T149" t="n">
        <x:f>ROUND(O149*IFERROR(INDEX(Assumptions!$D$9:$D$13,MATCH(F149,Assumptions!$A$9:$A$13,0)),0.06),0)</x:f>
        <x:v>117</x:v>
      </x:c>
      <x:c r="U149" t="n">
        <x:f>ROUND(O149*IFERROR(INDEX(Assumptions!$E$9:$E$13,MATCH(F149,Assumptions!$A$9:$A$13,0)),0.15),0)</x:f>
        <x:v>268</x:v>
      </x:c>
      <x:c r="V149" t="n">
        <x:f>MAX(0,O149-SUM(R149:U149))</x:f>
        <x:v>83.92000000000007</x:v>
      </x:c>
      <x:c r="W149" t="n">
        <x:f>MIN(100,40+IF(O149&gt;0,20,0)+IF(M149&lt;&gt;"",20,0)+IF(AF149&lt;&gt;"",20,0))</x:f>
        <x:v>100</x:v>
      </x:c>
      <x:c r="X149" t="str">
        <x:v>Placed on exact national road host link</x:v>
      </x:c>
      <x:c r="Y149" t="str">
        <x:v>Unpaved</x:v>
      </x:c>
      <x:c r="Z149" t="str">
        <x:v>B</x:v>
      </x:c>
      <x:c r="AA149" t="str">
        <x:v>Not available in governed source</x:v>
      </x:c>
      <x:c r="AB149" t="str">
        <x:v>Not available in governed source</x:v>
      </x:c>
      <x:c r="AC149" t="str">
        <x:v>FY2025/26</x:v>
      </x:c>
      <x:c r="AD149" t="str">
        <x:v>Modelled</x:v>
      </x:c>
      <x:c r="AE149" t="str">
        <x:v>2026 bridge AADT rebuilt from host-link traffic history, annual collection-link history, same-road corridor history and spatial count-station influence. Vehicle-class values are assigned from functional-class shares.</x:v>
      </x:c>
      <x:c r="AF149" t="str">
        <x:v>Placed on exact national road host link</x:v>
      </x:c>
    </x:row>
    <x:row r="150" ht="15" hidden="0" customHeight="1">
      <x:c r="A150" t="str">
        <x:v>bridge-149</x:v>
      </x:c>
      <x:c r="B150" t="str">
        <x:v>B725</x:v>
      </x:c>
      <x:c r="C150" t="str">
        <x:v>YII</x:v>
      </x:c>
      <x:c r="D150" t="str">
        <x:v>B250_Link02</x:v>
      </x:c>
      <x:c r="E150" t="str">
        <x:v>Moyo - Yumbe</x:v>
      </x:c>
      <x:c r="F150" t="str">
        <x:v>B</x:v>
      </x:c>
      <x:c r="G150" t="str">
        <x:v>Northern</x:v>
      </x:c>
      <x:c r="H150" t="str">
        <x:v>Moyo</x:v>
      </x:c>
      <x:c r="I150" t="str">
        <x:v>YII</x:v>
      </x:c>
      <x:c r="J150" t="str">
        <x:v>Good</x:v>
      </x:c>
      <x:c r="K150" t="n">
        <x:v>31.535219</x:v>
      </x:c>
      <x:c r="L150" t="n">
        <x:v>3.60911</x:v>
      </x:c>
      <x:c r="M150" t="n">
        <x:v>31.574334</x:v>
      </x:c>
      <x:c r="N150" t="n">
        <x:v>3.580072</x:v>
      </x:c>
      <x:c r="O150" t="n">
        <x:v>1674.92</x:v>
      </x:c>
      <x:c r="P150" t="n">
        <x:f>IFERROR(INDEX(Assumptions!$B$9:$B$13,MATCH(F150,Assumptions!$A$9:$A$13,0)),0.15)</x:f>
        <x:v>0.16</x:v>
      </x:c>
      <x:c r="Q150" t="n">
        <x:f>ROUND(O150*(1-P150),0)</x:f>
        <x:v>1407</x:v>
      </x:c>
      <x:c r="R150" t="n">
        <x:f>ROUND(O150*P150,0)</x:f>
        <x:v>268</x:v>
      </x:c>
      <x:c r="S150" t="n">
        <x:f>ROUND(O150*IFERROR(INDEX(Assumptions!$C$9:$C$13,MATCH(F150,Assumptions!$A$9:$A$13,0)),0.55),0)</x:f>
        <x:v>938</x:v>
      </x:c>
      <x:c r="T150" t="n">
        <x:f>ROUND(O150*IFERROR(INDEX(Assumptions!$D$9:$D$13,MATCH(F150,Assumptions!$A$9:$A$13,0)),0.06),0)</x:f>
        <x:v>117</x:v>
      </x:c>
      <x:c r="U150" t="n">
        <x:f>ROUND(O150*IFERROR(INDEX(Assumptions!$E$9:$E$13,MATCH(F150,Assumptions!$A$9:$A$13,0)),0.15),0)</x:f>
        <x:v>268</x:v>
      </x:c>
      <x:c r="V150" t="n">
        <x:f>MAX(0,O150-SUM(R150:U150))</x:f>
        <x:v>83.92000000000007</x:v>
      </x:c>
      <x:c r="W150" t="n">
        <x:f>MIN(100,40+IF(O150&gt;0,20,0)+IF(M150&lt;&gt;"",20,0)+IF(AF150&lt;&gt;"",20,0))</x:f>
        <x:v>100</x:v>
      </x:c>
      <x:c r="X150" t="str">
        <x:v>Placed on exact national road host link</x:v>
      </x:c>
      <x:c r="Y150" t="str">
        <x:v>Unpaved</x:v>
      </x:c>
      <x:c r="Z150" t="str">
        <x:v>B</x:v>
      </x:c>
      <x:c r="AA150" t="str">
        <x:v>Not available in governed source</x:v>
      </x:c>
      <x:c r="AB150" t="str">
        <x:v>Not available in governed source</x:v>
      </x:c>
      <x:c r="AC150" t="str">
        <x:v>FY2025/26</x:v>
      </x:c>
      <x:c r="AD150" t="str">
        <x:v>Modelled</x:v>
      </x:c>
      <x:c r="AE150" t="str">
        <x:v>2026 bridge AADT rebuilt from host-link traffic history, annual collection-link history, same-road corridor history and spatial count-station influence. Vehicle-class values are assigned from functional-class shares.</x:v>
      </x:c>
      <x:c r="AF150" t="str">
        <x:v>Placed on exact national road host link</x:v>
      </x:c>
    </x:row>
    <x:row r="151" ht="15" hidden="0" customHeight="1">
      <x:c r="A151" t="str">
        <x:v>bridge-150</x:v>
      </x:c>
      <x:c r="B151" t="str">
        <x:v>B726</x:v>
      </x:c>
      <x:c r="C151" t="str">
        <x:v>NYAWA BRIDGE</x:v>
      </x:c>
      <x:c r="D151" t="str">
        <x:v>B250_Link02</x:v>
      </x:c>
      <x:c r="E151" t="str">
        <x:v>Moyo - Yumbe</x:v>
      </x:c>
      <x:c r="F151" t="str">
        <x:v>B</x:v>
      </x:c>
      <x:c r="G151" t="str">
        <x:v>Northern</x:v>
      </x:c>
      <x:c r="H151" t="str">
        <x:v>Moyo</x:v>
      </x:c>
      <x:c r="I151" t="str">
        <x:v>NYAWA BRIDGE</x:v>
      </x:c>
      <x:c r="J151" t="str">
        <x:v>Good</x:v>
      </x:c>
      <x:c r="K151" t="n">
        <x:v>31.535076</x:v>
      </x:c>
      <x:c r="L151" t="n">
        <x:v>3.609253</x:v>
      </x:c>
      <x:c r="M151" t="n">
        <x:v>31.53333</x:v>
      </x:c>
      <x:c r="N151" t="n">
        <x:v>3.608758</x:v>
      </x:c>
      <x:c r="O151" t="n">
        <x:v>1674.92</x:v>
      </x:c>
      <x:c r="P151" t="n">
        <x:f>IFERROR(INDEX(Assumptions!$B$9:$B$13,MATCH(F151,Assumptions!$A$9:$A$13,0)),0.15)</x:f>
        <x:v>0.16</x:v>
      </x:c>
      <x:c r="Q151" t="n">
        <x:f>ROUND(O151*(1-P151),0)</x:f>
        <x:v>1407</x:v>
      </x:c>
      <x:c r="R151" t="n">
        <x:f>ROUND(O151*P151,0)</x:f>
        <x:v>268</x:v>
      </x:c>
      <x:c r="S151" t="n">
        <x:f>ROUND(O151*IFERROR(INDEX(Assumptions!$C$9:$C$13,MATCH(F151,Assumptions!$A$9:$A$13,0)),0.55),0)</x:f>
        <x:v>938</x:v>
      </x:c>
      <x:c r="T151" t="n">
        <x:f>ROUND(O151*IFERROR(INDEX(Assumptions!$D$9:$D$13,MATCH(F151,Assumptions!$A$9:$A$13,0)),0.06),0)</x:f>
        <x:v>117</x:v>
      </x:c>
      <x:c r="U151" t="n">
        <x:f>ROUND(O151*IFERROR(INDEX(Assumptions!$E$9:$E$13,MATCH(F151,Assumptions!$A$9:$A$13,0)),0.15),0)</x:f>
        <x:v>268</x:v>
      </x:c>
      <x:c r="V151" t="n">
        <x:f>MAX(0,O151-SUM(R151:U151))</x:f>
        <x:v>83.92000000000007</x:v>
      </x:c>
      <x:c r="W151" t="n">
        <x:f>MIN(100,40+IF(O151&gt;0,20,0)+IF(M151&lt;&gt;"",20,0)+IF(AF151&lt;&gt;"",20,0))</x:f>
        <x:v>100</x:v>
      </x:c>
      <x:c r="X151" t="str">
        <x:v>Placed on exact national road host link</x:v>
      </x:c>
      <x:c r="Y151" t="str">
        <x:v>Unpaved</x:v>
      </x:c>
      <x:c r="Z151" t="str">
        <x:v>B</x:v>
      </x:c>
      <x:c r="AA151" t="str">
        <x:v>Not available in governed source</x:v>
      </x:c>
      <x:c r="AB151" t="str">
        <x:v>Not available in governed source</x:v>
      </x:c>
      <x:c r="AC151" t="str">
        <x:v>FY2025/26</x:v>
      </x:c>
      <x:c r="AD151" t="str">
        <x:v>Modelled</x:v>
      </x:c>
      <x:c r="AE151" t="str">
        <x:v>2026 bridge AADT rebuilt from host-link traffic history, annual collection-link history, same-road corridor history and spatial count-station influence. Vehicle-class values are assigned from functional-class shares.</x:v>
      </x:c>
      <x:c r="AF151" t="str">
        <x:v>Placed on exact national road host link</x:v>
      </x:c>
    </x:row>
    <x:row r="152" ht="15" hidden="0" customHeight="1">
      <x:c r="A152" t="str">
        <x:v>bridge-151</x:v>
      </x:c>
      <x:c r="B152" t="str">
        <x:v>B135</x:v>
      </x:c>
      <x:c r="C152" t="str">
        <x:v>NYAWA</x:v>
      </x:c>
      <x:c r="D152" t="str">
        <x:v>B250_Link02</x:v>
      </x:c>
      <x:c r="E152" t="str">
        <x:v>Moyo - Yumbe</x:v>
      </x:c>
      <x:c r="F152" t="str">
        <x:v>B</x:v>
      </x:c>
      <x:c r="G152" t="str">
        <x:v>Northern</x:v>
      </x:c>
      <x:c r="H152" t="str">
        <x:v>Moyo</x:v>
      </x:c>
      <x:c r="I152" t="str">
        <x:v>NYAWA BRIDGE</x:v>
      </x:c>
      <x:c r="J152" t="str">
        <x:v>Good</x:v>
      </x:c>
      <x:c r="K152" t="n">
        <x:v>31.481871</x:v>
      </x:c>
      <x:c r="L152" t="n">
        <x:v>3.575433</x:v>
      </x:c>
      <x:c r="M152" t="n">
        <x:v>31.53333</x:v>
      </x:c>
      <x:c r="N152" t="n">
        <x:v>3.608758</x:v>
      </x:c>
      <x:c r="O152" t="n">
        <x:v>1674.92</x:v>
      </x:c>
      <x:c r="P152" t="n">
        <x:f>IFERROR(INDEX(Assumptions!$B$9:$B$13,MATCH(F152,Assumptions!$A$9:$A$13,0)),0.15)</x:f>
        <x:v>0.16</x:v>
      </x:c>
      <x:c r="Q152" t="n">
        <x:f>ROUND(O152*(1-P152),0)</x:f>
        <x:v>1407</x:v>
      </x:c>
      <x:c r="R152" t="n">
        <x:f>ROUND(O152*P152,0)</x:f>
        <x:v>268</x:v>
      </x:c>
      <x:c r="S152" t="n">
        <x:f>ROUND(O152*IFERROR(INDEX(Assumptions!$C$9:$C$13,MATCH(F152,Assumptions!$A$9:$A$13,0)),0.55),0)</x:f>
        <x:v>938</x:v>
      </x:c>
      <x:c r="T152" t="n">
        <x:f>ROUND(O152*IFERROR(INDEX(Assumptions!$D$9:$D$13,MATCH(F152,Assumptions!$A$9:$A$13,0)),0.06),0)</x:f>
        <x:v>117</x:v>
      </x:c>
      <x:c r="U152" t="n">
        <x:f>ROUND(O152*IFERROR(INDEX(Assumptions!$E$9:$E$13,MATCH(F152,Assumptions!$A$9:$A$13,0)),0.15),0)</x:f>
        <x:v>268</x:v>
      </x:c>
      <x:c r="V152" t="n">
        <x:f>MAX(0,O152-SUM(R152:U152))</x:f>
        <x:v>83.92000000000007</x:v>
      </x:c>
      <x:c r="W152" t="n">
        <x:f>MIN(100,40+IF(O152&gt;0,20,0)+IF(M152&lt;&gt;"",20,0)+IF(AF152&lt;&gt;"",20,0))</x:f>
        <x:v>100</x:v>
      </x:c>
      <x:c r="X152" t="str">
        <x:v>Placed on exact national road host link</x:v>
      </x:c>
      <x:c r="Y152" t="str">
        <x:v>Unpaved</x:v>
      </x:c>
      <x:c r="Z152" t="str">
        <x:v>B</x:v>
      </x:c>
      <x:c r="AA152" t="str">
        <x:v>Not available in governed source</x:v>
      </x:c>
      <x:c r="AB152" t="str">
        <x:v>Not available in governed source</x:v>
      </x:c>
      <x:c r="AC152" t="str">
        <x:v>FY2025/26</x:v>
      </x:c>
      <x:c r="AD152" t="str">
        <x:v>Modelled</x:v>
      </x:c>
      <x:c r="AE152" t="str">
        <x:v>2026 bridge AADT rebuilt from host-link traffic history, annual collection-link history, same-road corridor history and spatial count-station influence. Vehicle-class values are assigned from functional-class shares.</x:v>
      </x:c>
      <x:c r="AF152" t="str">
        <x:v>Placed on exact national road host link</x:v>
      </x:c>
    </x:row>
    <x:row r="153" ht="15" hidden="0" customHeight="1">
      <x:c r="A153" t="str">
        <x:v>bridge-152</x:v>
      </x:c>
      <x:c r="B153" t="str">
        <x:v>B136</x:v>
      </x:c>
      <x:c r="C153" t="str">
        <x:v>KOCHI</x:v>
      </x:c>
      <x:c r="D153" t="str">
        <x:v>B250_Link02</x:v>
      </x:c>
      <x:c r="E153" t="str">
        <x:v>Moyo - Yumbe</x:v>
      </x:c>
      <x:c r="F153" t="str">
        <x:v>B</x:v>
      </x:c>
      <x:c r="G153" t="str">
        <x:v>Northern</x:v>
      </x:c>
      <x:c r="H153" t="str">
        <x:v>Moyo</x:v>
      </x:c>
      <x:c r="I153" t="str">
        <x:v>KOCHI</x:v>
      </x:c>
      <x:c r="J153" t="str">
        <x:v>Good</x:v>
      </x:c>
      <x:c r="K153" t="n">
        <x:v>31.4385833740234</x:v>
      </x:c>
      <x:c r="L153" t="n">
        <x:v>3.55962491035461</x:v>
      </x:c>
      <x:c r="M153" t="n">
        <x:v>31.4385833740234</x:v>
      </x:c>
      <x:c r="N153" t="n">
        <x:v>3.55962491035461</x:v>
      </x:c>
      <x:c r="O153" t="n">
        <x:v>0</x:v>
      </x:c>
      <x:c r="P153" t="n">
        <x:f>IFERROR(INDEX(Assumptions!$B$9:$B$13,MATCH(F153,Assumptions!$A$9:$A$13,0)),0.15)</x:f>
        <x:v>0.16</x:v>
      </x:c>
      <x:c r="Q153" t="n">
        <x:f>ROUND(O153*(1-P153),0)</x:f>
        <x:v>0</x:v>
      </x:c>
      <x:c r="R153" t="n">
        <x:f>ROUND(O153*P153,0)</x:f>
        <x:v>0</x:v>
      </x:c>
      <x:c r="S153" t="n">
        <x:f>ROUND(O153*IFERROR(INDEX(Assumptions!$C$9:$C$13,MATCH(F153,Assumptions!$A$9:$A$13,0)),0.55),0)</x:f>
        <x:v>0</x:v>
      </x:c>
      <x:c r="T153" t="n">
        <x:f>ROUND(O153*IFERROR(INDEX(Assumptions!$D$9:$D$13,MATCH(F153,Assumptions!$A$9:$A$13,0)),0.06),0)</x:f>
        <x:v>0</x:v>
      </x:c>
      <x:c r="U153" t="n">
        <x:f>ROUND(O153*IFERROR(INDEX(Assumptions!$E$9:$E$13,MATCH(F153,Assumptions!$A$9:$A$13,0)),0.15),0)</x:f>
        <x:v>0</x:v>
      </x:c>
      <x:c r="V153" t="n">
        <x:f>MAX(0,O153-SUM(R153:U153))</x:f>
        <x:v>0</x:v>
      </x:c>
      <x:c r="W153" t="n">
        <x:f>MIN(100,40+IF(O153&gt;0,20,0)+IF(M153&lt;&gt;"",20,0)+IF(AF153&lt;&gt;"",20,0))</x:f>
        <x:v>80</x:v>
      </x:c>
      <x:c r="X153" t="str">
        <x:v>manual</x:v>
      </x:c>
      <x:c r="Y153" t="str">
        <x:v>Unpaved</x:v>
      </x:c>
      <x:c r="Z153" t="str">
        <x:v>B</x:v>
      </x:c>
      <x:c r="AA153" t="str">
        <x:v>Not available in governed source</x:v>
      </x:c>
      <x:c r="AB153" t="str">
        <x:v>Not available in governed source</x:v>
      </x:c>
      <x:c r="AC153" t="str">
        <x:v>FY2025/26</x:v>
      </x:c>
      <x:c r="AD153" t="str">
        <x:v>Modelled</x:v>
      </x:c>
      <x:c r="AE153" t="str">
        <x:v>2026 bridge AADT rebuilt from host-link traffic history, annual collection-link history, same-road corridor history and spatial count-station influence. Vehicle-class values are assigned from functional-class shares.</x:v>
      </x:c>
      <x:c r="AF153" t="str">
        <x:v>manual</x:v>
      </x:c>
    </x:row>
    <x:row r="154" ht="15" hidden="0" customHeight="1">
      <x:c r="A154" t="str">
        <x:v>bridge-153</x:v>
      </x:c>
      <x:c r="B154" t="str">
        <x:v>B137</x:v>
      </x:c>
      <x:c r="C154" t="str">
        <x:v>JURE</x:v>
      </x:c>
      <x:c r="D154" t="str">
        <x:v>B250_Link03</x:v>
      </x:c>
      <x:c r="E154" t="str">
        <x:v>Yumbe - Manibe</x:v>
      </x:c>
      <x:c r="F154" t="str">
        <x:v>B</x:v>
      </x:c>
      <x:c r="G154" t="str">
        <x:v>Northern</x:v>
      </x:c>
      <x:c r="H154" t="str">
        <x:v>Arua</x:v>
      </x:c>
      <x:c r="I154" t="str">
        <x:v>Jure River</x:v>
      </x:c>
      <x:c r="J154" t="str">
        <x:v>Good</x:v>
      </x:c>
      <x:c r="K154" t="n">
        <x:v>31.2775001525879</x:v>
      </x:c>
      <x:c r="L154" t="n">
        <x:v>3.38139009475708</x:v>
      </x:c>
      <x:c r="M154" t="n">
        <x:v>31.2775001525879</x:v>
      </x:c>
      <x:c r="N154" t="n">
        <x:v>3.38139009475708</x:v>
      </x:c>
      <x:c r="O154" t="n">
        <x:v>0</x:v>
      </x:c>
      <x:c r="P154" t="n">
        <x:f>IFERROR(INDEX(Assumptions!$B$9:$B$13,MATCH(F154,Assumptions!$A$9:$A$13,0)),0.15)</x:f>
        <x:v>0.16</x:v>
      </x:c>
      <x:c r="Q154" t="n">
        <x:f>ROUND(O154*(1-P154),0)</x:f>
        <x:v>0</x:v>
      </x:c>
      <x:c r="R154" t="n">
        <x:f>ROUND(O154*P154,0)</x:f>
        <x:v>0</x:v>
      </x:c>
      <x:c r="S154" t="n">
        <x:f>ROUND(O154*IFERROR(INDEX(Assumptions!$C$9:$C$13,MATCH(F154,Assumptions!$A$9:$A$13,0)),0.55),0)</x:f>
        <x:v>0</x:v>
      </x:c>
      <x:c r="T154" t="n">
        <x:f>ROUND(O154*IFERROR(INDEX(Assumptions!$D$9:$D$13,MATCH(F154,Assumptions!$A$9:$A$13,0)),0.06),0)</x:f>
        <x:v>0</x:v>
      </x:c>
      <x:c r="U154" t="n">
        <x:f>ROUND(O154*IFERROR(INDEX(Assumptions!$E$9:$E$13,MATCH(F154,Assumptions!$A$9:$A$13,0)),0.15),0)</x:f>
        <x:v>0</x:v>
      </x:c>
      <x:c r="V154" t="n">
        <x:f>MAX(0,O154-SUM(R154:U154))</x:f>
        <x:v>0</x:v>
      </x:c>
      <x:c r="W154" t="n">
        <x:f>MIN(100,40+IF(O154&gt;0,20,0)+IF(M154&lt;&gt;"",20,0)+IF(AF154&lt;&gt;"",20,0))</x:f>
        <x:v>80</x:v>
      </x:c>
      <x:c r="X154" t="str">
        <x:v>manual</x:v>
      </x:c>
      <x:c r="Y154" t="str">
        <x:v>Unpaved</x:v>
      </x:c>
      <x:c r="Z154" t="str">
        <x:v>B</x:v>
      </x:c>
      <x:c r="AA154" t="str">
        <x:v>Not available in governed source</x:v>
      </x:c>
      <x:c r="AB154" t="str">
        <x:v>Not available in governed source</x:v>
      </x:c>
      <x:c r="AC154" t="str">
        <x:v>FY2025/26</x:v>
      </x:c>
      <x:c r="AD154" t="str">
        <x:v>Modelled</x:v>
      </x:c>
      <x:c r="AE154" t="str">
        <x:v>2026 bridge AADT rebuilt from host-link traffic history, annual collection-link history, same-road corridor history and spatial count-station influence. Vehicle-class values are assigned from functional-class shares.</x:v>
      </x:c>
      <x:c r="AF154" t="str">
        <x:v>manual</x:v>
      </x:c>
    </x:row>
    <x:row r="155" ht="15" hidden="0" customHeight="1">
      <x:c r="A155" t="str">
        <x:v>bridge-154</x:v>
      </x:c>
      <x:c r="B155" t="str">
        <x:v>B138</x:v>
      </x:c>
      <x:c r="C155" t="str">
        <x:v>DACHA</x:v>
      </x:c>
      <x:c r="D155" t="str">
        <x:v>B250_Link03</x:v>
      </x:c>
      <x:c r="E155" t="str">
        <x:v>Yumbe - Manibe</x:v>
      </x:c>
      <x:c r="F155" t="str">
        <x:v>B</x:v>
      </x:c>
      <x:c r="G155" t="str">
        <x:v>Northern</x:v>
      </x:c>
      <x:c r="H155" t="str">
        <x:v>Arua</x:v>
      </x:c>
      <x:c r="I155" t="str">
        <x:v>DACHA</x:v>
      </x:c>
      <x:c r="J155" t="str">
        <x:v>Good</x:v>
      </x:c>
      <x:c r="K155" t="n">
        <x:v>31.262203</x:v>
      </x:c>
      <x:c r="L155" t="n">
        <x:v>3.362382</x:v>
      </x:c>
      <x:c r="M155" t="n">
        <x:v>31.262939</x:v>
      </x:c>
      <x:c r="N155" t="n">
        <x:v>3.365956</x:v>
      </x:c>
      <x:c r="O155" t="n">
        <x:v>1796.22</x:v>
      </x:c>
      <x:c r="P155" t="n">
        <x:f>IFERROR(INDEX(Assumptions!$B$9:$B$13,MATCH(F155,Assumptions!$A$9:$A$13,0)),0.15)</x:f>
        <x:v>0.16</x:v>
      </x:c>
      <x:c r="Q155" t="n">
        <x:f>ROUND(O155*(1-P155),0)</x:f>
        <x:v>1509</x:v>
      </x:c>
      <x:c r="R155" t="n">
        <x:f>ROUND(O155*P155,0)</x:f>
        <x:v>287</x:v>
      </x:c>
      <x:c r="S155" t="n">
        <x:f>ROUND(O155*IFERROR(INDEX(Assumptions!$C$9:$C$13,MATCH(F155,Assumptions!$A$9:$A$13,0)),0.55),0)</x:f>
        <x:v>1006</x:v>
      </x:c>
      <x:c r="T155" t="n">
        <x:f>ROUND(O155*IFERROR(INDEX(Assumptions!$D$9:$D$13,MATCH(F155,Assumptions!$A$9:$A$13,0)),0.06),0)</x:f>
        <x:v>126</x:v>
      </x:c>
      <x:c r="U155" t="n">
        <x:f>ROUND(O155*IFERROR(INDEX(Assumptions!$E$9:$E$13,MATCH(F155,Assumptions!$A$9:$A$13,0)),0.15),0)</x:f>
        <x:v>287</x:v>
      </x:c>
      <x:c r="V155" t="n">
        <x:f>MAX(0,O155-SUM(R155:U155))</x:f>
        <x:v>90.22000000000003</x:v>
      </x:c>
      <x:c r="W155" t="n">
        <x:f>MIN(100,40+IF(O155&gt;0,20,0)+IF(M155&lt;&gt;"",20,0)+IF(AF155&lt;&gt;"",20,0))</x:f>
        <x:v>100</x:v>
      </x:c>
      <x:c r="X155" t="str">
        <x:v>Placed on exact national road host link</x:v>
      </x:c>
      <x:c r="Y155" t="str">
        <x:v>Unpaved</x:v>
      </x:c>
      <x:c r="Z155" t="str">
        <x:v>B</x:v>
      </x:c>
      <x:c r="AA155" t="str">
        <x:v>Not available in governed source</x:v>
      </x:c>
      <x:c r="AB155" t="str">
        <x:v>Not available in governed source</x:v>
      </x:c>
      <x:c r="AC155" t="str">
        <x:v>FY2025/26</x:v>
      </x:c>
      <x:c r="AD155" t="str">
        <x:v>Modelled</x:v>
      </x:c>
      <x:c r="AE155" t="str">
        <x:v>2026 bridge AADT rebuilt from host-link traffic history, annual collection-link history, same-road corridor history and spatial count-station influence. Vehicle-class values are assigned from functional-class shares.</x:v>
      </x:c>
      <x:c r="AF155" t="str">
        <x:v>Placed on exact national road host link</x:v>
      </x:c>
    </x:row>
    <x:row r="156" ht="15" hidden="0" customHeight="1">
      <x:c r="A156" t="str">
        <x:v>bridge-155</x:v>
      </x:c>
      <x:c r="B156" t="str">
        <x:v>B139</x:v>
      </x:c>
      <x:c r="C156" t="str">
        <x:v>ORE BRIDGE</x:v>
      </x:c>
      <x:c r="D156" t="str">
        <x:v>B250_Link03</x:v>
      </x:c>
      <x:c r="E156" t="str">
        <x:v>Yumbe - Manibe</x:v>
      </x:c>
      <x:c r="F156" t="str">
        <x:v>B</x:v>
      </x:c>
      <x:c r="G156" t="str">
        <x:v>Northern</x:v>
      </x:c>
      <x:c r="H156" t="str">
        <x:v>Arua</x:v>
      </x:c>
      <x:c r="I156" t="str">
        <x:v>ORE RIVER</x:v>
      </x:c>
      <x:c r="J156" t="str">
        <x:v>Good</x:v>
      </x:c>
      <x:c r="K156" t="n">
        <x:v>31.203848</x:v>
      </x:c>
      <x:c r="L156" t="n">
        <x:v>3.337053</x:v>
      </x:c>
      <x:c r="M156" t="n">
        <x:v>31.20467</x:v>
      </x:c>
      <x:c r="N156" t="n">
        <x:v>3.337573</x:v>
      </x:c>
      <x:c r="O156" t="n">
        <x:v>1796.22</x:v>
      </x:c>
      <x:c r="P156" t="n">
        <x:f>IFERROR(INDEX(Assumptions!$B$9:$B$13,MATCH(F156,Assumptions!$A$9:$A$13,0)),0.15)</x:f>
        <x:v>0.16</x:v>
      </x:c>
      <x:c r="Q156" t="n">
        <x:f>ROUND(O156*(1-P156),0)</x:f>
        <x:v>1509</x:v>
      </x:c>
      <x:c r="R156" t="n">
        <x:f>ROUND(O156*P156,0)</x:f>
        <x:v>287</x:v>
      </x:c>
      <x:c r="S156" t="n">
        <x:f>ROUND(O156*IFERROR(INDEX(Assumptions!$C$9:$C$13,MATCH(F156,Assumptions!$A$9:$A$13,0)),0.55),0)</x:f>
        <x:v>1006</x:v>
      </x:c>
      <x:c r="T156" t="n">
        <x:f>ROUND(O156*IFERROR(INDEX(Assumptions!$D$9:$D$13,MATCH(F156,Assumptions!$A$9:$A$13,0)),0.06),0)</x:f>
        <x:v>126</x:v>
      </x:c>
      <x:c r="U156" t="n">
        <x:f>ROUND(O156*IFERROR(INDEX(Assumptions!$E$9:$E$13,MATCH(F156,Assumptions!$A$9:$A$13,0)),0.15),0)</x:f>
        <x:v>287</x:v>
      </x:c>
      <x:c r="V156" t="n">
        <x:f>MAX(0,O156-SUM(R156:U156))</x:f>
        <x:v>90.22000000000003</x:v>
      </x:c>
      <x:c r="W156" t="n">
        <x:f>MIN(100,40+IF(O156&gt;0,20,0)+IF(M156&lt;&gt;"",20,0)+IF(AF156&lt;&gt;"",20,0))</x:f>
        <x:v>100</x:v>
      </x:c>
      <x:c r="X156" t="str">
        <x:v>Placed on exact national road host link</x:v>
      </x:c>
      <x:c r="Y156" t="str">
        <x:v>Unpaved</x:v>
      </x:c>
      <x:c r="Z156" t="str">
        <x:v>B</x:v>
      </x:c>
      <x:c r="AA156" t="str">
        <x:v>Not available in governed source</x:v>
      </x:c>
      <x:c r="AB156" t="str">
        <x:v>Not available in governed source</x:v>
      </x:c>
      <x:c r="AC156" t="str">
        <x:v>FY2025/26</x:v>
      </x:c>
      <x:c r="AD156" t="str">
        <x:v>Modelled</x:v>
      </x:c>
      <x:c r="AE156" t="str">
        <x:v>2026 bridge AADT rebuilt from host-link traffic history, annual collection-link history, same-road corridor history and spatial count-station influence. Vehicle-class values are assigned from functional-class shares.</x:v>
      </x:c>
      <x:c r="AF156" t="str">
        <x:v>Placed on exact national road host link</x:v>
      </x:c>
    </x:row>
    <x:row r="157" ht="15" hidden="0" customHeight="1">
      <x:c r="A157" t="str">
        <x:v>bridge-156</x:v>
      </x:c>
      <x:c r="B157" t="str">
        <x:v>B140</x:v>
      </x:c>
      <x:c r="C157" t="str">
        <x:v>Ozoro</x:v>
      </x:c>
      <x:c r="D157" t="str">
        <x:v>B250_Link03</x:v>
      </x:c>
      <x:c r="E157" t="str">
        <x:v>Yumbe - Manibe</x:v>
      </x:c>
      <x:c r="F157" t="str">
        <x:v>B</x:v>
      </x:c>
      <x:c r="G157" t="str">
        <x:v>Northern</x:v>
      </x:c>
      <x:c r="H157" t="str">
        <x:v>Arua</x:v>
      </x:c>
      <x:c r="I157" t="str">
        <x:v>Ozoro</x:v>
      </x:c>
      <x:c r="J157" t="str">
        <x:v>Critical</x:v>
      </x:c>
      <x:c r="K157" t="n">
        <x:v>31.1638</x:v>
      </x:c>
      <x:c r="L157" t="n">
        <x:v>3.28794</x:v>
      </x:c>
      <x:c r="M157" t="n">
        <x:v>31.163809</x:v>
      </x:c>
      <x:c r="N157" t="n">
        <x:v>3.287915</x:v>
      </x:c>
      <x:c r="O157" t="n">
        <x:v>1796.22</x:v>
      </x:c>
      <x:c r="P157" t="n">
        <x:f>IFERROR(INDEX(Assumptions!$B$9:$B$13,MATCH(F157,Assumptions!$A$9:$A$13,0)),0.15)</x:f>
        <x:v>0.16</x:v>
      </x:c>
      <x:c r="Q157" t="n">
        <x:f>ROUND(O157*(1-P157),0)</x:f>
        <x:v>1509</x:v>
      </x:c>
      <x:c r="R157" t="n">
        <x:f>ROUND(O157*P157,0)</x:f>
        <x:v>287</x:v>
      </x:c>
      <x:c r="S157" t="n">
        <x:f>ROUND(O157*IFERROR(INDEX(Assumptions!$C$9:$C$13,MATCH(F157,Assumptions!$A$9:$A$13,0)),0.55),0)</x:f>
        <x:v>1006</x:v>
      </x:c>
      <x:c r="T157" t="n">
        <x:f>ROUND(O157*IFERROR(INDEX(Assumptions!$D$9:$D$13,MATCH(F157,Assumptions!$A$9:$A$13,0)),0.06),0)</x:f>
        <x:v>126</x:v>
      </x:c>
      <x:c r="U157" t="n">
        <x:f>ROUND(O157*IFERROR(INDEX(Assumptions!$E$9:$E$13,MATCH(F157,Assumptions!$A$9:$A$13,0)),0.15),0)</x:f>
        <x:v>287</x:v>
      </x:c>
      <x:c r="V157" t="n">
        <x:f>MAX(0,O157-SUM(R157:U157))</x:f>
        <x:v>90.22000000000003</x:v>
      </x:c>
      <x:c r="W157" t="n">
        <x:f>MIN(100,40+IF(O157&gt;0,20,0)+IF(M157&lt;&gt;"",20,0)+IF(AF157&lt;&gt;"",20,0))</x:f>
        <x:v>100</x:v>
      </x:c>
      <x:c r="X157" t="str">
        <x:v>Placed on exact national road host link</x:v>
      </x:c>
      <x:c r="Y157" t="str">
        <x:v>Unpaved</x:v>
      </x:c>
      <x:c r="Z157" t="str">
        <x:v>B</x:v>
      </x:c>
      <x:c r="AA157" t="str">
        <x:v>Not available in governed source</x:v>
      </x:c>
      <x:c r="AB157" t="str">
        <x:v>Not available in governed source</x:v>
      </x:c>
      <x:c r="AC157" t="str">
        <x:v>FY2025/26</x:v>
      </x:c>
      <x:c r="AD157" t="str">
        <x:v>Modelled</x:v>
      </x:c>
      <x:c r="AE157" t="str">
        <x:v>2026 bridge AADT rebuilt from host-link traffic history, annual collection-link history, same-road corridor history and spatial count-station influence. Vehicle-class values are assigned from functional-class shares.</x:v>
      </x:c>
      <x:c r="AF157" t="str">
        <x:v>Placed on exact national road host link</x:v>
      </x:c>
    </x:row>
    <x:row r="158" ht="15" hidden="0" customHeight="1">
      <x:c r="A158" t="str">
        <x:v>bridge-157</x:v>
      </x:c>
      <x:c r="B158" t="str">
        <x:v>B141</x:v>
      </x:c>
      <x:c r="C158" t="str">
        <x:v>Nvetre</x:v>
      </x:c>
      <x:c r="D158" t="str">
        <x:v>B250_Link03</x:v>
      </x:c>
      <x:c r="E158" t="str">
        <x:v>Yumbe - Manibe</x:v>
      </x:c>
      <x:c r="F158" t="str">
        <x:v>B</x:v>
      </x:c>
      <x:c r="G158" t="str">
        <x:v>Northern</x:v>
      </x:c>
      <x:c r="H158" t="str">
        <x:v>Arua</x:v>
      </x:c>
      <x:c r="I158" t="str">
        <x:v>River Nvetre</x:v>
      </x:c>
      <x:c r="J158" t="str">
        <x:v>Poor</x:v>
      </x:c>
      <x:c r="K158" t="n">
        <x:v>31.15046</x:v>
      </x:c>
      <x:c r="L158" t="n">
        <x:v>3.27828</x:v>
      </x:c>
      <x:c r="M158" t="n">
        <x:v>31.150181</x:v>
      </x:c>
      <x:c r="N158" t="n">
        <x:v>3.278513</x:v>
      </x:c>
      <x:c r="O158" t="n">
        <x:v>1796.22</x:v>
      </x:c>
      <x:c r="P158" t="n">
        <x:f>IFERROR(INDEX(Assumptions!$B$9:$B$13,MATCH(F158,Assumptions!$A$9:$A$13,0)),0.15)</x:f>
        <x:v>0.16</x:v>
      </x:c>
      <x:c r="Q158" t="n">
        <x:f>ROUND(O158*(1-P158),0)</x:f>
        <x:v>1509</x:v>
      </x:c>
      <x:c r="R158" t="n">
        <x:f>ROUND(O158*P158,0)</x:f>
        <x:v>287</x:v>
      </x:c>
      <x:c r="S158" t="n">
        <x:f>ROUND(O158*IFERROR(INDEX(Assumptions!$C$9:$C$13,MATCH(F158,Assumptions!$A$9:$A$13,0)),0.55),0)</x:f>
        <x:v>1006</x:v>
      </x:c>
      <x:c r="T158" t="n">
        <x:f>ROUND(O158*IFERROR(INDEX(Assumptions!$D$9:$D$13,MATCH(F158,Assumptions!$A$9:$A$13,0)),0.06),0)</x:f>
        <x:v>126</x:v>
      </x:c>
      <x:c r="U158" t="n">
        <x:f>ROUND(O158*IFERROR(INDEX(Assumptions!$E$9:$E$13,MATCH(F158,Assumptions!$A$9:$A$13,0)),0.15),0)</x:f>
        <x:v>287</x:v>
      </x:c>
      <x:c r="V158" t="n">
        <x:f>MAX(0,O158-SUM(R158:U158))</x:f>
        <x:v>90.22000000000003</x:v>
      </x:c>
      <x:c r="W158" t="n">
        <x:f>MIN(100,40+IF(O158&gt;0,20,0)+IF(M158&lt;&gt;"",20,0)+IF(AF158&lt;&gt;"",20,0))</x:f>
        <x:v>100</x:v>
      </x:c>
      <x:c r="X158" t="str">
        <x:v>Placed on exact national road host link</x:v>
      </x:c>
      <x:c r="Y158" t="str">
        <x:v>Unpaved</x:v>
      </x:c>
      <x:c r="Z158" t="str">
        <x:v>B</x:v>
      </x:c>
      <x:c r="AA158" t="str">
        <x:v>Not available in governed source</x:v>
      </x:c>
      <x:c r="AB158" t="str">
        <x:v>Not available in governed source</x:v>
      </x:c>
      <x:c r="AC158" t="str">
        <x:v>FY2025/26</x:v>
      </x:c>
      <x:c r="AD158" t="str">
        <x:v>Modelled</x:v>
      </x:c>
      <x:c r="AE158" t="str">
        <x:v>2026 bridge AADT rebuilt from host-link traffic history, annual collection-link history, same-road corridor history and spatial count-station influence. Vehicle-class values are assigned from functional-class shares.</x:v>
      </x:c>
      <x:c r="AF158" t="str">
        <x:v>Placed on exact national road host link</x:v>
      </x:c>
    </x:row>
    <x:row r="159" ht="15" hidden="0" customHeight="1">
      <x:c r="A159" t="str">
        <x:v>bridge-158</x:v>
      </x:c>
      <x:c r="B159" t="str">
        <x:v>B142</x:v>
      </x:c>
      <x:c r="C159" t="str">
        <x:v>ORU BRIDGE</x:v>
      </x:c>
      <x:c r="D159" t="str">
        <x:v>B250_Link03</x:v>
      </x:c>
      <x:c r="E159" t="str">
        <x:v>Yumbe - Manibe</x:v>
      </x:c>
      <x:c r="F159" t="str">
        <x:v>B</x:v>
      </x:c>
      <x:c r="G159" t="str">
        <x:v>Northern</x:v>
      </x:c>
      <x:c r="H159" t="str">
        <x:v>Arua</x:v>
      </x:c>
      <x:c r="I159" t="str">
        <x:v>ORU BRIDGE</x:v>
      </x:c>
      <x:c r="J159" t="str">
        <x:v>Marginal</x:v>
      </x:c>
      <x:c r="K159" t="n">
        <x:v>31.135326</x:v>
      </x:c>
      <x:c r="L159" t="n">
        <x:v>3.265765</x:v>
      </x:c>
      <x:c r="M159" t="n">
        <x:v>31.140674</x:v>
      </x:c>
      <x:c r="N159" t="n">
        <x:v>3.267843</x:v>
      </x:c>
      <x:c r="O159" t="n">
        <x:v>1796.22</x:v>
      </x:c>
      <x:c r="P159" t="n">
        <x:f>IFERROR(INDEX(Assumptions!$B$9:$B$13,MATCH(F159,Assumptions!$A$9:$A$13,0)),0.15)</x:f>
        <x:v>0.16</x:v>
      </x:c>
      <x:c r="Q159" t="n">
        <x:f>ROUND(O159*(1-P159),0)</x:f>
        <x:v>1509</x:v>
      </x:c>
      <x:c r="R159" t="n">
        <x:f>ROUND(O159*P159,0)</x:f>
        <x:v>287</x:v>
      </x:c>
      <x:c r="S159" t="n">
        <x:f>ROUND(O159*IFERROR(INDEX(Assumptions!$C$9:$C$13,MATCH(F159,Assumptions!$A$9:$A$13,0)),0.55),0)</x:f>
        <x:v>1006</x:v>
      </x:c>
      <x:c r="T159" t="n">
        <x:f>ROUND(O159*IFERROR(INDEX(Assumptions!$D$9:$D$13,MATCH(F159,Assumptions!$A$9:$A$13,0)),0.06),0)</x:f>
        <x:v>126</x:v>
      </x:c>
      <x:c r="U159" t="n">
        <x:f>ROUND(O159*IFERROR(INDEX(Assumptions!$E$9:$E$13,MATCH(F159,Assumptions!$A$9:$A$13,0)),0.15),0)</x:f>
        <x:v>287</x:v>
      </x:c>
      <x:c r="V159" t="n">
        <x:f>MAX(0,O159-SUM(R159:U159))</x:f>
        <x:v>90.22000000000003</x:v>
      </x:c>
      <x:c r="W159" t="n">
        <x:f>MIN(100,40+IF(O159&gt;0,20,0)+IF(M159&lt;&gt;"",20,0)+IF(AF159&lt;&gt;"",20,0))</x:f>
        <x:v>100</x:v>
      </x:c>
      <x:c r="X159" t="str">
        <x:v>Placed on exact national road host link</x:v>
      </x:c>
      <x:c r="Y159" t="str">
        <x:v>Unpaved</x:v>
      </x:c>
      <x:c r="Z159" t="str">
        <x:v>B</x:v>
      </x:c>
      <x:c r="AA159" t="str">
        <x:v>Not available in governed source</x:v>
      </x:c>
      <x:c r="AB159" t="str">
        <x:v>Not available in governed source</x:v>
      </x:c>
      <x:c r="AC159" t="str">
        <x:v>FY2025/26</x:v>
      </x:c>
      <x:c r="AD159" t="str">
        <x:v>Modelled</x:v>
      </x:c>
      <x:c r="AE159" t="str">
        <x:v>2026 bridge AADT rebuilt from host-link traffic history, annual collection-link history, same-road corridor history and spatial count-station influence. Vehicle-class values are assigned from functional-class shares.</x:v>
      </x:c>
      <x:c r="AF159" t="str">
        <x:v>Placed on exact national road host link</x:v>
      </x:c>
    </x:row>
    <x:row r="160" ht="15" hidden="0" customHeight="1">
      <x:c r="A160" t="str">
        <x:v>bridge-159</x:v>
      </x:c>
      <x:c r="B160" t="str">
        <x:v>B143</x:v>
      </x:c>
      <x:c r="C160" t="str">
        <x:v>ENYAWU BRIDGE</x:v>
      </x:c>
      <x:c r="D160" t="str">
        <x:v>B250_Link03</x:v>
      </x:c>
      <x:c r="E160" t="str">
        <x:v>Yumbe - Manibe</x:v>
      </x:c>
      <x:c r="F160" t="str">
        <x:v>B</x:v>
      </x:c>
      <x:c r="G160" t="str">
        <x:v>Northern</x:v>
      </x:c>
      <x:c r="H160" t="str">
        <x:v>Arua</x:v>
      </x:c>
      <x:c r="I160" t="str">
        <x:v>ENYAWU RIVER</x:v>
      </x:c>
      <x:c r="J160" t="str">
        <x:v>Satisfactory</x:v>
      </x:c>
      <x:c r="K160" t="n">
        <x:v>31.124056</x:v>
      </x:c>
      <x:c r="L160" t="n">
        <x:v>3.252225</x:v>
      </x:c>
      <x:c r="M160" t="n">
        <x:v>31.122776</x:v>
      </x:c>
      <x:c r="N160" t="n">
        <x:v>3.25326</x:v>
      </x:c>
      <x:c r="O160" t="n">
        <x:v>1796.22</x:v>
      </x:c>
      <x:c r="P160" t="n">
        <x:f>IFERROR(INDEX(Assumptions!$B$9:$B$13,MATCH(F160,Assumptions!$A$9:$A$13,0)),0.15)</x:f>
        <x:v>0.16</x:v>
      </x:c>
      <x:c r="Q160" t="n">
        <x:f>ROUND(O160*(1-P160),0)</x:f>
        <x:v>1509</x:v>
      </x:c>
      <x:c r="R160" t="n">
        <x:f>ROUND(O160*P160,0)</x:f>
        <x:v>287</x:v>
      </x:c>
      <x:c r="S160" t="n">
        <x:f>ROUND(O160*IFERROR(INDEX(Assumptions!$C$9:$C$13,MATCH(F160,Assumptions!$A$9:$A$13,0)),0.55),0)</x:f>
        <x:v>1006</x:v>
      </x:c>
      <x:c r="T160" t="n">
        <x:f>ROUND(O160*IFERROR(INDEX(Assumptions!$D$9:$D$13,MATCH(F160,Assumptions!$A$9:$A$13,0)),0.06),0)</x:f>
        <x:v>126</x:v>
      </x:c>
      <x:c r="U160" t="n">
        <x:f>ROUND(O160*IFERROR(INDEX(Assumptions!$E$9:$E$13,MATCH(F160,Assumptions!$A$9:$A$13,0)),0.15),0)</x:f>
        <x:v>287</x:v>
      </x:c>
      <x:c r="V160" t="n">
        <x:f>MAX(0,O160-SUM(R160:U160))</x:f>
        <x:v>90.22000000000003</x:v>
      </x:c>
      <x:c r="W160" t="n">
        <x:f>MIN(100,40+IF(O160&gt;0,20,0)+IF(M160&lt;&gt;"",20,0)+IF(AF160&lt;&gt;"",20,0))</x:f>
        <x:v>100</x:v>
      </x:c>
      <x:c r="X160" t="str">
        <x:v>Placed on exact national road host link</x:v>
      </x:c>
      <x:c r="Y160" t="str">
        <x:v>Unpaved</x:v>
      </x:c>
      <x:c r="Z160" t="str">
        <x:v>B</x:v>
      </x:c>
      <x:c r="AA160" t="str">
        <x:v>Not available in governed source</x:v>
      </x:c>
      <x:c r="AB160" t="str">
        <x:v>Not available in governed source</x:v>
      </x:c>
      <x:c r="AC160" t="str">
        <x:v>FY2025/26</x:v>
      </x:c>
      <x:c r="AD160" t="str">
        <x:v>Modelled</x:v>
      </x:c>
      <x:c r="AE160" t="str">
        <x:v>2026 bridge AADT rebuilt from host-link traffic history, annual collection-link history, same-road corridor history and spatial count-station influence. Vehicle-class values are assigned from functional-class shares.</x:v>
      </x:c>
      <x:c r="AF160" t="str">
        <x:v>Placed on exact national road host link</x:v>
      </x:c>
    </x:row>
    <x:row r="161" ht="15" hidden="0" customHeight="1">
      <x:c r="A161" t="str">
        <x:v>bridge-160</x:v>
      </x:c>
      <x:c r="B161" t="str">
        <x:v>B144</x:v>
      </x:c>
      <x:c r="C161" t="str">
        <x:v>AYAGO BRIDGE</x:v>
      </x:c>
      <x:c r="D161" t="str">
        <x:v>B251_Link01</x:v>
      </x:c>
      <x:c r="E161" t="str">
        <x:v>Gulu - Olwiyo</x:v>
      </x:c>
      <x:c r="F161" t="str">
        <x:v>B</x:v>
      </x:c>
      <x:c r="G161" t="str">
        <x:v>Northern</x:v>
      </x:c>
      <x:c r="H161" t="str">
        <x:v>Gulu</x:v>
      </x:c>
      <x:c r="I161" t="str">
        <x:v>AYAGO RIVER</x:v>
      </x:c>
      <x:c r="J161" t="str">
        <x:v>Good</x:v>
      </x:c>
      <x:c r="K161" t="n">
        <x:v>32.055302</x:v>
      </x:c>
      <x:c r="L161" t="n">
        <x:v>2.617902</x:v>
      </x:c>
      <x:c r="M161" t="n">
        <x:v>32.057063</x:v>
      </x:c>
      <x:c r="N161" t="n">
        <x:v>2.617554</x:v>
      </x:c>
      <x:c r="O161" t="n">
        <x:v>11446.6</x:v>
      </x:c>
      <x:c r="P161" t="n">
        <x:f>IFERROR(INDEX(Assumptions!$B$9:$B$13,MATCH(F161,Assumptions!$A$9:$A$13,0)),0.15)</x:f>
        <x:v>0.16</x:v>
      </x:c>
      <x:c r="Q161" t="n">
        <x:f>ROUND(O161*(1-P161),0)</x:f>
        <x:v>9615</x:v>
      </x:c>
      <x:c r="R161" t="n">
        <x:f>ROUND(O161*P161,0)</x:f>
        <x:v>1831</x:v>
      </x:c>
      <x:c r="S161" t="n">
        <x:f>ROUND(O161*IFERROR(INDEX(Assumptions!$C$9:$C$13,MATCH(F161,Assumptions!$A$9:$A$13,0)),0.55),0)</x:f>
        <x:v>6410</x:v>
      </x:c>
      <x:c r="T161" t="n">
        <x:f>ROUND(O161*IFERROR(INDEX(Assumptions!$D$9:$D$13,MATCH(F161,Assumptions!$A$9:$A$13,0)),0.06),0)</x:f>
        <x:v>801</x:v>
      </x:c>
      <x:c r="U161" t="n">
        <x:f>ROUND(O161*IFERROR(INDEX(Assumptions!$E$9:$E$13,MATCH(F161,Assumptions!$A$9:$A$13,0)),0.15),0)</x:f>
        <x:v>1831</x:v>
      </x:c>
      <x:c r="V161" t="n">
        <x:f>MAX(0,O161-SUM(R161:U161))</x:f>
        <x:v>573.6000000000004</x:v>
      </x:c>
      <x:c r="W161" t="n">
        <x:f>MIN(100,40+IF(O161&gt;0,20,0)+IF(M161&lt;&gt;"",20,0)+IF(AF161&lt;&gt;"",20,0))</x:f>
        <x:v>100</x:v>
      </x:c>
      <x:c r="X161" t="str">
        <x:v>Placed on exact national road host link</x:v>
      </x:c>
      <x:c r="Y161" t="str">
        <x:v>Paved</x:v>
      </x:c>
      <x:c r="Z161" t="str">
        <x:v>B</x:v>
      </x:c>
      <x:c r="AA161" t="str">
        <x:v>Not available in governed source</x:v>
      </x:c>
      <x:c r="AB161" t="str">
        <x:v>Not available in governed source</x:v>
      </x:c>
      <x:c r="AC161" t="str">
        <x:v>FY2025/26</x:v>
      </x:c>
      <x:c r="AD161" t="str">
        <x:v>Modelled</x:v>
      </x:c>
      <x:c r="AE161" t="str">
        <x:v>2026 bridge AADT rebuilt from host-link traffic history, annual collection-link history, same-road corridor history and spatial count-station influence. Vehicle-class values are assigned from functional-class shares.</x:v>
      </x:c>
      <x:c r="AF161" t="str">
        <x:v>Placed on exact national road host link</x:v>
      </x:c>
    </x:row>
    <x:row r="162" ht="15" hidden="0" customHeight="1">
      <x:c r="A162" t="str">
        <x:v>bridge-161</x:v>
      </x:c>
      <x:c r="B162" t="str">
        <x:v>B145</x:v>
      </x:c>
      <x:c r="C162" t="str">
        <x:v>AYAGO BRIDGE</x:v>
      </x:c>
      <x:c r="D162" t="str">
        <x:v>A008_Link01</x:v>
      </x:c>
      <x:c r="E162" t="str">
        <x:v>Karuma - Olwiyo</x:v>
      </x:c>
      <x:c r="F162" t="str">
        <x:v>A</x:v>
      </x:c>
      <x:c r="G162" t="str">
        <x:v>Northern</x:v>
      </x:c>
      <x:c r="H162" t="str">
        <x:v>Gulu</x:v>
      </x:c>
      <x:c r="I162" t="str">
        <x:v>AYAGO RIVER</x:v>
      </x:c>
      <x:c r="J162" t="str">
        <x:v>Good</x:v>
      </x:c>
      <x:c r="K162" t="n">
        <x:v>31.996092</x:v>
      </x:c>
      <x:c r="L162" t="n">
        <x:v>2.416902</x:v>
      </x:c>
      <x:c r="M162" t="n">
        <x:v>31.965467</x:v>
      </x:c>
      <x:c r="N162" t="n">
        <x:v>2.447473</x:v>
      </x:c>
      <x:c r="O162" t="n">
        <x:v>745.74</x:v>
      </x:c>
      <x:c r="P162" t="n">
        <x:f>IFERROR(INDEX(Assumptions!$B$9:$B$13,MATCH(F162,Assumptions!$A$9:$A$13,0)),0.15)</x:f>
        <x:v>0.12</x:v>
      </x:c>
      <x:c r="Q162" t="n">
        <x:f>ROUND(O162*(1-P162),0)</x:f>
        <x:v>656</x:v>
      </x:c>
      <x:c r="R162" t="n">
        <x:f>ROUND(O162*P162,0)</x:f>
        <x:v>89</x:v>
      </x:c>
      <x:c r="S162" t="n">
        <x:f>ROUND(O162*IFERROR(INDEX(Assumptions!$C$9:$C$13,MATCH(F162,Assumptions!$A$9:$A$13,0)),0.55),0)</x:f>
        <x:v>433</x:v>
      </x:c>
      <x:c r="T162" t="n">
        <x:f>ROUND(O162*IFERROR(INDEX(Assumptions!$D$9:$D$13,MATCH(F162,Assumptions!$A$9:$A$13,0)),0.06),0)</x:f>
        <x:v>60</x:v>
      </x:c>
      <x:c r="U162" t="n">
        <x:f>ROUND(O162*IFERROR(INDEX(Assumptions!$E$9:$E$13,MATCH(F162,Assumptions!$A$9:$A$13,0)),0.15),0)</x:f>
        <x:v>134</x:v>
      </x:c>
      <x:c r="V162" t="n">
        <x:f>MAX(0,O162-SUM(R162:U162))</x:f>
        <x:v>29.74000000000001</x:v>
      </x:c>
      <x:c r="W162" t="n">
        <x:f>MIN(100,40+IF(O162&gt;0,20,0)+IF(M162&lt;&gt;"",20,0)+IF(AF162&lt;&gt;"",20,0))</x:f>
        <x:v>100</x:v>
      </x:c>
      <x:c r="X162" t="str">
        <x:v>Placed on exact national road host link</x:v>
      </x:c>
      <x:c r="Y162" t="str">
        <x:v>Paved</x:v>
      </x:c>
      <x:c r="Z162" t="str">
        <x:v>A</x:v>
      </x:c>
      <x:c r="AA162" t="str">
        <x:v>Not available in governed source</x:v>
      </x:c>
      <x:c r="AB162" t="str">
        <x:v>Not available in governed source</x:v>
      </x:c>
      <x:c r="AC162" t="str">
        <x:v>FY2025/26</x:v>
      </x:c>
      <x:c r="AD162" t="str">
        <x:v>Modelled</x:v>
      </x:c>
      <x:c r="AE162" t="str">
        <x:v>2026 bridge AADT rebuilt from host-link traffic history, annual collection-link history, same-road corridor history and spatial count-station influence. Vehicle-class values are assigned from functional-class shares.</x:v>
      </x:c>
      <x:c r="AF162" t="str">
        <x:v>Placed on exact national road host link</x:v>
      </x:c>
    </x:row>
    <x:row r="163" ht="15" hidden="0" customHeight="1">
      <x:c r="A163" t="str">
        <x:v>bridge-162</x:v>
      </x:c>
      <x:c r="B163" t="str">
        <x:v>B146</x:v>
      </x:c>
      <x:c r="C163" t="str">
        <x:v>AKAKU</x:v>
      </x:c>
      <x:c r="D163" t="str">
        <x:v>B251_Link01</x:v>
      </x:c>
      <x:c r="E163" t="str">
        <x:v>Gulu - Olwiyo</x:v>
      </x:c>
      <x:c r="F163" t="str">
        <x:v>B</x:v>
      </x:c>
      <x:c r="G163" t="str">
        <x:v>Northern</x:v>
      </x:c>
      <x:c r="H163" t="str">
        <x:v>Gulu</x:v>
      </x:c>
      <x:c r="I163" t="str">
        <x:v>AKAKU</x:v>
      </x:c>
      <x:c r="J163" t="str">
        <x:v>Marginal</x:v>
      </x:c>
      <x:c r="K163" t="n">
        <x:v>31.92931</x:v>
      </x:c>
      <x:c r="L163" t="n">
        <x:v>2.58932</x:v>
      </x:c>
      <x:c r="M163" t="n">
        <x:v>31.937167</x:v>
      </x:c>
      <x:c r="N163" t="n">
        <x:v>2.594498</x:v>
      </x:c>
      <x:c r="O163" t="n">
        <x:v>11446.6</x:v>
      </x:c>
      <x:c r="P163" t="n">
        <x:f>IFERROR(INDEX(Assumptions!$B$9:$B$13,MATCH(F163,Assumptions!$A$9:$A$13,0)),0.15)</x:f>
        <x:v>0.16</x:v>
      </x:c>
      <x:c r="Q163" t="n">
        <x:f>ROUND(O163*(1-P163),0)</x:f>
        <x:v>9615</x:v>
      </x:c>
      <x:c r="R163" t="n">
        <x:f>ROUND(O163*P163,0)</x:f>
        <x:v>1831</x:v>
      </x:c>
      <x:c r="S163" t="n">
        <x:f>ROUND(O163*IFERROR(INDEX(Assumptions!$C$9:$C$13,MATCH(F163,Assumptions!$A$9:$A$13,0)),0.55),0)</x:f>
        <x:v>6410</x:v>
      </x:c>
      <x:c r="T163" t="n">
        <x:f>ROUND(O163*IFERROR(INDEX(Assumptions!$D$9:$D$13,MATCH(F163,Assumptions!$A$9:$A$13,0)),0.06),0)</x:f>
        <x:v>801</x:v>
      </x:c>
      <x:c r="U163" t="n">
        <x:f>ROUND(O163*IFERROR(INDEX(Assumptions!$E$9:$E$13,MATCH(F163,Assumptions!$A$9:$A$13,0)),0.15),0)</x:f>
        <x:v>1831</x:v>
      </x:c>
      <x:c r="V163" t="n">
        <x:f>MAX(0,O163-SUM(R163:U163))</x:f>
        <x:v>573.6000000000004</x:v>
      </x:c>
      <x:c r="W163" t="n">
        <x:f>MIN(100,40+IF(O163&gt;0,20,0)+IF(M163&lt;&gt;"",20,0)+IF(AF163&lt;&gt;"",20,0))</x:f>
        <x:v>100</x:v>
      </x:c>
      <x:c r="X163" t="str">
        <x:v>Placed on exact national road host link</x:v>
      </x:c>
      <x:c r="Y163" t="str">
        <x:v>Paved</x:v>
      </x:c>
      <x:c r="Z163" t="str">
        <x:v>B</x:v>
      </x:c>
      <x:c r="AA163" t="str">
        <x:v>Not available in governed source</x:v>
      </x:c>
      <x:c r="AB163" t="str">
        <x:v>Not available in governed source</x:v>
      </x:c>
      <x:c r="AC163" t="str">
        <x:v>FY2025/26</x:v>
      </x:c>
      <x:c r="AD163" t="str">
        <x:v>Modelled</x:v>
      </x:c>
      <x:c r="AE163" t="str">
        <x:v>2026 bridge AADT rebuilt from host-link traffic history, annual collection-link history, same-road corridor history and spatial count-station influence. Vehicle-class values are assigned from functional-class shares.</x:v>
      </x:c>
      <x:c r="AF163" t="str">
        <x:v>Placed on exact national road host link</x:v>
      </x:c>
    </x:row>
    <x:row r="164" ht="15" hidden="0" customHeight="1">
      <x:c r="A164" t="str">
        <x:v>bridge-163</x:v>
      </x:c>
      <x:c r="B164" t="str">
        <x:v>B147</x:v>
      </x:c>
      <x:c r="C164" t="str">
        <x:v>ITUNGA BRIDGE</x:v>
      </x:c>
      <x:c r="D164" t="str">
        <x:v>B252_Link01</x:v>
      </x:c>
      <x:c r="E164" t="str">
        <x:v>Lira - Puranga Bridge</x:v>
      </x:c>
      <x:c r="F164" t="str">
        <x:v>B</x:v>
      </x:c>
      <x:c r="G164" t="str">
        <x:v>Northern</x:v>
      </x:c>
      <x:c r="H164" t="str">
        <x:v>Lira</x:v>
      </x:c>
      <x:c r="I164" t="str">
        <x:v>ITUNGA STREAM</x:v>
      </x:c>
      <x:c r="J164" t="str">
        <x:v>Marginal</x:v>
      </x:c>
      <x:c r="K164" t="n">
        <x:v>32.932499</x:v>
      </x:c>
      <x:c r="L164" t="n">
        <x:v>2.55183</x:v>
      </x:c>
      <x:c r="M164" t="n">
        <x:v>32.932532</x:v>
      </x:c>
      <x:c r="N164" t="n">
        <x:v>2.551834</x:v>
      </x:c>
      <x:c r="O164" t="n">
        <x:v>3392.27</x:v>
      </x:c>
      <x:c r="P164" t="n">
        <x:f>IFERROR(INDEX(Assumptions!$B$9:$B$13,MATCH(F164,Assumptions!$A$9:$A$13,0)),0.15)</x:f>
        <x:v>0.16</x:v>
      </x:c>
      <x:c r="Q164" t="n">
        <x:f>ROUND(O164*(1-P164),0)</x:f>
        <x:v>2850</x:v>
      </x:c>
      <x:c r="R164" t="n">
        <x:f>ROUND(O164*P164,0)</x:f>
        <x:v>543</x:v>
      </x:c>
      <x:c r="S164" t="n">
        <x:f>ROUND(O164*IFERROR(INDEX(Assumptions!$C$9:$C$13,MATCH(F164,Assumptions!$A$9:$A$13,0)),0.55),0)</x:f>
        <x:v>1900</x:v>
      </x:c>
      <x:c r="T164" t="n">
        <x:f>ROUND(O164*IFERROR(INDEX(Assumptions!$D$9:$D$13,MATCH(F164,Assumptions!$A$9:$A$13,0)),0.06),0)</x:f>
        <x:v>237</x:v>
      </x:c>
      <x:c r="U164" t="n">
        <x:f>ROUND(O164*IFERROR(INDEX(Assumptions!$E$9:$E$13,MATCH(F164,Assumptions!$A$9:$A$13,0)),0.15),0)</x:f>
        <x:v>543</x:v>
      </x:c>
      <x:c r="V164" t="n">
        <x:f>MAX(0,O164-SUM(R164:U164))</x:f>
        <x:v>169.26999999999998</x:v>
      </x:c>
      <x:c r="W164" t="n">
        <x:f>MIN(100,40+IF(O164&gt;0,20,0)+IF(M164&lt;&gt;"",20,0)+IF(AF164&lt;&gt;"",20,0))</x:f>
        <x:v>100</x:v>
      </x:c>
      <x:c r="X164" t="str">
        <x:v>Placed on exact national road host link</x:v>
      </x:c>
      <x:c r="Y164" t="str">
        <x:v>Unpaved</x:v>
      </x:c>
      <x:c r="Z164" t="str">
        <x:v>B</x:v>
      </x:c>
      <x:c r="AA164" t="str">
        <x:v>Not available in governed source</x:v>
      </x:c>
      <x:c r="AB164" t="str">
        <x:v>Not available in governed source</x:v>
      </x:c>
      <x:c r="AC164" t="str">
        <x:v>FY2025/26</x:v>
      </x:c>
      <x:c r="AD164" t="str">
        <x:v>Modelled</x:v>
      </x:c>
      <x:c r="AE164" t="str">
        <x:v>2026 bridge AADT rebuilt from host-link traffic history, annual collection-link history, same-road corridor history and spatial count-station influence. Vehicle-class values are assigned from functional-class shares.</x:v>
      </x:c>
      <x:c r="AF164" t="str">
        <x:v>Placed on exact national road host link</x:v>
      </x:c>
    </x:row>
    <x:row r="165" ht="15" hidden="0" customHeight="1">
      <x:c r="A165" t="str">
        <x:v>bridge-164</x:v>
      </x:c>
      <x:c r="B165" t="str">
        <x:v>B148</x:v>
      </x:c>
      <x:c r="C165" t="str">
        <x:v>PURANGA BRIDGE</x:v>
      </x:c>
      <x:c r="D165" t="str">
        <x:v>B252_Link01</x:v>
      </x:c>
      <x:c r="E165" t="str">
        <x:v>Lira - Puranga Bridge</x:v>
      </x:c>
      <x:c r="F165" t="str">
        <x:v>B</x:v>
      </x:c>
      <x:c r="G165" t="str">
        <x:v>Northern</x:v>
      </x:c>
      <x:c r="H165" t="str">
        <x:v>Lira</x:v>
      </x:c>
      <x:c r="I165" t="str">
        <x:v>PURANGA RIVER</x:v>
      </x:c>
      <x:c r="J165" t="str">
        <x:v>Good</x:v>
      </x:c>
      <x:c r="K165" t="n">
        <x:v>32.936661</x:v>
      </x:c>
      <x:c r="L165" t="n">
        <x:v>2.60644</x:v>
      </x:c>
      <x:c r="M165" t="n">
        <x:v>32.936287</x:v>
      </x:c>
      <x:c r="N165" t="n">
        <x:v>2.605823</x:v>
      </x:c>
      <x:c r="O165" t="n">
        <x:v>3392.27</x:v>
      </x:c>
      <x:c r="P165" t="n">
        <x:f>IFERROR(INDEX(Assumptions!$B$9:$B$13,MATCH(F165,Assumptions!$A$9:$A$13,0)),0.15)</x:f>
        <x:v>0.16</x:v>
      </x:c>
      <x:c r="Q165" t="n">
        <x:f>ROUND(O165*(1-P165),0)</x:f>
        <x:v>2850</x:v>
      </x:c>
      <x:c r="R165" t="n">
        <x:f>ROUND(O165*P165,0)</x:f>
        <x:v>543</x:v>
      </x:c>
      <x:c r="S165" t="n">
        <x:f>ROUND(O165*IFERROR(INDEX(Assumptions!$C$9:$C$13,MATCH(F165,Assumptions!$A$9:$A$13,0)),0.55),0)</x:f>
        <x:v>1900</x:v>
      </x:c>
      <x:c r="T165" t="n">
        <x:f>ROUND(O165*IFERROR(INDEX(Assumptions!$D$9:$D$13,MATCH(F165,Assumptions!$A$9:$A$13,0)),0.06),0)</x:f>
        <x:v>237</x:v>
      </x:c>
      <x:c r="U165" t="n">
        <x:f>ROUND(O165*IFERROR(INDEX(Assumptions!$E$9:$E$13,MATCH(F165,Assumptions!$A$9:$A$13,0)),0.15),0)</x:f>
        <x:v>543</x:v>
      </x:c>
      <x:c r="V165" t="n">
        <x:f>MAX(0,O165-SUM(R165:U165))</x:f>
        <x:v>169.26999999999998</x:v>
      </x:c>
      <x:c r="W165" t="n">
        <x:f>MIN(100,40+IF(O165&gt;0,20,0)+IF(M165&lt;&gt;"",20,0)+IF(AF165&lt;&gt;"",20,0))</x:f>
        <x:v>100</x:v>
      </x:c>
      <x:c r="X165" t="str">
        <x:v>Placed on exact national road host link</x:v>
      </x:c>
      <x:c r="Y165" t="str">
        <x:v>Unpaved</x:v>
      </x:c>
      <x:c r="Z165" t="str">
        <x:v>B</x:v>
      </x:c>
      <x:c r="AA165" t="str">
        <x:v>Not available in governed source</x:v>
      </x:c>
      <x:c r="AB165" t="str">
        <x:v>Not available in governed source</x:v>
      </x:c>
      <x:c r="AC165" t="str">
        <x:v>FY2025/26</x:v>
      </x:c>
      <x:c r="AD165" t="str">
        <x:v>Modelled</x:v>
      </x:c>
      <x:c r="AE165" t="str">
        <x:v>2026 bridge AADT rebuilt from host-link traffic history, annual collection-link history, same-road corridor history and spatial count-station influence. Vehicle-class values are assigned from functional-class shares.</x:v>
      </x:c>
      <x:c r="AF165" t="str">
        <x:v>Placed on exact national road host link</x:v>
      </x:c>
    </x:row>
    <x:row r="166" ht="15" hidden="0" customHeight="1">
      <x:c r="A166" t="str">
        <x:v>bridge-165</x:v>
      </x:c>
      <x:c r="B166" t="str">
        <x:v>B149</x:v>
      </x:c>
      <x:c r="C166" t="str">
        <x:v>ATUP BRIDGE</x:v>
      </x:c>
      <x:c r="D166" t="str">
        <x:v>B252_Link02</x:v>
      </x:c>
      <x:c r="E166" t="str">
        <x:v>Puranga Bridge - Corner Kilak - Pejule - Acholibur</x:v>
      </x:c>
      <x:c r="F166" t="str">
        <x:v>B</x:v>
      </x:c>
      <x:c r="G166" t="str">
        <x:v>Northern</x:v>
      </x:c>
      <x:c r="H166" t="str">
        <x:v>Kitgum</x:v>
      </x:c>
      <x:c r="I166" t="str">
        <x:v>ATUP RIVER</x:v>
      </x:c>
      <x:c r="J166" t="str">
        <x:v>Satisfactory</x:v>
      </x:c>
      <x:c r="K166" t="n">
        <x:v>32.949791</x:v>
      </x:c>
      <x:c r="L166" t="n">
        <x:v>2.73759</x:v>
      </x:c>
      <x:c r="M166" t="n">
        <x:v>32.949551</x:v>
      </x:c>
      <x:c r="N166" t="n">
        <x:v>2.737609</x:v>
      </x:c>
      <x:c r="O166" t="n">
        <x:v>5225.34</x:v>
      </x:c>
      <x:c r="P166" t="n">
        <x:f>IFERROR(INDEX(Assumptions!$B$9:$B$13,MATCH(F166,Assumptions!$A$9:$A$13,0)),0.15)</x:f>
        <x:v>0.16</x:v>
      </x:c>
      <x:c r="Q166" t="n">
        <x:f>ROUND(O166*(1-P166),0)</x:f>
        <x:v>4389</x:v>
      </x:c>
      <x:c r="R166" t="n">
        <x:f>ROUND(O166*P166,0)</x:f>
        <x:v>836</x:v>
      </x:c>
      <x:c r="S166" t="n">
        <x:f>ROUND(O166*IFERROR(INDEX(Assumptions!$C$9:$C$13,MATCH(F166,Assumptions!$A$9:$A$13,0)),0.55),0)</x:f>
        <x:v>2926</x:v>
      </x:c>
      <x:c r="T166" t="n">
        <x:f>ROUND(O166*IFERROR(INDEX(Assumptions!$D$9:$D$13,MATCH(F166,Assumptions!$A$9:$A$13,0)),0.06),0)</x:f>
        <x:v>366</x:v>
      </x:c>
      <x:c r="U166" t="n">
        <x:f>ROUND(O166*IFERROR(INDEX(Assumptions!$E$9:$E$13,MATCH(F166,Assumptions!$A$9:$A$13,0)),0.15),0)</x:f>
        <x:v>836</x:v>
      </x:c>
      <x:c r="V166" t="n">
        <x:f>MAX(0,O166-SUM(R166:U166))</x:f>
        <x:v>261.34000000000015</x:v>
      </x:c>
      <x:c r="W166" t="n">
        <x:f>MIN(100,40+IF(O166&gt;0,20,0)+IF(M166&lt;&gt;"",20,0)+IF(AF166&lt;&gt;"",20,0))</x:f>
        <x:v>100</x:v>
      </x:c>
      <x:c r="X166" t="str">
        <x:v>Placed on exact national road host link</x:v>
      </x:c>
      <x:c r="Y166" t="str">
        <x:v>Unpaved</x:v>
      </x:c>
      <x:c r="Z166" t="str">
        <x:v>B</x:v>
      </x:c>
      <x:c r="AA166" t="str">
        <x:v>Not available in governed source</x:v>
      </x:c>
      <x:c r="AB166" t="str">
        <x:v>Not available in governed source</x:v>
      </x:c>
      <x:c r="AC166" t="str">
        <x:v>FY2025/26</x:v>
      </x:c>
      <x:c r="AD166" t="str">
        <x:v>Modelled</x:v>
      </x:c>
      <x:c r="AE166" t="str">
        <x:v>2026 bridge AADT rebuilt from host-link traffic history, annual collection-link history, same-road corridor history and spatial count-station influence. Vehicle-class values are assigned from functional-class shares.</x:v>
      </x:c>
      <x:c r="AF166" t="str">
        <x:v>Placed on exact national road host link</x:v>
      </x:c>
    </x:row>
    <x:row r="167" ht="15" hidden="0" customHeight="1">
      <x:c r="A167" t="str">
        <x:v>bridge-166</x:v>
      </x:c>
      <x:c r="B167" t="str">
        <x:v>B150</x:v>
      </x:c>
      <x:c r="C167" t="str">
        <x:v>AGORA BRIDGE</x:v>
      </x:c>
      <x:c r="D167" t="str">
        <x:v>B252_Link02</x:v>
      </x:c>
      <x:c r="E167" t="str">
        <x:v>Puranga Bridge - Corner Kilak - Pejule - Acholibur</x:v>
      </x:c>
      <x:c r="F167" t="str">
        <x:v>B</x:v>
      </x:c>
      <x:c r="G167" t="str">
        <x:v>Northern</x:v>
      </x:c>
      <x:c r="H167" t="str">
        <x:v>Kitgum</x:v>
      </x:c>
      <x:c r="I167" t="str">
        <x:v>AGORA RIVER</x:v>
      </x:c>
      <x:c r="J167" t="str">
        <x:v>Marginal</x:v>
      </x:c>
      <x:c r="K167" t="n">
        <x:v>32.962421</x:v>
      </x:c>
      <x:c r="L167" t="n">
        <x:v>2.82143</x:v>
      </x:c>
      <x:c r="M167" t="n">
        <x:v>32.91386</x:v>
      </x:c>
      <x:c r="N167" t="n">
        <x:v>3.14379</x:v>
      </x:c>
      <x:c r="O167" t="n">
        <x:v>5225.34</x:v>
      </x:c>
      <x:c r="P167" t="n">
        <x:f>IFERROR(INDEX(Assumptions!$B$9:$B$13,MATCH(F167,Assumptions!$A$9:$A$13,0)),0.15)</x:f>
        <x:v>0.16</x:v>
      </x:c>
      <x:c r="Q167" t="n">
        <x:f>ROUND(O167*(1-P167),0)</x:f>
        <x:v>4389</x:v>
      </x:c>
      <x:c r="R167" t="n">
        <x:f>ROUND(O167*P167,0)</x:f>
        <x:v>836</x:v>
      </x:c>
      <x:c r="S167" t="n">
        <x:f>ROUND(O167*IFERROR(INDEX(Assumptions!$C$9:$C$13,MATCH(F167,Assumptions!$A$9:$A$13,0)),0.55),0)</x:f>
        <x:v>2926</x:v>
      </x:c>
      <x:c r="T167" t="n">
        <x:f>ROUND(O167*IFERROR(INDEX(Assumptions!$D$9:$D$13,MATCH(F167,Assumptions!$A$9:$A$13,0)),0.06),0)</x:f>
        <x:v>366</x:v>
      </x:c>
      <x:c r="U167" t="n">
        <x:f>ROUND(O167*IFERROR(INDEX(Assumptions!$E$9:$E$13,MATCH(F167,Assumptions!$A$9:$A$13,0)),0.15),0)</x:f>
        <x:v>836</x:v>
      </x:c>
      <x:c r="V167" t="n">
        <x:f>MAX(0,O167-SUM(R167:U167))</x:f>
        <x:v>261.34000000000015</x:v>
      </x:c>
      <x:c r="W167" t="n">
        <x:f>MIN(100,40+IF(O167&gt;0,20,0)+IF(M167&lt;&gt;"",20,0)+IF(AF167&lt;&gt;"",20,0))</x:f>
        <x:v>100</x:v>
      </x:c>
      <x:c r="X167" t="str">
        <x:v>Placed on exact national road host link</x:v>
      </x:c>
      <x:c r="Y167" t="str">
        <x:v>Unpaved</x:v>
      </x:c>
      <x:c r="Z167" t="str">
        <x:v>B</x:v>
      </x:c>
      <x:c r="AA167" t="str">
        <x:v>Not available in governed source</x:v>
      </x:c>
      <x:c r="AB167" t="str">
        <x:v>Not available in governed source</x:v>
      </x:c>
      <x:c r="AC167" t="str">
        <x:v>FY2025/26</x:v>
      </x:c>
      <x:c r="AD167" t="str">
        <x:v>Modelled</x:v>
      </x:c>
      <x:c r="AE167" t="str">
        <x:v>2026 bridge AADT rebuilt from host-link traffic history, annual collection-link history, same-road corridor history and spatial count-station influence. Vehicle-class values are assigned from functional-class shares.</x:v>
      </x:c>
      <x:c r="AF167" t="str">
        <x:v>Placed on exact national road host link</x:v>
      </x:c>
    </x:row>
    <x:row r="168" ht="15" hidden="0" customHeight="1">
      <x:c r="A168" t="str">
        <x:v>bridge-167</x:v>
      </x:c>
      <x:c r="B168" t="str">
        <x:v>B151</x:v>
      </x:c>
      <x:c r="C168" t="str">
        <x:v>AGAGO BRIDGE</x:v>
      </x:c>
      <x:c r="D168" t="str">
        <x:v>B252_Link02</x:v>
      </x:c>
      <x:c r="E168" t="str">
        <x:v>Puranga Bridge - Corner Kilak - Pejule - Acholibur</x:v>
      </x:c>
      <x:c r="F168" t="str">
        <x:v>B</x:v>
      </x:c>
      <x:c r="G168" t="str">
        <x:v>Northern</x:v>
      </x:c>
      <x:c r="H168" t="str">
        <x:v>Kitgum</x:v>
      </x:c>
      <x:c r="I168" t="str">
        <x:v>AGAGO</x:v>
      </x:c>
      <x:c r="J168" t="str">
        <x:v>Satisfactory</x:v>
      </x:c>
      <x:c r="K168" t="n">
        <x:v>32.964451</x:v>
      </x:c>
      <x:c r="L168" t="n">
        <x:v>2.83984</x:v>
      </x:c>
      <x:c r="M168" t="n">
        <x:v>32.964726</x:v>
      </x:c>
      <x:c r="N168" t="n">
        <x:v>2.839816</x:v>
      </x:c>
      <x:c r="O168" t="n">
        <x:v>5225.34</x:v>
      </x:c>
      <x:c r="P168" t="n">
        <x:f>IFERROR(INDEX(Assumptions!$B$9:$B$13,MATCH(F168,Assumptions!$A$9:$A$13,0)),0.15)</x:f>
        <x:v>0.16</x:v>
      </x:c>
      <x:c r="Q168" t="n">
        <x:f>ROUND(O168*(1-P168),0)</x:f>
        <x:v>4389</x:v>
      </x:c>
      <x:c r="R168" t="n">
        <x:f>ROUND(O168*P168,0)</x:f>
        <x:v>836</x:v>
      </x:c>
      <x:c r="S168" t="n">
        <x:f>ROUND(O168*IFERROR(INDEX(Assumptions!$C$9:$C$13,MATCH(F168,Assumptions!$A$9:$A$13,0)),0.55),0)</x:f>
        <x:v>2926</x:v>
      </x:c>
      <x:c r="T168" t="n">
        <x:f>ROUND(O168*IFERROR(INDEX(Assumptions!$D$9:$D$13,MATCH(F168,Assumptions!$A$9:$A$13,0)),0.06),0)</x:f>
        <x:v>366</x:v>
      </x:c>
      <x:c r="U168" t="n">
        <x:f>ROUND(O168*IFERROR(INDEX(Assumptions!$E$9:$E$13,MATCH(F168,Assumptions!$A$9:$A$13,0)),0.15),0)</x:f>
        <x:v>836</x:v>
      </x:c>
      <x:c r="V168" t="n">
        <x:f>MAX(0,O168-SUM(R168:U168))</x:f>
        <x:v>261.34000000000015</x:v>
      </x:c>
      <x:c r="W168" t="n">
        <x:f>MIN(100,40+IF(O168&gt;0,20,0)+IF(M168&lt;&gt;"",20,0)+IF(AF168&lt;&gt;"",20,0))</x:f>
        <x:v>100</x:v>
      </x:c>
      <x:c r="X168" t="str">
        <x:v>Placed on exact national road host link</x:v>
      </x:c>
      <x:c r="Y168" t="str">
        <x:v>Unpaved</x:v>
      </x:c>
      <x:c r="Z168" t="str">
        <x:v>B</x:v>
      </x:c>
      <x:c r="AA168" t="str">
        <x:v>Not available in governed source</x:v>
      </x:c>
      <x:c r="AB168" t="str">
        <x:v>Not available in governed source</x:v>
      </x:c>
      <x:c r="AC168" t="str">
        <x:v>FY2025/26</x:v>
      </x:c>
      <x:c r="AD168" t="str">
        <x:v>Modelled</x:v>
      </x:c>
      <x:c r="AE168" t="str">
        <x:v>2026 bridge AADT rebuilt from host-link traffic history, annual collection-link history, same-road corridor history and spatial count-station influence. Vehicle-class values are assigned from functional-class shares.</x:v>
      </x:c>
      <x:c r="AF168" t="str">
        <x:v>Placed on exact national road host link</x:v>
      </x:c>
    </x:row>
    <x:row r="169" ht="15" hidden="0" customHeight="1">
      <x:c r="A169" t="str">
        <x:v>bridge-168</x:v>
      </x:c>
      <x:c r="B169" t="str">
        <x:v>B152</x:v>
      </x:c>
      <x:c r="C169" t="str">
        <x:v>Acholibur Bridge</x:v>
      </x:c>
      <x:c r="D169" t="str">
        <x:v>B252_Link03</x:v>
      </x:c>
      <x:c r="E169" t="str">
        <x:v>Acholibur - Kitgum</x:v>
      </x:c>
      <x:c r="F169" t="str">
        <x:v>B</x:v>
      </x:c>
      <x:c r="G169" t="str">
        <x:v>Northern</x:v>
      </x:c>
      <x:c r="H169" t="str">
        <x:v>Kitgum</x:v>
      </x:c>
      <x:c r="I169" t="str">
        <x:v>Acholibur</x:v>
      </x:c>
      <x:c r="J169" t="str">
        <x:v>Satisfactory</x:v>
      </x:c>
      <x:c r="K169" t="n">
        <x:v>32.91412</x:v>
      </x:c>
      <x:c r="L169" t="n">
        <x:v>3.14612</x:v>
      </x:c>
      <x:c r="M169" t="n">
        <x:v>32.914347</x:v>
      </x:c>
      <x:c r="N169" t="n">
        <x:v>3.146069</x:v>
      </x:c>
      <x:c r="O169" t="n">
        <x:v>2841.93</x:v>
      </x:c>
      <x:c r="P169" t="n">
        <x:f>IFERROR(INDEX(Assumptions!$B$9:$B$13,MATCH(F169,Assumptions!$A$9:$A$13,0)),0.15)</x:f>
        <x:v>0.16</x:v>
      </x:c>
      <x:c r="Q169" t="n">
        <x:f>ROUND(O169*(1-P169),0)</x:f>
        <x:v>2387</x:v>
      </x:c>
      <x:c r="R169" t="n">
        <x:f>ROUND(O169*P169,0)</x:f>
        <x:v>455</x:v>
      </x:c>
      <x:c r="S169" t="n">
        <x:f>ROUND(O169*IFERROR(INDEX(Assumptions!$C$9:$C$13,MATCH(F169,Assumptions!$A$9:$A$13,0)),0.55),0)</x:f>
        <x:v>1591</x:v>
      </x:c>
      <x:c r="T169" t="n">
        <x:f>ROUND(O169*IFERROR(INDEX(Assumptions!$D$9:$D$13,MATCH(F169,Assumptions!$A$9:$A$13,0)),0.06),0)</x:f>
        <x:v>199</x:v>
      </x:c>
      <x:c r="U169" t="n">
        <x:f>ROUND(O169*IFERROR(INDEX(Assumptions!$E$9:$E$13,MATCH(F169,Assumptions!$A$9:$A$13,0)),0.15),0)</x:f>
        <x:v>455</x:v>
      </x:c>
      <x:c r="V169" t="n">
        <x:f>MAX(0,O169-SUM(R169:U169))</x:f>
        <x:v>141.92999999999984</x:v>
      </x:c>
      <x:c r="W169" t="n">
        <x:f>MIN(100,40+IF(O169&gt;0,20,0)+IF(M169&lt;&gt;"",20,0)+IF(AF169&lt;&gt;"",20,0))</x:f>
        <x:v>100</x:v>
      </x:c>
      <x:c r="X169" t="str">
        <x:v>Placed on exact national road host link</x:v>
      </x:c>
      <x:c r="Y169" t="str">
        <x:v>Paved</x:v>
      </x:c>
      <x:c r="Z169" t="str">
        <x:v>B</x:v>
      </x:c>
      <x:c r="AA169" t="str">
        <x:v>Not available in governed source</x:v>
      </x:c>
      <x:c r="AB169" t="str">
        <x:v>Not available in governed source</x:v>
      </x:c>
      <x:c r="AC169" t="str">
        <x:v>FY2025/26</x:v>
      </x:c>
      <x:c r="AD169" t="str">
        <x:v>Modelled</x:v>
      </x:c>
      <x:c r="AE169" t="str">
        <x:v>2026 bridge AADT rebuilt from host-link traffic history, annual collection-link history, same-road corridor history and spatial count-station influence. Vehicle-class values are assigned from functional-class shares.</x:v>
      </x:c>
      <x:c r="AF169" t="str">
        <x:v>Placed on exact national road host link</x:v>
      </x:c>
    </x:row>
    <x:row r="170" ht="15" hidden="0" customHeight="1">
      <x:c r="A170" t="str">
        <x:v>bridge-169</x:v>
      </x:c>
      <x:c r="B170" t="str">
        <x:v>B153</x:v>
      </x:c>
      <x:c r="C170" t="str">
        <x:v>Dure Bridge</x:v>
      </x:c>
      <x:c r="D170" t="str">
        <x:v>B252_Link03</x:v>
      </x:c>
      <x:c r="E170" t="str">
        <x:v>Acholibur - Kitgum</x:v>
      </x:c>
      <x:c r="F170" t="str">
        <x:v>B</x:v>
      </x:c>
      <x:c r="G170" t="str">
        <x:v>Northern</x:v>
      </x:c>
      <x:c r="H170" t="str">
        <x:v>Kitgum</x:v>
      </x:c>
      <x:c r="I170" t="str">
        <x:v>Dure Stream</x:v>
      </x:c>
      <x:c r="J170" t="str">
        <x:v>Marginal</x:v>
      </x:c>
      <x:c r="K170" t="n">
        <x:v>32.92619</x:v>
      </x:c>
      <x:c r="L170" t="n">
        <x:v>3.211002</x:v>
      </x:c>
      <x:c r="M170" t="n">
        <x:v>32.926111</x:v>
      </x:c>
      <x:c r="N170" t="n">
        <x:v>3.211001</x:v>
      </x:c>
      <x:c r="O170" t="n">
        <x:v>2841.93</x:v>
      </x:c>
      <x:c r="P170" t="n">
        <x:f>IFERROR(INDEX(Assumptions!$B$9:$B$13,MATCH(F170,Assumptions!$A$9:$A$13,0)),0.15)</x:f>
        <x:v>0.16</x:v>
      </x:c>
      <x:c r="Q170" t="n">
        <x:f>ROUND(O170*(1-P170),0)</x:f>
        <x:v>2387</x:v>
      </x:c>
      <x:c r="R170" t="n">
        <x:f>ROUND(O170*P170,0)</x:f>
        <x:v>455</x:v>
      </x:c>
      <x:c r="S170" t="n">
        <x:f>ROUND(O170*IFERROR(INDEX(Assumptions!$C$9:$C$13,MATCH(F170,Assumptions!$A$9:$A$13,0)),0.55),0)</x:f>
        <x:v>1591</x:v>
      </x:c>
      <x:c r="T170" t="n">
        <x:f>ROUND(O170*IFERROR(INDEX(Assumptions!$D$9:$D$13,MATCH(F170,Assumptions!$A$9:$A$13,0)),0.06),0)</x:f>
        <x:v>199</x:v>
      </x:c>
      <x:c r="U170" t="n">
        <x:f>ROUND(O170*IFERROR(INDEX(Assumptions!$E$9:$E$13,MATCH(F170,Assumptions!$A$9:$A$13,0)),0.15),0)</x:f>
        <x:v>455</x:v>
      </x:c>
      <x:c r="V170" t="n">
        <x:f>MAX(0,O170-SUM(R170:U170))</x:f>
        <x:v>141.92999999999984</x:v>
      </x:c>
      <x:c r="W170" t="n">
        <x:f>MIN(100,40+IF(O170&gt;0,20,0)+IF(M170&lt;&gt;"",20,0)+IF(AF170&lt;&gt;"",20,0))</x:f>
        <x:v>100</x:v>
      </x:c>
      <x:c r="X170" t="str">
        <x:v>Placed on exact national road host link</x:v>
      </x:c>
      <x:c r="Y170" t="str">
        <x:v>Paved</x:v>
      </x:c>
      <x:c r="Z170" t="str">
        <x:v>B</x:v>
      </x:c>
      <x:c r="AA170" t="str">
        <x:v>Not available in governed source</x:v>
      </x:c>
      <x:c r="AB170" t="str">
        <x:v>Not available in governed source</x:v>
      </x:c>
      <x:c r="AC170" t="str">
        <x:v>FY2025/26</x:v>
      </x:c>
      <x:c r="AD170" t="str">
        <x:v>Modelled</x:v>
      </x:c>
      <x:c r="AE170" t="str">
        <x:v>2026 bridge AADT rebuilt from host-link traffic history, annual collection-link history, same-road corridor history and spatial count-station influence. Vehicle-class values are assigned from functional-class shares.</x:v>
      </x:c>
      <x:c r="AF170" t="str">
        <x:v>Placed on exact national road host link</x:v>
      </x:c>
    </x:row>
    <x:row r="171" ht="15" hidden="0" customHeight="1">
      <x:c r="A171" t="str">
        <x:v>bridge-170</x:v>
      </x:c>
      <x:c r="B171" t="str">
        <x:v>B154</x:v>
      </x:c>
      <x:c r="C171" t="str">
        <x:v>PAGER BRIDGE</x:v>
      </x:c>
      <x:c r="D171" t="str">
        <x:v>B252_Link03</x:v>
      </x:c>
      <x:c r="E171" t="str">
        <x:v>Acholibur - Kitgum</x:v>
      </x:c>
      <x:c r="F171" t="str">
        <x:v>B</x:v>
      </x:c>
      <x:c r="G171" t="str">
        <x:v>Northern</x:v>
      </x:c>
      <x:c r="H171" t="str">
        <x:v>Kitgum</x:v>
      </x:c>
      <x:c r="I171" t="str">
        <x:v>PAGER RIVER</x:v>
      </x:c>
      <x:c r="J171" t="str">
        <x:v>Good</x:v>
      </x:c>
      <x:c r="K171" t="n">
        <x:v>32.879749</x:v>
      </x:c>
      <x:c r="L171" t="n">
        <x:v>3.30085</x:v>
      </x:c>
      <x:c r="M171" t="n">
        <x:v>32.879749</x:v>
      </x:c>
      <x:c r="N171" t="n">
        <x:v>3.300847</x:v>
      </x:c>
      <x:c r="O171" t="n">
        <x:v>2841.93</x:v>
      </x:c>
      <x:c r="P171" t="n">
        <x:f>IFERROR(INDEX(Assumptions!$B$9:$B$13,MATCH(F171,Assumptions!$A$9:$A$13,0)),0.15)</x:f>
        <x:v>0.16</x:v>
      </x:c>
      <x:c r="Q171" t="n">
        <x:f>ROUND(O171*(1-P171),0)</x:f>
        <x:v>2387</x:v>
      </x:c>
      <x:c r="R171" t="n">
        <x:f>ROUND(O171*P171,0)</x:f>
        <x:v>455</x:v>
      </x:c>
      <x:c r="S171" t="n">
        <x:f>ROUND(O171*IFERROR(INDEX(Assumptions!$C$9:$C$13,MATCH(F171,Assumptions!$A$9:$A$13,0)),0.55),0)</x:f>
        <x:v>1591</x:v>
      </x:c>
      <x:c r="T171" t="n">
        <x:f>ROUND(O171*IFERROR(INDEX(Assumptions!$D$9:$D$13,MATCH(F171,Assumptions!$A$9:$A$13,0)),0.06),0)</x:f>
        <x:v>199</x:v>
      </x:c>
      <x:c r="U171" t="n">
        <x:f>ROUND(O171*IFERROR(INDEX(Assumptions!$E$9:$E$13,MATCH(F171,Assumptions!$A$9:$A$13,0)),0.15),0)</x:f>
        <x:v>455</x:v>
      </x:c>
      <x:c r="V171" t="n">
        <x:f>MAX(0,O171-SUM(R171:U171))</x:f>
        <x:v>141.92999999999984</x:v>
      </x:c>
      <x:c r="W171" t="n">
        <x:f>MIN(100,40+IF(O171&gt;0,20,0)+IF(M171&lt;&gt;"",20,0)+IF(AF171&lt;&gt;"",20,0))</x:f>
        <x:v>100</x:v>
      </x:c>
      <x:c r="X171" t="str">
        <x:v>Placed on exact national road host link</x:v>
      </x:c>
      <x:c r="Y171" t="str">
        <x:v>Paved</x:v>
      </x:c>
      <x:c r="Z171" t="str">
        <x:v>B</x:v>
      </x:c>
      <x:c r="AA171" t="str">
        <x:v>Not available in governed source</x:v>
      </x:c>
      <x:c r="AB171" t="str">
        <x:v>Not available in governed source</x:v>
      </x:c>
      <x:c r="AC171" t="str">
        <x:v>FY2025/26</x:v>
      </x:c>
      <x:c r="AD171" t="str">
        <x:v>Modelled</x:v>
      </x:c>
      <x:c r="AE171" t="str">
        <x:v>2026 bridge AADT rebuilt from host-link traffic history, annual collection-link history, same-road corridor history and spatial count-station influence. Vehicle-class values are assigned from functional-class shares.</x:v>
      </x:c>
      <x:c r="AF171" t="str">
        <x:v>Placed on exact national road host link</x:v>
      </x:c>
    </x:row>
    <x:row r="172" ht="15" hidden="0" customHeight="1">
      <x:c r="A172" t="str">
        <x:v>bridge-171</x:v>
      </x:c>
      <x:c r="B172" t="str">
        <x:v>B155</x:v>
      </x:c>
      <x:c r="C172" t="str">
        <x:v>Lanyang Bridge</x:v>
      </x:c>
      <x:c r="D172" t="str">
        <x:v>B252_Link04</x:v>
      </x:c>
      <x:c r="E172" t="str">
        <x:v>Kitgum - Madi Opei</x:v>
      </x:c>
      <x:c r="F172" t="str">
        <x:v>B</x:v>
      </x:c>
      <x:c r="G172" t="str">
        <x:v>Northern</x:v>
      </x:c>
      <x:c r="H172" t="str">
        <x:v>Kitgum</x:v>
      </x:c>
      <x:c r="I172" t="str">
        <x:v>Lanyang Stream</x:v>
      </x:c>
      <x:c r="J172" t="str">
        <x:v>Marginal</x:v>
      </x:c>
      <x:c r="K172" t="n">
        <x:v>32.958</x:v>
      </x:c>
      <x:c r="L172" t="n">
        <x:v>3.3672</x:v>
      </x:c>
      <x:c r="M172" t="n">
        <x:v>32.958027</x:v>
      </x:c>
      <x:c r="N172" t="n">
        <x:v>3.367155</x:v>
      </x:c>
      <x:c r="O172" t="n">
        <x:v>3267.38</x:v>
      </x:c>
      <x:c r="P172" t="n">
        <x:f>IFERROR(INDEX(Assumptions!$B$9:$B$13,MATCH(F172,Assumptions!$A$9:$A$13,0)),0.15)</x:f>
        <x:v>0.16</x:v>
      </x:c>
      <x:c r="Q172" t="n">
        <x:f>ROUND(O172*(1-P172),0)</x:f>
        <x:v>2745</x:v>
      </x:c>
      <x:c r="R172" t="n">
        <x:f>ROUND(O172*P172,0)</x:f>
        <x:v>523</x:v>
      </x:c>
      <x:c r="S172" t="n">
        <x:f>ROUND(O172*IFERROR(INDEX(Assumptions!$C$9:$C$13,MATCH(F172,Assumptions!$A$9:$A$13,0)),0.55),0)</x:f>
        <x:v>1830</x:v>
      </x:c>
      <x:c r="T172" t="n">
        <x:f>ROUND(O172*IFERROR(INDEX(Assumptions!$D$9:$D$13,MATCH(F172,Assumptions!$A$9:$A$13,0)),0.06),0)</x:f>
        <x:v>229</x:v>
      </x:c>
      <x:c r="U172" t="n">
        <x:f>ROUND(O172*IFERROR(INDEX(Assumptions!$E$9:$E$13,MATCH(F172,Assumptions!$A$9:$A$13,0)),0.15),0)</x:f>
        <x:v>523</x:v>
      </x:c>
      <x:c r="V172" t="n">
        <x:f>MAX(0,O172-SUM(R172:U172))</x:f>
        <x:v>162.3800000000001</x:v>
      </x:c>
      <x:c r="W172" t="n">
        <x:f>MIN(100,40+IF(O172&gt;0,20,0)+IF(M172&lt;&gt;"",20,0)+IF(AF172&lt;&gt;"",20,0))</x:f>
        <x:v>100</x:v>
      </x:c>
      <x:c r="X172" t="str">
        <x:v>Placed on exact national road host link</x:v>
      </x:c>
      <x:c r="Y172" t="str">
        <x:v>Paved</x:v>
      </x:c>
      <x:c r="Z172" t="str">
        <x:v>B</x:v>
      </x:c>
      <x:c r="AA172" t="str">
        <x:v>Not available in governed source</x:v>
      </x:c>
      <x:c r="AB172" t="str">
        <x:v>Not available in governed source</x:v>
      </x:c>
      <x:c r="AC172" t="str">
        <x:v>FY2025/26</x:v>
      </x:c>
      <x:c r="AD172" t="str">
        <x:v>Modelled</x:v>
      </x:c>
      <x:c r="AE172" t="str">
        <x:v>2026 bridge AADT rebuilt from host-link traffic history, annual collection-link history, same-road corridor history and spatial count-station influence. Vehicle-class values are assigned from functional-class shares.</x:v>
      </x:c>
      <x:c r="AF172" t="str">
        <x:v>Placed on exact national road host link</x:v>
      </x:c>
    </x:row>
    <x:row r="173" ht="15" hidden="0" customHeight="1">
      <x:c r="A173" t="str">
        <x:v>bridge-172</x:v>
      </x:c>
      <x:c r="B173" t="str">
        <x:v>B156</x:v>
      </x:c>
      <x:c r="C173" t="str">
        <x:v>ARINGA BRIDGE</x:v>
      </x:c>
      <x:c r="D173" t="str">
        <x:v>B252_Link04</x:v>
      </x:c>
      <x:c r="E173" t="str">
        <x:v>Kitgum - Madi Opei</x:v>
      </x:c>
      <x:c r="F173" t="str">
        <x:v>B</x:v>
      </x:c>
      <x:c r="G173" t="str">
        <x:v>Northern</x:v>
      </x:c>
      <x:c r="H173" t="str">
        <x:v>Kitgum</x:v>
      </x:c>
      <x:c r="I173" t="str">
        <x:v>ARINGA</x:v>
      </x:c>
      <x:c r="J173" t="str">
        <x:v>Good</x:v>
      </x:c>
      <x:c r="K173" t="n">
        <x:v>33.004631</x:v>
      </x:c>
      <x:c r="L173" t="n">
        <x:v>3.396599</x:v>
      </x:c>
      <x:c r="M173" t="n">
        <x:v>33.004674</x:v>
      </x:c>
      <x:c r="N173" t="n">
        <x:v>3.396426</x:v>
      </x:c>
      <x:c r="O173" t="n">
        <x:v>3267.38</x:v>
      </x:c>
      <x:c r="P173" t="n">
        <x:f>IFERROR(INDEX(Assumptions!$B$9:$B$13,MATCH(F173,Assumptions!$A$9:$A$13,0)),0.15)</x:f>
        <x:v>0.16</x:v>
      </x:c>
      <x:c r="Q173" t="n">
        <x:f>ROUND(O173*(1-P173),0)</x:f>
        <x:v>2745</x:v>
      </x:c>
      <x:c r="R173" t="n">
        <x:f>ROUND(O173*P173,0)</x:f>
        <x:v>523</x:v>
      </x:c>
      <x:c r="S173" t="n">
        <x:f>ROUND(O173*IFERROR(INDEX(Assumptions!$C$9:$C$13,MATCH(F173,Assumptions!$A$9:$A$13,0)),0.55),0)</x:f>
        <x:v>1830</x:v>
      </x:c>
      <x:c r="T173" t="n">
        <x:f>ROUND(O173*IFERROR(INDEX(Assumptions!$D$9:$D$13,MATCH(F173,Assumptions!$A$9:$A$13,0)),0.06),0)</x:f>
        <x:v>229</x:v>
      </x:c>
      <x:c r="U173" t="n">
        <x:f>ROUND(O173*IFERROR(INDEX(Assumptions!$E$9:$E$13,MATCH(F173,Assumptions!$A$9:$A$13,0)),0.15),0)</x:f>
        <x:v>523</x:v>
      </x:c>
      <x:c r="V173" t="n">
        <x:f>MAX(0,O173-SUM(R173:U173))</x:f>
        <x:v>162.3800000000001</x:v>
      </x:c>
      <x:c r="W173" t="n">
        <x:f>MIN(100,40+IF(O173&gt;0,20,0)+IF(M173&lt;&gt;"",20,0)+IF(AF173&lt;&gt;"",20,0))</x:f>
        <x:v>100</x:v>
      </x:c>
      <x:c r="X173" t="str">
        <x:v>Placed on exact national road host link</x:v>
      </x:c>
      <x:c r="Y173" t="str">
        <x:v>Paved</x:v>
      </x:c>
      <x:c r="Z173" t="str">
        <x:v>B</x:v>
      </x:c>
      <x:c r="AA173" t="str">
        <x:v>Not available in governed source</x:v>
      </x:c>
      <x:c r="AB173" t="str">
        <x:v>Not available in governed source</x:v>
      </x:c>
      <x:c r="AC173" t="str">
        <x:v>FY2025/26</x:v>
      </x:c>
      <x:c r="AD173" t="str">
        <x:v>Modelled</x:v>
      </x:c>
      <x:c r="AE173" t="str">
        <x:v>2026 bridge AADT rebuilt from host-link traffic history, annual collection-link history, same-road corridor history and spatial count-station influence. Vehicle-class values are assigned from functional-class shares.</x:v>
      </x:c>
      <x:c r="AF173" t="str">
        <x:v>Placed on exact national road host link</x:v>
      </x:c>
    </x:row>
    <x:row r="174" ht="15" hidden="0" customHeight="1">
      <x:c r="A174" t="str">
        <x:v>bridge-173</x:v>
      </x:c>
      <x:c r="B174" t="str">
        <x:v>B157</x:v>
      </x:c>
      <x:c r="C174" t="str">
        <x:v>Agwapoke</x:v>
      </x:c>
      <x:c r="D174" t="str">
        <x:v>B302_Link02</x:v>
      </x:c>
      <x:c r="E174" t="str">
        <x:v>Abim - Kilak</x:v>
      </x:c>
      <x:c r="F174" t="str">
        <x:v>B</x:v>
      </x:c>
      <x:c r="G174" t="str">
        <x:v>Northern</x:v>
      </x:c>
      <x:c r="H174" t="str">
        <x:v>Kitgum</x:v>
      </x:c>
      <x:c r="I174" t="str">
        <x:v>Agwapoke Stream</x:v>
      </x:c>
      <x:c r="J174" t="str">
        <x:v>Critical</x:v>
      </x:c>
      <x:c r="K174" t="n">
        <x:v>33.03469</x:v>
      </x:c>
      <x:c r="L174" t="n">
        <x:v>3.43732</x:v>
      </x:c>
      <x:c r="M174" t="n">
        <x:v>33.0357</x:v>
      </x:c>
      <x:c r="N174" t="n">
        <x:v>3.438119</x:v>
      </x:c>
      <x:c r="O174" t="n">
        <x:v>3267.38</x:v>
      </x:c>
      <x:c r="P174" t="n">
        <x:f>IFERROR(INDEX(Assumptions!$B$9:$B$13,MATCH(F174,Assumptions!$A$9:$A$13,0)),0.15)</x:f>
        <x:v>0.16</x:v>
      </x:c>
      <x:c r="Q174" t="n">
        <x:f>ROUND(O174*(1-P174),0)</x:f>
        <x:v>2745</x:v>
      </x:c>
      <x:c r="R174" t="n">
        <x:f>ROUND(O174*P174,0)</x:f>
        <x:v>523</x:v>
      </x:c>
      <x:c r="S174" t="n">
        <x:f>ROUND(O174*IFERROR(INDEX(Assumptions!$C$9:$C$13,MATCH(F174,Assumptions!$A$9:$A$13,0)),0.55),0)</x:f>
        <x:v>1830</x:v>
      </x:c>
      <x:c r="T174" t="n">
        <x:f>ROUND(O174*IFERROR(INDEX(Assumptions!$D$9:$D$13,MATCH(F174,Assumptions!$A$9:$A$13,0)),0.06),0)</x:f>
        <x:v>229</x:v>
      </x:c>
      <x:c r="U174" t="n">
        <x:f>ROUND(O174*IFERROR(INDEX(Assumptions!$E$9:$E$13,MATCH(F174,Assumptions!$A$9:$A$13,0)),0.15),0)</x:f>
        <x:v>523</x:v>
      </x:c>
      <x:c r="V174" t="n">
        <x:f>MAX(0,O174-SUM(R174:U174))</x:f>
        <x:v>162.3800000000001</x:v>
      </x:c>
      <x:c r="W174" t="n">
        <x:f>MIN(100,40+IF(O174&gt;0,20,0)+IF(M174&lt;&gt;"",20,0)+IF(AF174&lt;&gt;"",20,0))</x:f>
        <x:v>100</x:v>
      </x:c>
      <x:c r="X174" t="str">
        <x:v>Placed on exact national road host link</x:v>
      </x:c>
      <x:c r="Y174" t="str">
        <x:v>Paved</x:v>
      </x:c>
      <x:c r="Z174" t="str">
        <x:v>B</x:v>
      </x:c>
      <x:c r="AA174" t="str">
        <x:v>Not available in governed source</x:v>
      </x:c>
      <x:c r="AB174" t="str">
        <x:v>Not available in governed source</x:v>
      </x:c>
      <x:c r="AC174" t="str">
        <x:v>FY2025/26</x:v>
      </x:c>
      <x:c r="AD174" t="str">
        <x:v>Modelled</x:v>
      </x:c>
      <x:c r="AE174" t="str">
        <x:v>2026 bridge AADT rebuilt from host-link traffic history, annual collection-link history, same-road corridor history and spatial count-station influence. Vehicle-class values are assigned from functional-class shares.</x:v>
      </x:c>
      <x:c r="AF174" t="str">
        <x:v>Placed on exact national road host link</x:v>
      </x:c>
    </x:row>
    <x:row r="175" ht="15" hidden="0" customHeight="1">
      <x:c r="A175" t="str">
        <x:v>bridge-174</x:v>
      </x:c>
      <x:c r="B175" t="str">
        <x:v>B158</x:v>
      </x:c>
      <x:c r="C175" t="str">
        <x:v>SIPI</x:v>
      </x:c>
      <x:c r="D175" t="str">
        <x:v>B300_Link03</x:v>
      </x:c>
      <x:c r="E175" t="str">
        <x:v>Muyembe - Namalu</x:v>
      </x:c>
      <x:c r="F175" t="str">
        <x:v>B</x:v>
      </x:c>
      <x:c r="G175" t="str">
        <x:v>Eastern</x:v>
      </x:c>
      <x:c r="H175" t="str">
        <x:v>Mbale</x:v>
      </x:c>
      <x:c r="I175" t="str">
        <x:v>SIPI</x:v>
      </x:c>
      <x:c r="J175" t="str">
        <x:v>Marginal</x:v>
      </x:c>
      <x:c r="K175" t="n">
        <x:v>34.314331</x:v>
      </x:c>
      <x:c r="L175" t="n">
        <x:v>1.38248</x:v>
      </x:c>
      <x:c r="M175" t="n">
        <x:v>34.533875</x:v>
      </x:c>
      <x:c r="N175" t="n">
        <x:v>1.574854</x:v>
      </x:c>
      <x:c r="O175" t="n">
        <x:v>1443.05</x:v>
      </x:c>
      <x:c r="P175" t="n">
        <x:f>IFERROR(INDEX(Assumptions!$B$9:$B$13,MATCH(F175,Assumptions!$A$9:$A$13,0)),0.15)</x:f>
        <x:v>0.16</x:v>
      </x:c>
      <x:c r="Q175" t="n">
        <x:f>ROUND(O175*(1-P175),0)</x:f>
        <x:v>1212</x:v>
      </x:c>
      <x:c r="R175" t="n">
        <x:f>ROUND(O175*P175,0)</x:f>
        <x:v>231</x:v>
      </x:c>
      <x:c r="S175" t="n">
        <x:f>ROUND(O175*IFERROR(INDEX(Assumptions!$C$9:$C$13,MATCH(F175,Assumptions!$A$9:$A$13,0)),0.55),0)</x:f>
        <x:v>808</x:v>
      </x:c>
      <x:c r="T175" t="n">
        <x:f>ROUND(O175*IFERROR(INDEX(Assumptions!$D$9:$D$13,MATCH(F175,Assumptions!$A$9:$A$13,0)),0.06),0)</x:f>
        <x:v>101</x:v>
      </x:c>
      <x:c r="U175" t="n">
        <x:f>ROUND(O175*IFERROR(INDEX(Assumptions!$E$9:$E$13,MATCH(F175,Assumptions!$A$9:$A$13,0)),0.15),0)</x:f>
        <x:v>231</x:v>
      </x:c>
      <x:c r="V175" t="n">
        <x:f>MAX(0,O175-SUM(R175:U175))</x:f>
        <x:v>72.04999999999995</x:v>
      </x:c>
      <x:c r="W175" t="n">
        <x:f>MIN(100,40+IF(O175&gt;0,20,0)+IF(M175&lt;&gt;"",20,0)+IF(AF175&lt;&gt;"",20,0))</x:f>
        <x:v>100</x:v>
      </x:c>
      <x:c r="X175" t="str">
        <x:v>Placed on exact national road host link</x:v>
      </x:c>
      <x:c r="Y175" t="str">
        <x:v>Unpaved</x:v>
      </x:c>
      <x:c r="Z175" t="str">
        <x:v>B</x:v>
      </x:c>
      <x:c r="AA175" t="str">
        <x:v>Not available in governed source</x:v>
      </x:c>
      <x:c r="AB175" t="str">
        <x:v>Not available in governed source</x:v>
      </x:c>
      <x:c r="AC175" t="str">
        <x:v>FY2025/26</x:v>
      </x:c>
      <x:c r="AD175" t="str">
        <x:v>Modelled</x:v>
      </x:c>
      <x:c r="AE175" t="str">
        <x:v>2026 bridge AADT rebuilt from host-link traffic history, annual collection-link history, same-road corridor history and spatial count-station influence. Vehicle-class values are assigned from functional-class shares.</x:v>
      </x:c>
      <x:c r="AF175" t="str">
        <x:v>Placed on exact national road host link</x:v>
      </x:c>
    </x:row>
    <x:row r="176" ht="15" hidden="0" customHeight="1">
      <x:c r="A176" t="str">
        <x:v>bridge-175</x:v>
      </x:c>
      <x:c r="B176" t="str">
        <x:v>B159</x:v>
      </x:c>
      <x:c r="C176" t="str">
        <x:v>CHEPTUI</x:v>
      </x:c>
      <x:c r="D176" t="str">
        <x:v>B300_Link03</x:v>
      </x:c>
      <x:c r="E176" t="str">
        <x:v>Muyembe - Namalu</x:v>
      </x:c>
      <x:c r="F176" t="str">
        <x:v>B</x:v>
      </x:c>
      <x:c r="G176" t="str">
        <x:v>Eastern</x:v>
      </x:c>
      <x:c r="H176" t="str">
        <x:v>Mbale</x:v>
      </x:c>
      <x:c r="I176" t="str">
        <x:v>CHEPTUI</x:v>
      </x:c>
      <x:c r="J176" t="str">
        <x:v>Under Construction</x:v>
      </x:c>
      <x:c r="K176" t="n">
        <x:v>34.3442</x:v>
      </x:c>
      <x:c r="L176" t="n">
        <x:v>1.40637</x:v>
      </x:c>
      <x:c r="M176" t="n">
        <x:v>34.296604</x:v>
      </x:c>
      <x:c r="N176" t="n">
        <x:v>1.335438</x:v>
      </x:c>
      <x:c r="O176" t="n">
        <x:v>1443.05</x:v>
      </x:c>
      <x:c r="P176" t="n">
        <x:f>IFERROR(INDEX(Assumptions!$B$9:$B$13,MATCH(F176,Assumptions!$A$9:$A$13,0)),0.15)</x:f>
        <x:v>0.16</x:v>
      </x:c>
      <x:c r="Q176" t="n">
        <x:f>ROUND(O176*(1-P176),0)</x:f>
        <x:v>1212</x:v>
      </x:c>
      <x:c r="R176" t="n">
        <x:f>ROUND(O176*P176,0)</x:f>
        <x:v>231</x:v>
      </x:c>
      <x:c r="S176" t="n">
        <x:f>ROUND(O176*IFERROR(INDEX(Assumptions!$C$9:$C$13,MATCH(F176,Assumptions!$A$9:$A$13,0)),0.55),0)</x:f>
        <x:v>808</x:v>
      </x:c>
      <x:c r="T176" t="n">
        <x:f>ROUND(O176*IFERROR(INDEX(Assumptions!$D$9:$D$13,MATCH(F176,Assumptions!$A$9:$A$13,0)),0.06),0)</x:f>
        <x:v>101</x:v>
      </x:c>
      <x:c r="U176" t="n">
        <x:f>ROUND(O176*IFERROR(INDEX(Assumptions!$E$9:$E$13,MATCH(F176,Assumptions!$A$9:$A$13,0)),0.15),0)</x:f>
        <x:v>231</x:v>
      </x:c>
      <x:c r="V176" t="n">
        <x:f>MAX(0,O176-SUM(R176:U176))</x:f>
        <x:v>72.04999999999995</x:v>
      </x:c>
      <x:c r="W176" t="n">
        <x:f>MIN(100,40+IF(O176&gt;0,20,0)+IF(M176&lt;&gt;"",20,0)+IF(AF176&lt;&gt;"",20,0))</x:f>
        <x:v>100</x:v>
      </x:c>
      <x:c r="X176" t="str">
        <x:v>Placed on exact national road host link</x:v>
      </x:c>
      <x:c r="Y176" t="str">
        <x:v>Unpaved</x:v>
      </x:c>
      <x:c r="Z176" t="str">
        <x:v>B</x:v>
      </x:c>
      <x:c r="AA176" t="str">
        <x:v>Not available in governed source</x:v>
      </x:c>
      <x:c r="AB176" t="str">
        <x:v>Not available in governed source</x:v>
      </x:c>
      <x:c r="AC176" t="str">
        <x:v>FY2025/26</x:v>
      </x:c>
      <x:c r="AD176" t="str">
        <x:v>Modelled</x:v>
      </x:c>
      <x:c r="AE176" t="str">
        <x:v>2026 bridge AADT rebuilt from host-link traffic history, annual collection-link history, same-road corridor history and spatial count-station influence. Vehicle-class values are assigned from functional-class shares.</x:v>
      </x:c>
      <x:c r="AF176" t="str">
        <x:v>Placed on exact national road host link</x:v>
      </x:c>
    </x:row>
    <x:row r="177" ht="15" hidden="0" customHeight="1">
      <x:c r="A177" t="str">
        <x:v>bridge-176</x:v>
      </x:c>
      <x:c r="B177" t="str">
        <x:v>B160</x:v>
      </x:c>
      <x:c r="C177" t="str">
        <x:v>CHESEBERE</x:v>
      </x:c>
      <x:c r="D177" t="str">
        <x:v>B300_Link03</x:v>
      </x:c>
      <x:c r="E177" t="str">
        <x:v>Muyembe - Namalu</x:v>
      </x:c>
      <x:c r="F177" t="str">
        <x:v>B</x:v>
      </x:c>
      <x:c r="G177" t="str">
        <x:v>Eastern</x:v>
      </x:c>
      <x:c r="H177" t="str">
        <x:v>Mbale</x:v>
      </x:c>
      <x:c r="I177" t="str">
        <x:v>CHESEBERE</x:v>
      </x:c>
      <x:c r="J177" t="str">
        <x:v>Under Construction</x:v>
      </x:c>
      <x:c r="K177" t="n">
        <x:v>34.34967</x:v>
      </x:c>
      <x:c r="L177" t="n">
        <x:v>1.41471</x:v>
      </x:c>
      <x:c r="M177" t="n">
        <x:v>34.296604</x:v>
      </x:c>
      <x:c r="N177" t="n">
        <x:v>1.335438</x:v>
      </x:c>
      <x:c r="O177" t="n">
        <x:v>1443.05</x:v>
      </x:c>
      <x:c r="P177" t="n">
        <x:f>IFERROR(INDEX(Assumptions!$B$9:$B$13,MATCH(F177,Assumptions!$A$9:$A$13,0)),0.15)</x:f>
        <x:v>0.16</x:v>
      </x:c>
      <x:c r="Q177" t="n">
        <x:f>ROUND(O177*(1-P177),0)</x:f>
        <x:v>1212</x:v>
      </x:c>
      <x:c r="R177" t="n">
        <x:f>ROUND(O177*P177,0)</x:f>
        <x:v>231</x:v>
      </x:c>
      <x:c r="S177" t="n">
        <x:f>ROUND(O177*IFERROR(INDEX(Assumptions!$C$9:$C$13,MATCH(F177,Assumptions!$A$9:$A$13,0)),0.55),0)</x:f>
        <x:v>808</x:v>
      </x:c>
      <x:c r="T177" t="n">
        <x:f>ROUND(O177*IFERROR(INDEX(Assumptions!$D$9:$D$13,MATCH(F177,Assumptions!$A$9:$A$13,0)),0.06),0)</x:f>
        <x:v>101</x:v>
      </x:c>
      <x:c r="U177" t="n">
        <x:f>ROUND(O177*IFERROR(INDEX(Assumptions!$E$9:$E$13,MATCH(F177,Assumptions!$A$9:$A$13,0)),0.15),0)</x:f>
        <x:v>231</x:v>
      </x:c>
      <x:c r="V177" t="n">
        <x:f>MAX(0,O177-SUM(R177:U177))</x:f>
        <x:v>72.04999999999995</x:v>
      </x:c>
      <x:c r="W177" t="n">
        <x:f>MIN(100,40+IF(O177&gt;0,20,0)+IF(M177&lt;&gt;"",20,0)+IF(AF177&lt;&gt;"",20,0))</x:f>
        <x:v>100</x:v>
      </x:c>
      <x:c r="X177" t="str">
        <x:v>Placed on exact national road host link</x:v>
      </x:c>
      <x:c r="Y177" t="str">
        <x:v>Unpaved</x:v>
      </x:c>
      <x:c r="Z177" t="str">
        <x:v>B</x:v>
      </x:c>
      <x:c r="AA177" t="str">
        <x:v>Not available in governed source</x:v>
      </x:c>
      <x:c r="AB177" t="str">
        <x:v>Not available in governed source</x:v>
      </x:c>
      <x:c r="AC177" t="str">
        <x:v>FY2025/26</x:v>
      </x:c>
      <x:c r="AD177" t="str">
        <x:v>Modelled</x:v>
      </x:c>
      <x:c r="AE177" t="str">
        <x:v>2026 bridge AADT rebuilt from host-link traffic history, annual collection-link history, same-road corridor history and spatial count-station influence. Vehicle-class values are assigned from functional-class shares.</x:v>
      </x:c>
      <x:c r="AF177" t="str">
        <x:v>Placed on exact national road host link</x:v>
      </x:c>
    </x:row>
    <x:row r="178" ht="15" hidden="0" customHeight="1">
      <x:c r="A178" t="str">
        <x:v>bridge-177</x:v>
      </x:c>
      <x:c r="B178" t="str">
        <x:v>B161</x:v>
      </x:c>
      <x:c r="C178" t="str">
        <x:v>MUYEMBE-ANGUTUM</x:v>
      </x:c>
      <x:c r="D178" t="str">
        <x:v>B300_Link03</x:v>
      </x:c>
      <x:c r="E178" t="str">
        <x:v>Muyembe - Namalu</x:v>
      </x:c>
      <x:c r="F178" t="str">
        <x:v>B</x:v>
      </x:c>
      <x:c r="G178" t="str">
        <x:v>Eastern</x:v>
      </x:c>
      <x:c r="H178" t="str">
        <x:v>Mbale</x:v>
      </x:c>
      <x:c r="I178" t="str">
        <x:v>KAPUTOKOI</x:v>
      </x:c>
      <x:c r="J178" t="str">
        <x:v>Marginal</x:v>
      </x:c>
      <x:c r="K178" t="n">
        <x:v>34.40419</x:v>
      </x:c>
      <x:c r="L178" t="n">
        <x:v>1.47082</x:v>
      </x:c>
      <x:c r="M178" t="n">
        <x:v>34.296604</x:v>
      </x:c>
      <x:c r="N178" t="n">
        <x:v>1.335438</x:v>
      </x:c>
      <x:c r="O178" t="n">
        <x:v>1443.05</x:v>
      </x:c>
      <x:c r="P178" t="n">
        <x:f>IFERROR(INDEX(Assumptions!$B$9:$B$13,MATCH(F178,Assumptions!$A$9:$A$13,0)),0.15)</x:f>
        <x:v>0.16</x:v>
      </x:c>
      <x:c r="Q178" t="n">
        <x:f>ROUND(O178*(1-P178),0)</x:f>
        <x:v>1212</x:v>
      </x:c>
      <x:c r="R178" t="n">
        <x:f>ROUND(O178*P178,0)</x:f>
        <x:v>231</x:v>
      </x:c>
      <x:c r="S178" t="n">
        <x:f>ROUND(O178*IFERROR(INDEX(Assumptions!$C$9:$C$13,MATCH(F178,Assumptions!$A$9:$A$13,0)),0.55),0)</x:f>
        <x:v>808</x:v>
      </x:c>
      <x:c r="T178" t="n">
        <x:f>ROUND(O178*IFERROR(INDEX(Assumptions!$D$9:$D$13,MATCH(F178,Assumptions!$A$9:$A$13,0)),0.06),0)</x:f>
        <x:v>101</x:v>
      </x:c>
      <x:c r="U178" t="n">
        <x:f>ROUND(O178*IFERROR(INDEX(Assumptions!$E$9:$E$13,MATCH(F178,Assumptions!$A$9:$A$13,0)),0.15),0)</x:f>
        <x:v>231</x:v>
      </x:c>
      <x:c r="V178" t="n">
        <x:f>MAX(0,O178-SUM(R178:U178))</x:f>
        <x:v>72.04999999999995</x:v>
      </x:c>
      <x:c r="W178" t="n">
        <x:f>MIN(100,40+IF(O178&gt;0,20,0)+IF(M178&lt;&gt;"",20,0)+IF(AF178&lt;&gt;"",20,0))</x:f>
        <x:v>100</x:v>
      </x:c>
      <x:c r="X178" t="str">
        <x:v>Placed on exact national road host link</x:v>
      </x:c>
      <x:c r="Y178" t="str">
        <x:v>Unpaved</x:v>
      </x:c>
      <x:c r="Z178" t="str">
        <x:v>B</x:v>
      </x:c>
      <x:c r="AA178" t="str">
        <x:v>Not available in governed source</x:v>
      </x:c>
      <x:c r="AB178" t="str">
        <x:v>Not available in governed source</x:v>
      </x:c>
      <x:c r="AC178" t="str">
        <x:v>FY2025/26</x:v>
      </x:c>
      <x:c r="AD178" t="str">
        <x:v>Modelled</x:v>
      </x:c>
      <x:c r="AE178" t="str">
        <x:v>2026 bridge AADT rebuilt from host-link traffic history, annual collection-link history, same-road corridor history and spatial count-station influence. Vehicle-class values are assigned from functional-class shares.</x:v>
      </x:c>
      <x:c r="AF178" t="str">
        <x:v>Placed on exact national road host link</x:v>
      </x:c>
    </x:row>
    <x:row r="179" ht="15" hidden="0" customHeight="1">
      <x:c r="A179" t="str">
        <x:v>bridge-178</x:v>
      </x:c>
      <x:c r="B179" t="str">
        <x:v>B162</x:v>
      </x:c>
      <x:c r="C179" t="str">
        <x:v>ROAD OVER RIVER</x:v>
      </x:c>
      <x:c r="D179" t="str">
        <x:v>B300_Link03</x:v>
      </x:c>
      <x:c r="E179" t="str">
        <x:v>Muyembe - Namalu</x:v>
      </x:c>
      <x:c r="F179" t="str">
        <x:v>B</x:v>
      </x:c>
      <x:c r="G179" t="str">
        <x:v>Eastern</x:v>
      </x:c>
      <x:c r="H179" t="str">
        <x:v>Mbale</x:v>
      </x:c>
      <x:c r="I179" t="str">
        <x:v>Atari River</x:v>
      </x:c>
      <x:c r="J179" t="str">
        <x:v>Poor</x:v>
      </x:c>
      <x:c r="K179" t="n">
        <x:v>34.444229</x:v>
      </x:c>
      <x:c r="L179" t="n">
        <x:v>1.50021</x:v>
      </x:c>
      <x:c r="M179" t="n">
        <x:v>34.296604</x:v>
      </x:c>
      <x:c r="N179" t="n">
        <x:v>1.335438</x:v>
      </x:c>
      <x:c r="O179" t="n">
        <x:v>1443.05</x:v>
      </x:c>
      <x:c r="P179" t="n">
        <x:f>IFERROR(INDEX(Assumptions!$B$9:$B$13,MATCH(F179,Assumptions!$A$9:$A$13,0)),0.15)</x:f>
        <x:v>0.16</x:v>
      </x:c>
      <x:c r="Q179" t="n">
        <x:f>ROUND(O179*(1-P179),0)</x:f>
        <x:v>1212</x:v>
      </x:c>
      <x:c r="R179" t="n">
        <x:f>ROUND(O179*P179,0)</x:f>
        <x:v>231</x:v>
      </x:c>
      <x:c r="S179" t="n">
        <x:f>ROUND(O179*IFERROR(INDEX(Assumptions!$C$9:$C$13,MATCH(F179,Assumptions!$A$9:$A$13,0)),0.55),0)</x:f>
        <x:v>808</x:v>
      </x:c>
      <x:c r="T179" t="n">
        <x:f>ROUND(O179*IFERROR(INDEX(Assumptions!$D$9:$D$13,MATCH(F179,Assumptions!$A$9:$A$13,0)),0.06),0)</x:f>
        <x:v>101</x:v>
      </x:c>
      <x:c r="U179" t="n">
        <x:f>ROUND(O179*IFERROR(INDEX(Assumptions!$E$9:$E$13,MATCH(F179,Assumptions!$A$9:$A$13,0)),0.15),0)</x:f>
        <x:v>231</x:v>
      </x:c>
      <x:c r="V179" t="n">
        <x:f>MAX(0,O179-SUM(R179:U179))</x:f>
        <x:v>72.04999999999995</x:v>
      </x:c>
      <x:c r="W179" t="n">
        <x:f>MIN(100,40+IF(O179&gt;0,20,0)+IF(M179&lt;&gt;"",20,0)+IF(AF179&lt;&gt;"",20,0))</x:f>
        <x:v>100</x:v>
      </x:c>
      <x:c r="X179" t="str">
        <x:v>Placed on exact national road host link</x:v>
      </x:c>
      <x:c r="Y179" t="str">
        <x:v>Unpaved</x:v>
      </x:c>
      <x:c r="Z179" t="str">
        <x:v>B</x:v>
      </x:c>
      <x:c r="AA179" t="str">
        <x:v>Not available in governed source</x:v>
      </x:c>
      <x:c r="AB179" t="str">
        <x:v>Not available in governed source</x:v>
      </x:c>
      <x:c r="AC179" t="str">
        <x:v>FY2025/26</x:v>
      </x:c>
      <x:c r="AD179" t="str">
        <x:v>Modelled</x:v>
      </x:c>
      <x:c r="AE179" t="str">
        <x:v>2026 bridge AADT rebuilt from host-link traffic history, annual collection-link history, same-road corridor history and spatial count-station influence. Vehicle-class values are assigned from functional-class shares.</x:v>
      </x:c>
      <x:c r="AF179" t="str">
        <x:v>Placed on exact national road host link</x:v>
      </x:c>
    </x:row>
    <x:row r="180" ht="15" hidden="0" customHeight="1">
      <x:c r="A180" t="str">
        <x:v>bridge-179</x:v>
      </x:c>
      <x:c r="B180" t="str">
        <x:v>B163</x:v>
      </x:c>
      <x:c r="C180" t="str">
        <x:v>SERETYO</x:v>
      </x:c>
      <x:c r="D180" t="str">
        <x:v>B300_Link03</x:v>
      </x:c>
      <x:c r="E180" t="str">
        <x:v>Muyembe - Namalu</x:v>
      </x:c>
      <x:c r="F180" t="str">
        <x:v>B</x:v>
      </x:c>
      <x:c r="G180" t="str">
        <x:v>Eastern</x:v>
      </x:c>
      <x:c r="H180" t="str">
        <x:v>Mbale</x:v>
      </x:c>
      <x:c r="I180" t="str">
        <x:v>SERETYO</x:v>
      </x:c>
      <x:c r="J180" t="str">
        <x:v>Good</x:v>
      </x:c>
      <x:c r="K180" t="n">
        <x:v>34.49395</x:v>
      </x:c>
      <x:c r="L180" t="n">
        <x:v>1.53895</x:v>
      </x:c>
      <x:c r="M180" t="n">
        <x:v>34.493902</x:v>
      </x:c>
      <x:c r="N180" t="n">
        <x:v>1.538957</x:v>
      </x:c>
      <x:c r="O180" t="n">
        <x:v>1443.05</x:v>
      </x:c>
      <x:c r="P180" t="n">
        <x:f>IFERROR(INDEX(Assumptions!$B$9:$B$13,MATCH(F180,Assumptions!$A$9:$A$13,0)),0.15)</x:f>
        <x:v>0.16</x:v>
      </x:c>
      <x:c r="Q180" t="n">
        <x:f>ROUND(O180*(1-P180),0)</x:f>
        <x:v>1212</x:v>
      </x:c>
      <x:c r="R180" t="n">
        <x:f>ROUND(O180*P180,0)</x:f>
        <x:v>231</x:v>
      </x:c>
      <x:c r="S180" t="n">
        <x:f>ROUND(O180*IFERROR(INDEX(Assumptions!$C$9:$C$13,MATCH(F180,Assumptions!$A$9:$A$13,0)),0.55),0)</x:f>
        <x:v>808</x:v>
      </x:c>
      <x:c r="T180" t="n">
        <x:f>ROUND(O180*IFERROR(INDEX(Assumptions!$D$9:$D$13,MATCH(F180,Assumptions!$A$9:$A$13,0)),0.06),0)</x:f>
        <x:v>101</x:v>
      </x:c>
      <x:c r="U180" t="n">
        <x:f>ROUND(O180*IFERROR(INDEX(Assumptions!$E$9:$E$13,MATCH(F180,Assumptions!$A$9:$A$13,0)),0.15),0)</x:f>
        <x:v>231</x:v>
      </x:c>
      <x:c r="V180" t="n">
        <x:f>MAX(0,O180-SUM(R180:U180))</x:f>
        <x:v>72.04999999999995</x:v>
      </x:c>
      <x:c r="W180" t="n">
        <x:f>MIN(100,40+IF(O180&gt;0,20,0)+IF(M180&lt;&gt;"",20,0)+IF(AF180&lt;&gt;"",20,0))</x:f>
        <x:v>100</x:v>
      </x:c>
      <x:c r="X180" t="str">
        <x:v>Placed on exact national road host link</x:v>
      </x:c>
      <x:c r="Y180" t="str">
        <x:v>Unpaved</x:v>
      </x:c>
      <x:c r="Z180" t="str">
        <x:v>B</x:v>
      </x:c>
      <x:c r="AA180" t="str">
        <x:v>Not available in governed source</x:v>
      </x:c>
      <x:c r="AB180" t="str">
        <x:v>Not available in governed source</x:v>
      </x:c>
      <x:c r="AC180" t="str">
        <x:v>FY2025/26</x:v>
      </x:c>
      <x:c r="AD180" t="str">
        <x:v>Modelled</x:v>
      </x:c>
      <x:c r="AE180" t="str">
        <x:v>2026 bridge AADT rebuilt from host-link traffic history, annual collection-link history, same-road corridor history and spatial count-station influence. Vehicle-class values are assigned from functional-class shares.</x:v>
      </x:c>
      <x:c r="AF180" t="str">
        <x:v>Placed on exact national road host link</x:v>
      </x:c>
    </x:row>
    <x:row r="181" ht="15" hidden="0" customHeight="1">
      <x:c r="A181" t="str">
        <x:v>bridge-180</x:v>
      </x:c>
      <x:c r="B181" t="str">
        <x:v>B164</x:v>
      </x:c>
      <x:c r="C181" t="str">
        <x:v>OKILIM</x:v>
      </x:c>
      <x:c r="D181" t="str">
        <x:v>B300_Link03</x:v>
      </x:c>
      <x:c r="E181" t="str">
        <x:v>Muyembe - Namalu</x:v>
      </x:c>
      <x:c r="F181" t="str">
        <x:v>B</x:v>
      </x:c>
      <x:c r="G181" t="str">
        <x:v>Eastern</x:v>
      </x:c>
      <x:c r="H181" t="str">
        <x:v>Mbale</x:v>
      </x:c>
      <x:c r="I181" t="str">
        <x:v>OKILIM</x:v>
      </x:c>
      <x:c r="J181" t="str">
        <x:v>Under Construction</x:v>
      </x:c>
      <x:c r="K181" t="n">
        <x:v>34.543621</x:v>
      </x:c>
      <x:c r="L181" t="n">
        <x:v>1.59842</x:v>
      </x:c>
      <x:c r="M181" t="n">
        <x:v>34.534174</x:v>
      </x:c>
      <x:c r="N181" t="n">
        <x:v>1.575484</x:v>
      </x:c>
      <x:c r="O181" t="n">
        <x:v>1443.05</x:v>
      </x:c>
      <x:c r="P181" t="n">
        <x:f>IFERROR(INDEX(Assumptions!$B$9:$B$13,MATCH(F181,Assumptions!$A$9:$A$13,0)),0.15)</x:f>
        <x:v>0.16</x:v>
      </x:c>
      <x:c r="Q181" t="n">
        <x:f>ROUND(O181*(1-P181),0)</x:f>
        <x:v>1212</x:v>
      </x:c>
      <x:c r="R181" t="n">
        <x:f>ROUND(O181*P181,0)</x:f>
        <x:v>231</x:v>
      </x:c>
      <x:c r="S181" t="n">
        <x:f>ROUND(O181*IFERROR(INDEX(Assumptions!$C$9:$C$13,MATCH(F181,Assumptions!$A$9:$A$13,0)),0.55),0)</x:f>
        <x:v>808</x:v>
      </x:c>
      <x:c r="T181" t="n">
        <x:f>ROUND(O181*IFERROR(INDEX(Assumptions!$D$9:$D$13,MATCH(F181,Assumptions!$A$9:$A$13,0)),0.06),0)</x:f>
        <x:v>101</x:v>
      </x:c>
      <x:c r="U181" t="n">
        <x:f>ROUND(O181*IFERROR(INDEX(Assumptions!$E$9:$E$13,MATCH(F181,Assumptions!$A$9:$A$13,0)),0.15),0)</x:f>
        <x:v>231</x:v>
      </x:c>
      <x:c r="V181" t="n">
        <x:f>MAX(0,O181-SUM(R181:U181))</x:f>
        <x:v>72.04999999999995</x:v>
      </x:c>
      <x:c r="W181" t="n">
        <x:f>MIN(100,40+IF(O181&gt;0,20,0)+IF(M181&lt;&gt;"",20,0)+IF(AF181&lt;&gt;"",20,0))</x:f>
        <x:v>100</x:v>
      </x:c>
      <x:c r="X181" t="str">
        <x:v>Placed on exact national road host link</x:v>
      </x:c>
      <x:c r="Y181" t="str">
        <x:v>Unpaved</x:v>
      </x:c>
      <x:c r="Z181" t="str">
        <x:v>B</x:v>
      </x:c>
      <x:c r="AA181" t="str">
        <x:v>Not available in governed source</x:v>
      </x:c>
      <x:c r="AB181" t="str">
        <x:v>Not available in governed source</x:v>
      </x:c>
      <x:c r="AC181" t="str">
        <x:v>FY2025/26</x:v>
      </x:c>
      <x:c r="AD181" t="str">
        <x:v>Modelled</x:v>
      </x:c>
      <x:c r="AE181" t="str">
        <x:v>2026 bridge AADT rebuilt from host-link traffic history, annual collection-link history, same-road corridor history and spatial count-station influence. Vehicle-class values are assigned from functional-class shares.</x:v>
      </x:c>
      <x:c r="AF181" t="str">
        <x:v>Placed on exact national road host link</x:v>
      </x:c>
    </x:row>
    <x:row r="182" ht="15" hidden="0" customHeight="1">
      <x:c r="A182" t="str">
        <x:v>bridge-181</x:v>
      </x:c>
      <x:c r="B182" t="str">
        <x:v>B165</x:v>
      </x:c>
      <x:c r="C182" t="str">
        <x:v>LORENGEDWAT</x:v>
      </x:c>
      <x:c r="D182" t="str">
        <x:v>B300_Link05</x:v>
      </x:c>
      <x:c r="E182" t="str">
        <x:v>Lokapel - Ariamoi</x:v>
      </x:c>
      <x:c r="F182" t="str">
        <x:v>B</x:v>
      </x:c>
      <x:c r="G182" t="str">
        <x:v>North Eastern</x:v>
      </x:c>
      <x:c r="H182" t="str">
        <x:v>Moroto</x:v>
      </x:c>
      <x:c r="I182" t="str">
        <x:v>OMANIMAN</x:v>
      </x:c>
      <x:c r="J182" t="str">
        <x:v>Good</x:v>
      </x:c>
      <x:c r="K182" t="n">
        <x:v>34.580502</x:v>
      </x:c>
      <x:c r="L182" t="n">
        <x:v>2.35148</x:v>
      </x:c>
      <x:c r="M182" t="n">
        <x:v>34.692301</x:v>
      </x:c>
      <x:c r="N182" t="n">
        <x:v>2.150103</x:v>
      </x:c>
      <x:c r="O182" t="n">
        <x:v>473.04</x:v>
      </x:c>
      <x:c r="P182" t="n">
        <x:f>IFERROR(INDEX(Assumptions!$B$9:$B$13,MATCH(F182,Assumptions!$A$9:$A$13,0)),0.15)</x:f>
        <x:v>0.16</x:v>
      </x:c>
      <x:c r="Q182" t="n">
        <x:f>ROUND(O182*(1-P182),0)</x:f>
        <x:v>397</x:v>
      </x:c>
      <x:c r="R182" t="n">
        <x:f>ROUND(O182*P182,0)</x:f>
        <x:v>76</x:v>
      </x:c>
      <x:c r="S182" t="n">
        <x:f>ROUND(O182*IFERROR(INDEX(Assumptions!$C$9:$C$13,MATCH(F182,Assumptions!$A$9:$A$13,0)),0.55),0)</x:f>
        <x:v>265</x:v>
      </x:c>
      <x:c r="T182" t="n">
        <x:f>ROUND(O182*IFERROR(INDEX(Assumptions!$D$9:$D$13,MATCH(F182,Assumptions!$A$9:$A$13,0)),0.06),0)</x:f>
        <x:v>33</x:v>
      </x:c>
      <x:c r="U182" t="n">
        <x:f>ROUND(O182*IFERROR(INDEX(Assumptions!$E$9:$E$13,MATCH(F182,Assumptions!$A$9:$A$13,0)),0.15),0)</x:f>
        <x:v>76</x:v>
      </x:c>
      <x:c r="V182" t="n">
        <x:f>MAX(0,O182-SUM(R182:U182))</x:f>
        <x:v>23.04000000000002</x:v>
      </x:c>
      <x:c r="W182" t="n">
        <x:f>MIN(100,40+IF(O182&gt;0,20,0)+IF(M182&lt;&gt;"",20,0)+IF(AF182&lt;&gt;"",20,0))</x:f>
        <x:v>100</x:v>
      </x:c>
      <x:c r="X182" t="str">
        <x:v>Placed on exact national road host link</x:v>
      </x:c>
      <x:c r="Y182" t="str">
        <x:v>Paved</x:v>
      </x:c>
      <x:c r="Z182" t="str">
        <x:v>B</x:v>
      </x:c>
      <x:c r="AA182" t="str">
        <x:v>Not available in governed source</x:v>
      </x:c>
      <x:c r="AB182" t="str">
        <x:v>Not available in governed source</x:v>
      </x:c>
      <x:c r="AC182" t="str">
        <x:v>FY2025/26</x:v>
      </x:c>
      <x:c r="AD182" t="str">
        <x:v>Modelled</x:v>
      </x:c>
      <x:c r="AE182" t="str">
        <x:v>2026 bridge AADT rebuilt from host-link traffic history, annual collection-link history, same-road corridor history and spatial count-station influence. Vehicle-class values are assigned from functional-class shares.</x:v>
      </x:c>
      <x:c r="AF182" t="str">
        <x:v>Placed on exact national road host link</x:v>
      </x:c>
    </x:row>
    <x:row r="183" ht="15" hidden="0" customHeight="1">
      <x:c r="A183" t="str">
        <x:v>bridge-182</x:v>
      </x:c>
      <x:c r="B183" t="str">
        <x:v>B166</x:v>
      </x:c>
      <x:c r="C183" t="str">
        <x:v>NAMALERA</x:v>
      </x:c>
      <x:c r="D183" t="str">
        <x:v>B300_Link05</x:v>
      </x:c>
      <x:c r="E183" t="str">
        <x:v>Lokapel - Ariamoi</x:v>
      </x:c>
      <x:c r="F183" t="str">
        <x:v>B</x:v>
      </x:c>
      <x:c r="G183" t="str">
        <x:v>North Eastern</x:v>
      </x:c>
      <x:c r="H183" t="str">
        <x:v>Moroto</x:v>
      </x:c>
      <x:c r="I183" t="str">
        <x:v>NAMALERA</x:v>
      </x:c>
      <x:c r="J183" t="str">
        <x:v>Good</x:v>
      </x:c>
      <x:c r="K183" t="n">
        <x:v>34.57373</x:v>
      </x:c>
      <x:c r="L183" t="n">
        <x:v>2.40346</x:v>
      </x:c>
      <x:c r="M183" t="n">
        <x:v>34.69344</x:v>
      </x:c>
      <x:c r="N183" t="n">
        <x:v>2.148754</x:v>
      </x:c>
      <x:c r="O183" t="n">
        <x:v>473.04</x:v>
      </x:c>
      <x:c r="P183" t="n">
        <x:f>IFERROR(INDEX(Assumptions!$B$9:$B$13,MATCH(F183,Assumptions!$A$9:$A$13,0)),0.15)</x:f>
        <x:v>0.16</x:v>
      </x:c>
      <x:c r="Q183" t="n">
        <x:f>ROUND(O183*(1-P183),0)</x:f>
        <x:v>397</x:v>
      </x:c>
      <x:c r="R183" t="n">
        <x:f>ROUND(O183*P183,0)</x:f>
        <x:v>76</x:v>
      </x:c>
      <x:c r="S183" t="n">
        <x:f>ROUND(O183*IFERROR(INDEX(Assumptions!$C$9:$C$13,MATCH(F183,Assumptions!$A$9:$A$13,0)),0.55),0)</x:f>
        <x:v>265</x:v>
      </x:c>
      <x:c r="T183" t="n">
        <x:f>ROUND(O183*IFERROR(INDEX(Assumptions!$D$9:$D$13,MATCH(F183,Assumptions!$A$9:$A$13,0)),0.06),0)</x:f>
        <x:v>33</x:v>
      </x:c>
      <x:c r="U183" t="n">
        <x:f>ROUND(O183*IFERROR(INDEX(Assumptions!$E$9:$E$13,MATCH(F183,Assumptions!$A$9:$A$13,0)),0.15),0)</x:f>
        <x:v>76</x:v>
      </x:c>
      <x:c r="V183" t="n">
        <x:f>MAX(0,O183-SUM(R183:U183))</x:f>
        <x:v>23.04000000000002</x:v>
      </x:c>
      <x:c r="W183" t="n">
        <x:f>MIN(100,40+IF(O183&gt;0,20,0)+IF(M183&lt;&gt;"",20,0)+IF(AF183&lt;&gt;"",20,0))</x:f>
        <x:v>100</x:v>
      </x:c>
      <x:c r="X183" t="str">
        <x:v>Placed on exact national road host link</x:v>
      </x:c>
      <x:c r="Y183" t="str">
        <x:v>Paved</x:v>
      </x:c>
      <x:c r="Z183" t="str">
        <x:v>B</x:v>
      </x:c>
      <x:c r="AA183" t="str">
        <x:v>Not available in governed source</x:v>
      </x:c>
      <x:c r="AB183" t="str">
        <x:v>Not available in governed source</x:v>
      </x:c>
      <x:c r="AC183" t="str">
        <x:v>FY2025/26</x:v>
      </x:c>
      <x:c r="AD183" t="str">
        <x:v>Modelled</x:v>
      </x:c>
      <x:c r="AE183" t="str">
        <x:v>2026 bridge AADT rebuilt from host-link traffic history, annual collection-link history, same-road corridor history and spatial count-station influence. Vehicle-class values are assigned from functional-class shares.</x:v>
      </x:c>
      <x:c r="AF183" t="str">
        <x:v>Placed on exact national road host link</x:v>
      </x:c>
    </x:row>
    <x:row r="184" ht="15" hidden="0" customHeight="1">
      <x:c r="A184" t="str">
        <x:v>bridge-183</x:v>
      </x:c>
      <x:c r="B184" t="str">
        <x:v>B167</x:v>
      </x:c>
      <x:c r="C184" t="str">
        <x:v>LOKALI</x:v>
      </x:c>
      <x:c r="D184" t="str">
        <x:v>B300_Link05</x:v>
      </x:c>
      <x:c r="E184" t="str">
        <x:v>Lokapel - Ariamoi</x:v>
      </x:c>
      <x:c r="F184" t="str">
        <x:v>B</x:v>
      </x:c>
      <x:c r="G184" t="str">
        <x:v>North Eastern</x:v>
      </x:c>
      <x:c r="H184" t="str">
        <x:v>Moroto</x:v>
      </x:c>
      <x:c r="I184" t="str">
        <x:v>LOKALI</x:v>
      </x:c>
      <x:c r="J184" t="str">
        <x:v>Good</x:v>
      </x:c>
      <x:c r="K184" t="n">
        <x:v>34.571831</x:v>
      </x:c>
      <x:c r="L184" t="n">
        <x:v>2.44495</x:v>
      </x:c>
      <x:c r="M184" t="n">
        <x:v>34.692301</x:v>
      </x:c>
      <x:c r="N184" t="n">
        <x:v>2.150103</x:v>
      </x:c>
      <x:c r="O184" t="n">
        <x:v>473.04</x:v>
      </x:c>
      <x:c r="P184" t="n">
        <x:f>IFERROR(INDEX(Assumptions!$B$9:$B$13,MATCH(F184,Assumptions!$A$9:$A$13,0)),0.15)</x:f>
        <x:v>0.16</x:v>
      </x:c>
      <x:c r="Q184" t="n">
        <x:f>ROUND(O184*(1-P184),0)</x:f>
        <x:v>397</x:v>
      </x:c>
      <x:c r="R184" t="n">
        <x:f>ROUND(O184*P184,0)</x:f>
        <x:v>76</x:v>
      </x:c>
      <x:c r="S184" t="n">
        <x:f>ROUND(O184*IFERROR(INDEX(Assumptions!$C$9:$C$13,MATCH(F184,Assumptions!$A$9:$A$13,0)),0.55),0)</x:f>
        <x:v>265</x:v>
      </x:c>
      <x:c r="T184" t="n">
        <x:f>ROUND(O184*IFERROR(INDEX(Assumptions!$D$9:$D$13,MATCH(F184,Assumptions!$A$9:$A$13,0)),0.06),0)</x:f>
        <x:v>33</x:v>
      </x:c>
      <x:c r="U184" t="n">
        <x:f>ROUND(O184*IFERROR(INDEX(Assumptions!$E$9:$E$13,MATCH(F184,Assumptions!$A$9:$A$13,0)),0.15),0)</x:f>
        <x:v>76</x:v>
      </x:c>
      <x:c r="V184" t="n">
        <x:f>MAX(0,O184-SUM(R184:U184))</x:f>
        <x:v>23.04000000000002</x:v>
      </x:c>
      <x:c r="W184" t="n">
        <x:f>MIN(100,40+IF(O184&gt;0,20,0)+IF(M184&lt;&gt;"",20,0)+IF(AF184&lt;&gt;"",20,0))</x:f>
        <x:v>100</x:v>
      </x:c>
      <x:c r="X184" t="str">
        <x:v>Placed on exact national road host link</x:v>
      </x:c>
      <x:c r="Y184" t="str">
        <x:v>Paved</x:v>
      </x:c>
      <x:c r="Z184" t="str">
        <x:v>B</x:v>
      </x:c>
      <x:c r="AA184" t="str">
        <x:v>Not available in governed source</x:v>
      </x:c>
      <x:c r="AB184" t="str">
        <x:v>Not available in governed source</x:v>
      </x:c>
      <x:c r="AC184" t="str">
        <x:v>FY2025/26</x:v>
      </x:c>
      <x:c r="AD184" t="str">
        <x:v>Modelled</x:v>
      </x:c>
      <x:c r="AE184" t="str">
        <x:v>2026 bridge AADT rebuilt from host-link traffic history, annual collection-link history, same-road corridor history and spatial count-station influence. Vehicle-class values are assigned from functional-class shares.</x:v>
      </x:c>
      <x:c r="AF184" t="str">
        <x:v>Placed on exact national road host link</x:v>
      </x:c>
    </x:row>
    <x:row r="185" ht="15" hidden="0" customHeight="1">
      <x:c r="A185" t="str">
        <x:v>bridge-184</x:v>
      </x:c>
      <x:c r="B185" t="str">
        <x:v>B168</x:v>
      </x:c>
      <x:c r="C185" t="str">
        <x:v>NADUNGET</x:v>
      </x:c>
      <x:c r="D185" t="str">
        <x:v>B300_Link06</x:v>
      </x:c>
      <x:c r="E185" t="str">
        <x:v>Ariamoi - Moroto</x:v>
      </x:c>
      <x:c r="F185" t="str">
        <x:v>B</x:v>
      </x:c>
      <x:c r="G185" t="str">
        <x:v>North Eastern</x:v>
      </x:c>
      <x:c r="H185" t="str">
        <x:v>Moroto</x:v>
      </x:c>
      <x:c r="I185" t="str">
        <x:v>ANGOLOT</x:v>
      </x:c>
      <x:c r="J185" t="str">
        <x:v>Good</x:v>
      </x:c>
      <x:c r="K185" t="n">
        <x:v>34.592621</x:v>
      </x:c>
      <x:c r="L185" t="n">
        <x:v>2.51141</x:v>
      </x:c>
      <x:c r="M185" t="n">
        <x:v>34.568435</x:v>
      </x:c>
      <x:c r="N185" t="n">
        <x:v>2.504801</x:v>
      </x:c>
      <x:c r="O185" t="n">
        <x:v>473.04</x:v>
      </x:c>
      <x:c r="P185" t="n">
        <x:f>IFERROR(INDEX(Assumptions!$B$9:$B$13,MATCH(F185,Assumptions!$A$9:$A$13,0)),0.15)</x:f>
        <x:v>0.16</x:v>
      </x:c>
      <x:c r="Q185" t="n">
        <x:f>ROUND(O185*(1-P185),0)</x:f>
        <x:v>397</x:v>
      </x:c>
      <x:c r="R185" t="n">
        <x:f>ROUND(O185*P185,0)</x:f>
        <x:v>76</x:v>
      </x:c>
      <x:c r="S185" t="n">
        <x:f>ROUND(O185*IFERROR(INDEX(Assumptions!$C$9:$C$13,MATCH(F185,Assumptions!$A$9:$A$13,0)),0.55),0)</x:f>
        <x:v>265</x:v>
      </x:c>
      <x:c r="T185" t="n">
        <x:f>ROUND(O185*IFERROR(INDEX(Assumptions!$D$9:$D$13,MATCH(F185,Assumptions!$A$9:$A$13,0)),0.06),0)</x:f>
        <x:v>33</x:v>
      </x:c>
      <x:c r="U185" t="n">
        <x:f>ROUND(O185*IFERROR(INDEX(Assumptions!$E$9:$E$13,MATCH(F185,Assumptions!$A$9:$A$13,0)),0.15),0)</x:f>
        <x:v>76</x:v>
      </x:c>
      <x:c r="V185" t="n">
        <x:f>MAX(0,O185-SUM(R185:U185))</x:f>
        <x:v>23.04000000000002</x:v>
      </x:c>
      <x:c r="W185" t="n">
        <x:f>MIN(100,40+IF(O185&gt;0,20,0)+IF(M185&lt;&gt;"",20,0)+IF(AF185&lt;&gt;"",20,0))</x:f>
        <x:v>100</x:v>
      </x:c>
      <x:c r="X185" t="str">
        <x:v>Placed on exact national road host link</x:v>
      </x:c>
      <x:c r="Y185" t="str">
        <x:v>Paved</x:v>
      </x:c>
      <x:c r="Z185" t="str">
        <x:v>B</x:v>
      </x:c>
      <x:c r="AA185" t="str">
        <x:v>Not available in governed source</x:v>
      </x:c>
      <x:c r="AB185" t="str">
        <x:v>Not available in governed source</x:v>
      </x:c>
      <x:c r="AC185" t="str">
        <x:v>FY2025/26</x:v>
      </x:c>
      <x:c r="AD185" t="str">
        <x:v>Modelled</x:v>
      </x:c>
      <x:c r="AE185" t="str">
        <x:v>2026 bridge AADT rebuilt from host-link traffic history, annual collection-link history, same-road corridor history and spatial count-station influence. Vehicle-class values are assigned from functional-class shares.</x:v>
      </x:c>
      <x:c r="AF185" t="str">
        <x:v>Placed on exact national road host link</x:v>
      </x:c>
    </x:row>
    <x:row r="186" ht="15" hidden="0" customHeight="1">
      <x:c r="A186" t="str">
        <x:v>bridge-185</x:v>
      </x:c>
      <x:c r="B186" t="str">
        <x:v>B169</x:v>
      </x:c>
      <x:c r="C186" t="str">
        <x:v>LOKICHAR</x:v>
      </x:c>
      <x:c r="D186" t="str">
        <x:v>B301_Link01</x:v>
      </x:c>
      <x:c r="E186" t="str">
        <x:v>Ariamoi - Kaladonapal - Kaperimoru</x:v>
      </x:c>
      <x:c r="F186" t="str">
        <x:v>B</x:v>
      </x:c>
      <x:c r="G186" t="str">
        <x:v>North Eastern</x:v>
      </x:c>
      <x:c r="H186" t="str">
        <x:v>Kotido</x:v>
      </x:c>
      <x:c r="I186" t="str">
        <x:v>LOKICHAR</x:v>
      </x:c>
      <x:c r="J186" t="str">
        <x:v>Marginal</x:v>
      </x:c>
      <x:c r="K186" t="n">
        <x:v>34.333889</x:v>
      </x:c>
      <x:c r="L186" t="n">
        <x:v>2.57909</x:v>
      </x:c>
      <x:c r="M186" t="n">
        <x:v>34.265879</x:v>
      </x:c>
      <x:c r="N186" t="n">
        <x:v>2.777574</x:v>
      </x:c>
      <x:c r="O186" t="n">
        <x:v>1147.52</x:v>
      </x:c>
      <x:c r="P186" t="n">
        <x:f>IFERROR(INDEX(Assumptions!$B$9:$B$13,MATCH(F186,Assumptions!$A$9:$A$13,0)),0.15)</x:f>
        <x:v>0.16</x:v>
      </x:c>
      <x:c r="Q186" t="n">
        <x:f>ROUND(O186*(1-P186),0)</x:f>
        <x:v>964</x:v>
      </x:c>
      <x:c r="R186" t="n">
        <x:f>ROUND(O186*P186,0)</x:f>
        <x:v>184</x:v>
      </x:c>
      <x:c r="S186" t="n">
        <x:f>ROUND(O186*IFERROR(INDEX(Assumptions!$C$9:$C$13,MATCH(F186,Assumptions!$A$9:$A$13,0)),0.55),0)</x:f>
        <x:v>643</x:v>
      </x:c>
      <x:c r="T186" t="n">
        <x:f>ROUND(O186*IFERROR(INDEX(Assumptions!$D$9:$D$13,MATCH(F186,Assumptions!$A$9:$A$13,0)),0.06),0)</x:f>
        <x:v>80</x:v>
      </x:c>
      <x:c r="U186" t="n">
        <x:f>ROUND(O186*IFERROR(INDEX(Assumptions!$E$9:$E$13,MATCH(F186,Assumptions!$A$9:$A$13,0)),0.15),0)</x:f>
        <x:v>184</x:v>
      </x:c>
      <x:c r="V186" t="n">
        <x:f>MAX(0,O186-SUM(R186:U186))</x:f>
        <x:v>56.51999999999998</x:v>
      </x:c>
      <x:c r="W186" t="n">
        <x:f>MIN(100,40+IF(O186&gt;0,20,0)+IF(M186&lt;&gt;"",20,0)+IF(AF186&lt;&gt;"",20,0))</x:f>
        <x:v>100</x:v>
      </x:c>
      <x:c r="X186" t="str">
        <x:v>Placed on exact national road host link</x:v>
      </x:c>
      <x:c r="Y186" t="str">
        <x:v>Unpaved</x:v>
      </x:c>
      <x:c r="Z186" t="str">
        <x:v>B</x:v>
      </x:c>
      <x:c r="AA186" t="str">
        <x:v>Not available in governed source</x:v>
      </x:c>
      <x:c r="AB186" t="str">
        <x:v>Not available in governed source</x:v>
      </x:c>
      <x:c r="AC186" t="str">
        <x:v>FY2025/26</x:v>
      </x:c>
      <x:c r="AD186" t="str">
        <x:v>Modelled</x:v>
      </x:c>
      <x:c r="AE186" t="str">
        <x:v>2026 bridge AADT rebuilt from host-link traffic history, annual collection-link history, same-road corridor history and spatial count-station influence. Vehicle-class values are assigned from functional-class shares.</x:v>
      </x:c>
      <x:c r="AF186" t="str">
        <x:v>Placed on exact national road host link</x:v>
      </x:c>
    </x:row>
    <x:row r="187" ht="15" hidden="0" customHeight="1">
      <x:c r="A187" t="str">
        <x:v>bridge-186</x:v>
      </x:c>
      <x:c r="B187" t="str">
        <x:v>B170</x:v>
      </x:c>
      <x:c r="C187" t="str">
        <x:v>DANYANGALA</x:v>
      </x:c>
      <x:c r="D187" t="str">
        <x:v>B301_Link02</x:v>
      </x:c>
      <x:c r="E187" t="str">
        <x:v>Kapelimoru - Kotido</x:v>
      </x:c>
      <x:c r="F187" t="str">
        <x:v>B</x:v>
      </x:c>
      <x:c r="G187" t="str">
        <x:v>North Eastern</x:v>
      </x:c>
      <x:c r="H187" t="str">
        <x:v>Kotido</x:v>
      </x:c>
      <x:c r="I187" t="str">
        <x:v>NANGOLOLO</x:v>
      </x:c>
      <x:c r="J187" t="str">
        <x:v>Good</x:v>
      </x:c>
      <x:c r="K187" t="n">
        <x:v>34.11483</x:v>
      </x:c>
      <x:c r="L187" t="n">
        <x:v>2.97246</x:v>
      </x:c>
      <x:c r="M187" t="n">
        <x:v>34.18944</x:v>
      </x:c>
      <x:c r="N187" t="n">
        <x:v>2.971109</x:v>
      </x:c>
      <x:c r="O187" t="n">
        <x:v>1147.52</x:v>
      </x:c>
      <x:c r="P187" t="n">
        <x:f>IFERROR(INDEX(Assumptions!$B$9:$B$13,MATCH(F187,Assumptions!$A$9:$A$13,0)),0.15)</x:f>
        <x:v>0.16</x:v>
      </x:c>
      <x:c r="Q187" t="n">
        <x:f>ROUND(O187*(1-P187),0)</x:f>
        <x:v>964</x:v>
      </x:c>
      <x:c r="R187" t="n">
        <x:f>ROUND(O187*P187,0)</x:f>
        <x:v>184</x:v>
      </x:c>
      <x:c r="S187" t="n">
        <x:f>ROUND(O187*IFERROR(INDEX(Assumptions!$C$9:$C$13,MATCH(F187,Assumptions!$A$9:$A$13,0)),0.55),0)</x:f>
        <x:v>643</x:v>
      </x:c>
      <x:c r="T187" t="n">
        <x:f>ROUND(O187*IFERROR(INDEX(Assumptions!$D$9:$D$13,MATCH(F187,Assumptions!$A$9:$A$13,0)),0.06),0)</x:f>
        <x:v>80</x:v>
      </x:c>
      <x:c r="U187" t="n">
        <x:f>ROUND(O187*IFERROR(INDEX(Assumptions!$E$9:$E$13,MATCH(F187,Assumptions!$A$9:$A$13,0)),0.15),0)</x:f>
        <x:v>184</x:v>
      </x:c>
      <x:c r="V187" t="n">
        <x:f>MAX(0,O187-SUM(R187:U187))</x:f>
        <x:v>56.51999999999998</x:v>
      </x:c>
      <x:c r="W187" t="n">
        <x:f>MIN(100,40+IF(O187&gt;0,20,0)+IF(M187&lt;&gt;"",20,0)+IF(AF187&lt;&gt;"",20,0))</x:f>
        <x:v>100</x:v>
      </x:c>
      <x:c r="X187" t="str">
        <x:v>Placed on exact national road host link</x:v>
      </x:c>
      <x:c r="Y187" t="str">
        <x:v>Unpaved</x:v>
      </x:c>
      <x:c r="Z187" t="str">
        <x:v>B</x:v>
      </x:c>
      <x:c r="AA187" t="str">
        <x:v>Not available in governed source</x:v>
      </x:c>
      <x:c r="AB187" t="str">
        <x:v>Not available in governed source</x:v>
      </x:c>
      <x:c r="AC187" t="str">
        <x:v>FY2025/26</x:v>
      </x:c>
      <x:c r="AD187" t="str">
        <x:v>Modelled</x:v>
      </x:c>
      <x:c r="AE187" t="str">
        <x:v>2026 bridge AADT rebuilt from host-link traffic history, annual collection-link history, same-road corridor history and spatial count-station influence. Vehicle-class values are assigned from functional-class shares.</x:v>
      </x:c>
      <x:c r="AF187" t="str">
        <x:v>Placed on exact national road host link</x:v>
      </x:c>
    </x:row>
    <x:row r="188" ht="15" hidden="0" customHeight="1">
      <x:c r="A188" t="str">
        <x:v>bridge-187</x:v>
      </x:c>
      <x:c r="B188" t="str">
        <x:v>B171</x:v>
      </x:c>
      <x:c r="C188" t="str">
        <x:v>KOTIDO- KAILONG</x:v>
      </x:c>
      <x:c r="D188" t="str">
        <x:v>B302_Link01</x:v>
      </x:c>
      <x:c r="E188" t="str">
        <x:v>Kotido - Abim</x:v>
      </x:c>
      <x:c r="F188" t="str">
        <x:v>B</x:v>
      </x:c>
      <x:c r="G188" t="str">
        <x:v>North Eastern</x:v>
      </x:c>
      <x:c r="H188" t="str">
        <x:v>Kotido</x:v>
      </x:c>
      <x:c r="I188" t="str">
        <x:v>LONGIRO</x:v>
      </x:c>
      <x:c r="J188" t="str">
        <x:v>Good</x:v>
      </x:c>
      <x:c r="K188" t="n">
        <x:v>34.09211</x:v>
      </x:c>
      <x:c r="L188" t="n">
        <x:v>2.99582</x:v>
      </x:c>
      <x:c r="M188" t="n">
        <x:v>33.660627</x:v>
      </x:c>
      <x:c r="N188" t="n">
        <x:v>2.71419</x:v>
      </x:c>
      <x:c r="O188" t="n">
        <x:v>1022.18</x:v>
      </x:c>
      <x:c r="P188" t="n">
        <x:f>IFERROR(INDEX(Assumptions!$B$9:$B$13,MATCH(F188,Assumptions!$A$9:$A$13,0)),0.15)</x:f>
        <x:v>0.16</x:v>
      </x:c>
      <x:c r="Q188" t="n">
        <x:f>ROUND(O188*(1-P188),0)</x:f>
        <x:v>859</x:v>
      </x:c>
      <x:c r="R188" t="n">
        <x:f>ROUND(O188*P188,0)</x:f>
        <x:v>164</x:v>
      </x:c>
      <x:c r="S188" t="n">
        <x:f>ROUND(O188*IFERROR(INDEX(Assumptions!$C$9:$C$13,MATCH(F188,Assumptions!$A$9:$A$13,0)),0.55),0)</x:f>
        <x:v>572</x:v>
      </x:c>
      <x:c r="T188" t="n">
        <x:f>ROUND(O188*IFERROR(INDEX(Assumptions!$D$9:$D$13,MATCH(F188,Assumptions!$A$9:$A$13,0)),0.06),0)</x:f>
        <x:v>72</x:v>
      </x:c>
      <x:c r="U188" t="n">
        <x:f>ROUND(O188*IFERROR(INDEX(Assumptions!$E$9:$E$13,MATCH(F188,Assumptions!$A$9:$A$13,0)),0.15),0)</x:f>
        <x:v>164</x:v>
      </x:c>
      <x:c r="V188" t="n">
        <x:f>MAX(0,O188-SUM(R188:U188))</x:f>
        <x:v>50.17999999999995</x:v>
      </x:c>
      <x:c r="W188" t="n">
        <x:f>MIN(100,40+IF(O188&gt;0,20,0)+IF(M188&lt;&gt;"",20,0)+IF(AF188&lt;&gt;"",20,0))</x:f>
        <x:v>100</x:v>
      </x:c>
      <x:c r="X188" t="str">
        <x:v>Placed on exact national road host link</x:v>
      </x:c>
      <x:c r="Y188" t="str">
        <x:v>Unpaved</x:v>
      </x:c>
      <x:c r="Z188" t="str">
        <x:v>B</x:v>
      </x:c>
      <x:c r="AA188" t="str">
        <x:v>Not available in governed source</x:v>
      </x:c>
      <x:c r="AB188" t="str">
        <x:v>Not available in governed source</x:v>
      </x:c>
      <x:c r="AC188" t="str">
        <x:v>FY2025/26</x:v>
      </x:c>
      <x:c r="AD188" t="str">
        <x:v>Modelled</x:v>
      </x:c>
      <x:c r="AE188" t="str">
        <x:v>2026 bridge AADT rebuilt from host-link traffic history, annual collection-link history, same-road corridor history and spatial count-station influence. Vehicle-class values are assigned from functional-class shares.</x:v>
      </x:c>
      <x:c r="AF188" t="str">
        <x:v>Placed on exact national road host link</x:v>
      </x:c>
    </x:row>
    <x:row r="189" ht="15" hidden="0" customHeight="1">
      <x:c r="A189" t="str">
        <x:v>bridge-188</x:v>
      </x:c>
      <x:c r="B189" t="str">
        <x:v>B172</x:v>
      </x:c>
      <x:c r="C189" t="str">
        <x:v>KATULANGOLE</x:v>
      </x:c>
      <x:c r="D189" t="str">
        <x:v>B301_Link03</x:v>
      </x:c>
      <x:c r="E189" t="str">
        <x:v>Kotido - Apaan - Kabong</x:v>
      </x:c>
      <x:c r="F189" t="str">
        <x:v>B</x:v>
      </x:c>
      <x:c r="G189" t="str">
        <x:v>North Eastern</x:v>
      </x:c>
      <x:c r="H189" t="str">
        <x:v>Kotido</x:v>
      </x:c>
      <x:c r="I189" t="str">
        <x:v>KATULANGOLE</x:v>
      </x:c>
      <x:c r="J189" t="str">
        <x:v>Satisfactory</x:v>
      </x:c>
      <x:c r="K189" t="n">
        <x:v>34.118771</x:v>
      </x:c>
      <x:c r="L189" t="n">
        <x:v>3.3311</x:v>
      </x:c>
      <x:c r="M189" t="n">
        <x:v>34.07841</x:v>
      </x:c>
      <x:c r="N189" t="n">
        <x:v>3.010695</x:v>
      </x:c>
      <x:c r="O189" t="n">
        <x:v>717.02</x:v>
      </x:c>
      <x:c r="P189" t="n">
        <x:f>IFERROR(INDEX(Assumptions!$B$9:$B$13,MATCH(F189,Assumptions!$A$9:$A$13,0)),0.15)</x:f>
        <x:v>0.16</x:v>
      </x:c>
      <x:c r="Q189" t="n">
        <x:f>ROUND(O189*(1-P189),0)</x:f>
        <x:v>602</x:v>
      </x:c>
      <x:c r="R189" t="n">
        <x:f>ROUND(O189*P189,0)</x:f>
        <x:v>115</x:v>
      </x:c>
      <x:c r="S189" t="n">
        <x:f>ROUND(O189*IFERROR(INDEX(Assumptions!$C$9:$C$13,MATCH(F189,Assumptions!$A$9:$A$13,0)),0.55),0)</x:f>
        <x:v>402</x:v>
      </x:c>
      <x:c r="T189" t="n">
        <x:f>ROUND(O189*IFERROR(INDEX(Assumptions!$D$9:$D$13,MATCH(F189,Assumptions!$A$9:$A$13,0)),0.06),0)</x:f>
        <x:v>50</x:v>
      </x:c>
      <x:c r="U189" t="n">
        <x:f>ROUND(O189*IFERROR(INDEX(Assumptions!$E$9:$E$13,MATCH(F189,Assumptions!$A$9:$A$13,0)),0.15),0)</x:f>
        <x:v>115</x:v>
      </x:c>
      <x:c r="V189" t="n">
        <x:f>MAX(0,O189-SUM(R189:U189))</x:f>
        <x:v>35.01999999999998</x:v>
      </x:c>
      <x:c r="W189" t="n">
        <x:f>MIN(100,40+IF(O189&gt;0,20,0)+IF(M189&lt;&gt;"",20,0)+IF(AF189&lt;&gt;"",20,0))</x:f>
        <x:v>100</x:v>
      </x:c>
      <x:c r="X189" t="str">
        <x:v>Placed on exact national road host link</x:v>
      </x:c>
      <x:c r="Y189" t="str">
        <x:v>Unpaved</x:v>
      </x:c>
      <x:c r="Z189" t="str">
        <x:v>B</x:v>
      </x:c>
      <x:c r="AA189" t="str">
        <x:v>Not available in governed source</x:v>
      </x:c>
      <x:c r="AB189" t="str">
        <x:v>Not available in governed source</x:v>
      </x:c>
      <x:c r="AC189" t="str">
        <x:v>FY2025/26</x:v>
      </x:c>
      <x:c r="AD189" t="str">
        <x:v>Modelled</x:v>
      </x:c>
      <x:c r="AE189" t="str">
        <x:v>2026 bridge AADT rebuilt from host-link traffic history, annual collection-link history, same-road corridor history and spatial count-station influence. Vehicle-class values are assigned from functional-class shares.</x:v>
      </x:c>
      <x:c r="AF189" t="str">
        <x:v>Placed on exact national road host link</x:v>
      </x:c>
    </x:row>
    <x:row r="190" ht="15" hidden="0" customHeight="1">
      <x:c r="A190" t="str">
        <x:v>bridge-189</x:v>
      </x:c>
      <x:c r="B190" t="str">
        <x:v>B173</x:v>
      </x:c>
      <x:c r="C190" t="str">
        <x:v>LOCHOM</x:v>
      </x:c>
      <x:c r="D190" t="str">
        <x:v>B301_Link03</x:v>
      </x:c>
      <x:c r="E190" t="str">
        <x:v>Kotido - Apaan - Kabong</x:v>
      </x:c>
      <x:c r="F190" t="str">
        <x:v>B</x:v>
      </x:c>
      <x:c r="G190" t="str">
        <x:v>North Eastern</x:v>
      </x:c>
      <x:c r="H190" t="str">
        <x:v>Kotido</x:v>
      </x:c>
      <x:c r="I190" t="str">
        <x:v>LOCHOM</x:v>
      </x:c>
      <x:c r="J190" t="str">
        <x:v>Good</x:v>
      </x:c>
      <x:c r="K190" t="n">
        <x:v>34.144859</x:v>
      </x:c>
      <x:c r="L190" t="n">
        <x:v>3.43824</x:v>
      </x:c>
      <x:c r="M190" t="n">
        <x:v>34.07841</x:v>
      </x:c>
      <x:c r="N190" t="n">
        <x:v>3.010695</x:v>
      </x:c>
      <x:c r="O190" t="n">
        <x:v>717.02</x:v>
      </x:c>
      <x:c r="P190" t="n">
        <x:f>IFERROR(INDEX(Assumptions!$B$9:$B$13,MATCH(F190,Assumptions!$A$9:$A$13,0)),0.15)</x:f>
        <x:v>0.16</x:v>
      </x:c>
      <x:c r="Q190" t="n">
        <x:f>ROUND(O190*(1-P190),0)</x:f>
        <x:v>602</x:v>
      </x:c>
      <x:c r="R190" t="n">
        <x:f>ROUND(O190*P190,0)</x:f>
        <x:v>115</x:v>
      </x:c>
      <x:c r="S190" t="n">
        <x:f>ROUND(O190*IFERROR(INDEX(Assumptions!$C$9:$C$13,MATCH(F190,Assumptions!$A$9:$A$13,0)),0.55),0)</x:f>
        <x:v>402</x:v>
      </x:c>
      <x:c r="T190" t="n">
        <x:f>ROUND(O190*IFERROR(INDEX(Assumptions!$D$9:$D$13,MATCH(F190,Assumptions!$A$9:$A$13,0)),0.06),0)</x:f>
        <x:v>50</x:v>
      </x:c>
      <x:c r="U190" t="n">
        <x:f>ROUND(O190*IFERROR(INDEX(Assumptions!$E$9:$E$13,MATCH(F190,Assumptions!$A$9:$A$13,0)),0.15),0)</x:f>
        <x:v>115</x:v>
      </x:c>
      <x:c r="V190" t="n">
        <x:f>MAX(0,O190-SUM(R190:U190))</x:f>
        <x:v>35.01999999999998</x:v>
      </x:c>
      <x:c r="W190" t="n">
        <x:f>MIN(100,40+IF(O190&gt;0,20,0)+IF(M190&lt;&gt;"",20,0)+IF(AF190&lt;&gt;"",20,0))</x:f>
        <x:v>100</x:v>
      </x:c>
      <x:c r="X190" t="str">
        <x:v>Placed on exact national road host link</x:v>
      </x:c>
      <x:c r="Y190" t="str">
        <x:v>Unpaved</x:v>
      </x:c>
      <x:c r="Z190" t="str">
        <x:v>B</x:v>
      </x:c>
      <x:c r="AA190" t="str">
        <x:v>Not available in governed source</x:v>
      </x:c>
      <x:c r="AB190" t="str">
        <x:v>Not available in governed source</x:v>
      </x:c>
      <x:c r="AC190" t="str">
        <x:v>FY2025/26</x:v>
      </x:c>
      <x:c r="AD190" t="str">
        <x:v>Modelled</x:v>
      </x:c>
      <x:c r="AE190" t="str">
        <x:v>2026 bridge AADT rebuilt from host-link traffic history, annual collection-link history, same-road corridor history and spatial count-station influence. Vehicle-class values are assigned from functional-class shares.</x:v>
      </x:c>
      <x:c r="AF190" t="str">
        <x:v>Placed on exact national road host link</x:v>
      </x:c>
    </x:row>
    <x:row r="191" ht="15" hidden="0" customHeight="1">
      <x:c r="A191" t="str">
        <x:v>bridge-190</x:v>
      </x:c>
      <x:c r="B191" t="str">
        <x:v>B174</x:v>
      </x:c>
      <x:c r="C191" t="str">
        <x:v>LOMUSAN</x:v>
      </x:c>
      <x:c r="D191" t="str">
        <x:v>B301_Link03</x:v>
      </x:c>
      <x:c r="E191" t="str">
        <x:v>Kotido - Apaan - Kabong</x:v>
      </x:c>
      <x:c r="F191" t="str">
        <x:v>B</x:v>
      </x:c>
      <x:c r="G191" t="str">
        <x:v>North Eastern</x:v>
      </x:c>
      <x:c r="H191" t="str">
        <x:v>Kotido</x:v>
      </x:c>
      <x:c r="I191" t="str">
        <x:v>LOMUSAN</x:v>
      </x:c>
      <x:c r="J191" t="str">
        <x:v>Good</x:v>
      </x:c>
      <x:c r="K191" t="n">
        <x:v>34.165779</x:v>
      </x:c>
      <x:c r="L191" t="n">
        <x:v>3.49903</x:v>
      </x:c>
      <x:c r="M191" t="n">
        <x:v>34.07841</x:v>
      </x:c>
      <x:c r="N191" t="n">
        <x:v>3.010695</x:v>
      </x:c>
      <x:c r="O191" t="n">
        <x:v>717.02</x:v>
      </x:c>
      <x:c r="P191" t="n">
        <x:f>IFERROR(INDEX(Assumptions!$B$9:$B$13,MATCH(F191,Assumptions!$A$9:$A$13,0)),0.15)</x:f>
        <x:v>0.16</x:v>
      </x:c>
      <x:c r="Q191" t="n">
        <x:f>ROUND(O191*(1-P191),0)</x:f>
        <x:v>602</x:v>
      </x:c>
      <x:c r="R191" t="n">
        <x:f>ROUND(O191*P191,0)</x:f>
        <x:v>115</x:v>
      </x:c>
      <x:c r="S191" t="n">
        <x:f>ROUND(O191*IFERROR(INDEX(Assumptions!$C$9:$C$13,MATCH(F191,Assumptions!$A$9:$A$13,0)),0.55),0)</x:f>
        <x:v>402</x:v>
      </x:c>
      <x:c r="T191" t="n">
        <x:f>ROUND(O191*IFERROR(INDEX(Assumptions!$D$9:$D$13,MATCH(F191,Assumptions!$A$9:$A$13,0)),0.06),0)</x:f>
        <x:v>50</x:v>
      </x:c>
      <x:c r="U191" t="n">
        <x:f>ROUND(O191*IFERROR(INDEX(Assumptions!$E$9:$E$13,MATCH(F191,Assumptions!$A$9:$A$13,0)),0.15),0)</x:f>
        <x:v>115</x:v>
      </x:c>
      <x:c r="V191" t="n">
        <x:f>MAX(0,O191-SUM(R191:U191))</x:f>
        <x:v>35.01999999999998</x:v>
      </x:c>
      <x:c r="W191" t="n">
        <x:f>MIN(100,40+IF(O191&gt;0,20,0)+IF(M191&lt;&gt;"",20,0)+IF(AF191&lt;&gt;"",20,0))</x:f>
        <x:v>100</x:v>
      </x:c>
      <x:c r="X191" t="str">
        <x:v>Placed on exact national road host link</x:v>
      </x:c>
      <x:c r="Y191" t="str">
        <x:v>Unpaved</x:v>
      </x:c>
      <x:c r="Z191" t="str">
        <x:v>B</x:v>
      </x:c>
      <x:c r="AA191" t="str">
        <x:v>Not available in governed source</x:v>
      </x:c>
      <x:c r="AB191" t="str">
        <x:v>Not available in governed source</x:v>
      </x:c>
      <x:c r="AC191" t="str">
        <x:v>FY2025/26</x:v>
      </x:c>
      <x:c r="AD191" t="str">
        <x:v>Modelled</x:v>
      </x:c>
      <x:c r="AE191" t="str">
        <x:v>2026 bridge AADT rebuilt from host-link traffic history, annual collection-link history, same-road corridor history and spatial count-station influence. Vehicle-class values are assigned from functional-class shares.</x:v>
      </x:c>
      <x:c r="AF191" t="str">
        <x:v>Placed on exact national road host link</x:v>
      </x:c>
    </x:row>
    <x:row r="192" ht="15" hidden="0" customHeight="1">
      <x:c r="A192" t="str">
        <x:v>bridge-191</x:v>
      </x:c>
      <x:c r="B192" t="str">
        <x:v>B175</x:v>
      </x:c>
      <x:c r="C192" t="str">
        <x:v>KAABONG</x:v>
      </x:c>
      <x:c r="D192" t="str">
        <x:v>B301_Link03</x:v>
      </x:c>
      <x:c r="E192" t="str">
        <x:v>Kotido - Apaan - Kabong</x:v>
      </x:c>
      <x:c r="F192" t="str">
        <x:v>B</x:v>
      </x:c>
      <x:c r="G192" t="str">
        <x:v>North Eastern</x:v>
      </x:c>
      <x:c r="H192" t="str">
        <x:v>Kotido</x:v>
      </x:c>
      <x:c r="I192" t="str">
        <x:v>KAABONG</x:v>
      </x:c>
      <x:c r="J192" t="str">
        <x:v>Good</x:v>
      </x:c>
      <x:c r="K192" t="n">
        <x:v>34.12896</x:v>
      </x:c>
      <x:c r="L192" t="n">
        <x:v>3.52005</x:v>
      </x:c>
      <x:c r="M192" t="n">
        <x:v>34.07841</x:v>
      </x:c>
      <x:c r="N192" t="n">
        <x:v>3.010695</x:v>
      </x:c>
      <x:c r="O192" t="n">
        <x:v>717.02</x:v>
      </x:c>
      <x:c r="P192" t="n">
        <x:f>IFERROR(INDEX(Assumptions!$B$9:$B$13,MATCH(F192,Assumptions!$A$9:$A$13,0)),0.15)</x:f>
        <x:v>0.16</x:v>
      </x:c>
      <x:c r="Q192" t="n">
        <x:f>ROUND(O192*(1-P192),0)</x:f>
        <x:v>602</x:v>
      </x:c>
      <x:c r="R192" t="n">
        <x:f>ROUND(O192*P192,0)</x:f>
        <x:v>115</x:v>
      </x:c>
      <x:c r="S192" t="n">
        <x:f>ROUND(O192*IFERROR(INDEX(Assumptions!$C$9:$C$13,MATCH(F192,Assumptions!$A$9:$A$13,0)),0.55),0)</x:f>
        <x:v>402</x:v>
      </x:c>
      <x:c r="T192" t="n">
        <x:f>ROUND(O192*IFERROR(INDEX(Assumptions!$D$9:$D$13,MATCH(F192,Assumptions!$A$9:$A$13,0)),0.06),0)</x:f>
        <x:v>50</x:v>
      </x:c>
      <x:c r="U192" t="n">
        <x:f>ROUND(O192*IFERROR(INDEX(Assumptions!$E$9:$E$13,MATCH(F192,Assumptions!$A$9:$A$13,0)),0.15),0)</x:f>
        <x:v>115</x:v>
      </x:c>
      <x:c r="V192" t="n">
        <x:f>MAX(0,O192-SUM(R192:U192))</x:f>
        <x:v>35.01999999999998</x:v>
      </x:c>
      <x:c r="W192" t="n">
        <x:f>MIN(100,40+IF(O192&gt;0,20,0)+IF(M192&lt;&gt;"",20,0)+IF(AF192&lt;&gt;"",20,0))</x:f>
        <x:v>100</x:v>
      </x:c>
      <x:c r="X192" t="str">
        <x:v>Placed on exact national road host link</x:v>
      </x:c>
      <x:c r="Y192" t="str">
        <x:v>Unpaved</x:v>
      </x:c>
      <x:c r="Z192" t="str">
        <x:v>B</x:v>
      </x:c>
      <x:c r="AA192" t="str">
        <x:v>Not available in governed source</x:v>
      </x:c>
      <x:c r="AB192" t="str">
        <x:v>Not available in governed source</x:v>
      </x:c>
      <x:c r="AC192" t="str">
        <x:v>FY2025/26</x:v>
      </x:c>
      <x:c r="AD192" t="str">
        <x:v>Modelled</x:v>
      </x:c>
      <x:c r="AE192" t="str">
        <x:v>2026 bridge AADT rebuilt from host-link traffic history, annual collection-link history, same-road corridor history and spatial count-station influence. Vehicle-class values are assigned from functional-class shares.</x:v>
      </x:c>
      <x:c r="AF192" t="str">
        <x:v>Placed on exact national road host link</x:v>
      </x:c>
    </x:row>
    <x:row r="193" ht="15" hidden="0" customHeight="1">
      <x:c r="A193" t="str">
        <x:v>bridge-192</x:v>
      </x:c>
      <x:c r="B193" t="str">
        <x:v>B176</x:v>
      </x:c>
      <x:c r="C193" t="str">
        <x:v>LAKAPELOT</x:v>
      </x:c>
      <x:c r="D193" t="str">
        <x:v>B301_Link03</x:v>
      </x:c>
      <x:c r="E193" t="str">
        <x:v>Kotido - Apaan - Kabong</x:v>
      </x:c>
      <x:c r="F193" t="str">
        <x:v>B</x:v>
      </x:c>
      <x:c r="G193" t="str">
        <x:v>North Eastern</x:v>
      </x:c>
      <x:c r="H193" t="str">
        <x:v>Kotido</x:v>
      </x:c>
      <x:c r="I193" t="str">
        <x:v>AKAPELOT</x:v>
      </x:c>
      <x:c r="J193" t="str">
        <x:v>Critical</x:v>
      </x:c>
      <x:c r="K193" t="n">
        <x:v>34.088291</x:v>
      </x:c>
      <x:c r="L193" t="n">
        <x:v>3.62877</x:v>
      </x:c>
      <x:c r="M193" t="n">
        <x:v>34.07841</x:v>
      </x:c>
      <x:c r="N193" t="n">
        <x:v>3.010695</x:v>
      </x:c>
      <x:c r="O193" t="n">
        <x:v>717.02</x:v>
      </x:c>
      <x:c r="P193" t="n">
        <x:f>IFERROR(INDEX(Assumptions!$B$9:$B$13,MATCH(F193,Assumptions!$A$9:$A$13,0)),0.15)</x:f>
        <x:v>0.16</x:v>
      </x:c>
      <x:c r="Q193" t="n">
        <x:f>ROUND(O193*(1-P193),0)</x:f>
        <x:v>602</x:v>
      </x:c>
      <x:c r="R193" t="n">
        <x:f>ROUND(O193*P193,0)</x:f>
        <x:v>115</x:v>
      </x:c>
      <x:c r="S193" t="n">
        <x:f>ROUND(O193*IFERROR(INDEX(Assumptions!$C$9:$C$13,MATCH(F193,Assumptions!$A$9:$A$13,0)),0.55),0)</x:f>
        <x:v>402</x:v>
      </x:c>
      <x:c r="T193" t="n">
        <x:f>ROUND(O193*IFERROR(INDEX(Assumptions!$D$9:$D$13,MATCH(F193,Assumptions!$A$9:$A$13,0)),0.06),0)</x:f>
        <x:v>50</x:v>
      </x:c>
      <x:c r="U193" t="n">
        <x:f>ROUND(O193*IFERROR(INDEX(Assumptions!$E$9:$E$13,MATCH(F193,Assumptions!$A$9:$A$13,0)),0.15),0)</x:f>
        <x:v>115</x:v>
      </x:c>
      <x:c r="V193" t="n">
        <x:f>MAX(0,O193-SUM(R193:U193))</x:f>
        <x:v>35.01999999999998</x:v>
      </x:c>
      <x:c r="W193" t="n">
        <x:f>MIN(100,40+IF(O193&gt;0,20,0)+IF(M193&lt;&gt;"",20,0)+IF(AF193&lt;&gt;"",20,0))</x:f>
        <x:v>100</x:v>
      </x:c>
      <x:c r="X193" t="str">
        <x:v>Placed on exact national road host link</x:v>
      </x:c>
      <x:c r="Y193" t="str">
        <x:v>Unpaved</x:v>
      </x:c>
      <x:c r="Z193" t="str">
        <x:v>B</x:v>
      </x:c>
      <x:c r="AA193" t="str">
        <x:v>Not available in governed source</x:v>
      </x:c>
      <x:c r="AB193" t="str">
        <x:v>Not available in governed source</x:v>
      </x:c>
      <x:c r="AC193" t="str">
        <x:v>FY2025/26</x:v>
      </x:c>
      <x:c r="AD193" t="str">
        <x:v>Modelled</x:v>
      </x:c>
      <x:c r="AE193" t="str">
        <x:v>2026 bridge AADT rebuilt from host-link traffic history, annual collection-link history, same-road corridor history and spatial count-station influence. Vehicle-class values are assigned from functional-class shares.</x:v>
      </x:c>
      <x:c r="AF193" t="str">
        <x:v>Placed on exact national road host link</x:v>
      </x:c>
    </x:row>
    <x:row r="194" ht="15" hidden="0" customHeight="1">
      <x:c r="A194" t="str">
        <x:v>bridge-193</x:v>
      </x:c>
      <x:c r="B194" t="str">
        <x:v>B177</x:v>
      </x:c>
      <x:c r="C194" t="str">
        <x:v>YADALALA</x:v>
      </x:c>
      <x:c r="D194" t="str">
        <x:v>B301_Link03</x:v>
      </x:c>
      <x:c r="E194" t="str">
        <x:v>Kotido - Apaan - Kabong</x:v>
      </x:c>
      <x:c r="F194" t="str">
        <x:v>B</x:v>
      </x:c>
      <x:c r="G194" t="str">
        <x:v>North Eastern</x:v>
      </x:c>
      <x:c r="H194" t="str">
        <x:v>Kotido</x:v>
      </x:c>
      <x:c r="I194" t="str">
        <x:v>NAKWOSONGWAN</x:v>
      </x:c>
      <x:c r="J194" t="str">
        <x:v>Good</x:v>
      </x:c>
      <x:c r="K194" t="n">
        <x:v>34.074718</x:v>
      </x:c>
      <x:c r="L194" t="n">
        <x:v>3.64267</x:v>
      </x:c>
      <x:c r="M194" t="n">
        <x:v>34.07841</x:v>
      </x:c>
      <x:c r="N194" t="n">
        <x:v>3.010695</x:v>
      </x:c>
      <x:c r="O194" t="n">
        <x:v>717.02</x:v>
      </x:c>
      <x:c r="P194" t="n">
        <x:f>IFERROR(INDEX(Assumptions!$B$9:$B$13,MATCH(F194,Assumptions!$A$9:$A$13,0)),0.15)</x:f>
        <x:v>0.16</x:v>
      </x:c>
      <x:c r="Q194" t="n">
        <x:f>ROUND(O194*(1-P194),0)</x:f>
        <x:v>602</x:v>
      </x:c>
      <x:c r="R194" t="n">
        <x:f>ROUND(O194*P194,0)</x:f>
        <x:v>115</x:v>
      </x:c>
      <x:c r="S194" t="n">
        <x:f>ROUND(O194*IFERROR(INDEX(Assumptions!$C$9:$C$13,MATCH(F194,Assumptions!$A$9:$A$13,0)),0.55),0)</x:f>
        <x:v>402</x:v>
      </x:c>
      <x:c r="T194" t="n">
        <x:f>ROUND(O194*IFERROR(INDEX(Assumptions!$D$9:$D$13,MATCH(F194,Assumptions!$A$9:$A$13,0)),0.06),0)</x:f>
        <x:v>50</x:v>
      </x:c>
      <x:c r="U194" t="n">
        <x:f>ROUND(O194*IFERROR(INDEX(Assumptions!$E$9:$E$13,MATCH(F194,Assumptions!$A$9:$A$13,0)),0.15),0)</x:f>
        <x:v>115</x:v>
      </x:c>
      <x:c r="V194" t="n">
        <x:f>MAX(0,O194-SUM(R194:U194))</x:f>
        <x:v>35.01999999999998</x:v>
      </x:c>
      <x:c r="W194" t="n">
        <x:f>MIN(100,40+IF(O194&gt;0,20,0)+IF(M194&lt;&gt;"",20,0)+IF(AF194&lt;&gt;"",20,0))</x:f>
        <x:v>100</x:v>
      </x:c>
      <x:c r="X194" t="str">
        <x:v>Placed on exact national road host link</x:v>
      </x:c>
      <x:c r="Y194" t="str">
        <x:v>Unpaved</x:v>
      </x:c>
      <x:c r="Z194" t="str">
        <x:v>B</x:v>
      </x:c>
      <x:c r="AA194" t="str">
        <x:v>Not available in governed source</x:v>
      </x:c>
      <x:c r="AB194" t="str">
        <x:v>Not available in governed source</x:v>
      </x:c>
      <x:c r="AC194" t="str">
        <x:v>FY2025/26</x:v>
      </x:c>
      <x:c r="AD194" t="str">
        <x:v>Modelled</x:v>
      </x:c>
      <x:c r="AE194" t="str">
        <x:v>2026 bridge AADT rebuilt from host-link traffic history, annual collection-link history, same-road corridor history and spatial count-station influence. Vehicle-class values are assigned from functional-class shares.</x:v>
      </x:c>
      <x:c r="AF194" t="str">
        <x:v>Placed on exact national road host link</x:v>
      </x:c>
    </x:row>
    <x:row r="195" ht="15" hidden="0" customHeight="1">
      <x:c r="A195" t="str">
        <x:v>bridge-194</x:v>
      </x:c>
      <x:c r="B195" t="str">
        <x:v>B178</x:v>
      </x:c>
      <x:c r="C195" t="str">
        <x:v>NARIAMABUNE</x:v>
      </x:c>
      <x:c r="D195" t="str">
        <x:v>B301_Link03</x:v>
      </x:c>
      <x:c r="E195" t="str">
        <x:v>Kotido - Apaan - Kabong</x:v>
      </x:c>
      <x:c r="F195" t="str">
        <x:v>B</x:v>
      </x:c>
      <x:c r="G195" t="str">
        <x:v>North Eastern</x:v>
      </x:c>
      <x:c r="H195" t="str">
        <x:v>Kotido</x:v>
      </x:c>
      <x:c r="I195" t="str">
        <x:v>LOBALOKILI</x:v>
      </x:c>
      <x:c r="J195" t="str">
        <x:v>Good</x:v>
      </x:c>
      <x:c r="K195" t="n">
        <x:v>34.036449</x:v>
      </x:c>
      <x:c r="L195" t="n">
        <x:v>3.64615</x:v>
      </x:c>
      <x:c r="M195" t="n">
        <x:v>34.07841</x:v>
      </x:c>
      <x:c r="N195" t="n">
        <x:v>3.010695</x:v>
      </x:c>
      <x:c r="O195" t="n">
        <x:v>717.02</x:v>
      </x:c>
      <x:c r="P195" t="n">
        <x:f>IFERROR(INDEX(Assumptions!$B$9:$B$13,MATCH(F195,Assumptions!$A$9:$A$13,0)),0.15)</x:f>
        <x:v>0.16</x:v>
      </x:c>
      <x:c r="Q195" t="n">
        <x:f>ROUND(O195*(1-P195),0)</x:f>
        <x:v>602</x:v>
      </x:c>
      <x:c r="R195" t="n">
        <x:f>ROUND(O195*P195,0)</x:f>
        <x:v>115</x:v>
      </x:c>
      <x:c r="S195" t="n">
        <x:f>ROUND(O195*IFERROR(INDEX(Assumptions!$C$9:$C$13,MATCH(F195,Assumptions!$A$9:$A$13,0)),0.55),0)</x:f>
        <x:v>402</x:v>
      </x:c>
      <x:c r="T195" t="n">
        <x:f>ROUND(O195*IFERROR(INDEX(Assumptions!$D$9:$D$13,MATCH(F195,Assumptions!$A$9:$A$13,0)),0.06),0)</x:f>
        <x:v>50</x:v>
      </x:c>
      <x:c r="U195" t="n">
        <x:f>ROUND(O195*IFERROR(INDEX(Assumptions!$E$9:$E$13,MATCH(F195,Assumptions!$A$9:$A$13,0)),0.15),0)</x:f>
        <x:v>115</x:v>
      </x:c>
      <x:c r="V195" t="n">
        <x:f>MAX(0,O195-SUM(R195:U195))</x:f>
        <x:v>35.01999999999998</x:v>
      </x:c>
      <x:c r="W195" t="n">
        <x:f>MIN(100,40+IF(O195&gt;0,20,0)+IF(M195&lt;&gt;"",20,0)+IF(AF195&lt;&gt;"",20,0))</x:f>
        <x:v>100</x:v>
      </x:c>
      <x:c r="X195" t="str">
        <x:v>Placed on exact national road host link</x:v>
      </x:c>
      <x:c r="Y195" t="str">
        <x:v>Unpaved</x:v>
      </x:c>
      <x:c r="Z195" t="str">
        <x:v>B</x:v>
      </x:c>
      <x:c r="AA195" t="str">
        <x:v>Not available in governed source</x:v>
      </x:c>
      <x:c r="AB195" t="str">
        <x:v>Not available in governed source</x:v>
      </x:c>
      <x:c r="AC195" t="str">
        <x:v>FY2025/26</x:v>
      </x:c>
      <x:c r="AD195" t="str">
        <x:v>Modelled</x:v>
      </x:c>
      <x:c r="AE195" t="str">
        <x:v>2026 bridge AADT rebuilt from host-link traffic history, annual collection-link history, same-road corridor history and spatial count-station influence. Vehicle-class values are assigned from functional-class shares.</x:v>
      </x:c>
      <x:c r="AF195" t="str">
        <x:v>Placed on exact national road host link</x:v>
      </x:c>
    </x:row>
    <x:row r="196" ht="15" hidden="0" customHeight="1">
      <x:c r="A196" t="str">
        <x:v>bridge-195</x:v>
      </x:c>
      <x:c r="B196" t="str">
        <x:v>B179</x:v>
      </x:c>
      <x:c r="C196" t="str">
        <x:v>LOYOROIT</x:v>
      </x:c>
      <x:c r="D196" t="str">
        <x:v>B302_Link01</x:v>
      </x:c>
      <x:c r="E196" t="str">
        <x:v>Kotido - Abim</x:v>
      </x:c>
      <x:c r="F196" t="str">
        <x:v>B</x:v>
      </x:c>
      <x:c r="G196" t="str">
        <x:v>North Eastern</x:v>
      </x:c>
      <x:c r="H196" t="str">
        <x:v>Kotido</x:v>
      </x:c>
      <x:c r="I196" t="str">
        <x:v>LOYOROIT</x:v>
      </x:c>
      <x:c r="J196" t="str">
        <x:v>Good</x:v>
      </x:c>
      <x:c r="K196" t="n">
        <x:v>33.75135</x:v>
      </x:c>
      <x:c r="L196" t="n">
        <x:v>2.82157</x:v>
      </x:c>
      <x:c r="M196" t="n">
        <x:v>33.778937</x:v>
      </x:c>
      <x:c r="N196" t="n">
        <x:v>2.835157</x:v>
      </x:c>
      <x:c r="O196" t="n">
        <x:v>1022.18</x:v>
      </x:c>
      <x:c r="P196" t="n">
        <x:f>IFERROR(INDEX(Assumptions!$B$9:$B$13,MATCH(F196,Assumptions!$A$9:$A$13,0)),0.15)</x:f>
        <x:v>0.16</x:v>
      </x:c>
      <x:c r="Q196" t="n">
        <x:f>ROUND(O196*(1-P196),0)</x:f>
        <x:v>859</x:v>
      </x:c>
      <x:c r="R196" t="n">
        <x:f>ROUND(O196*P196,0)</x:f>
        <x:v>164</x:v>
      </x:c>
      <x:c r="S196" t="n">
        <x:f>ROUND(O196*IFERROR(INDEX(Assumptions!$C$9:$C$13,MATCH(F196,Assumptions!$A$9:$A$13,0)),0.55),0)</x:f>
        <x:v>572</x:v>
      </x:c>
      <x:c r="T196" t="n">
        <x:f>ROUND(O196*IFERROR(INDEX(Assumptions!$D$9:$D$13,MATCH(F196,Assumptions!$A$9:$A$13,0)),0.06),0)</x:f>
        <x:v>72</x:v>
      </x:c>
      <x:c r="U196" t="n">
        <x:f>ROUND(O196*IFERROR(INDEX(Assumptions!$E$9:$E$13,MATCH(F196,Assumptions!$A$9:$A$13,0)),0.15),0)</x:f>
        <x:v>164</x:v>
      </x:c>
      <x:c r="V196" t="n">
        <x:f>MAX(0,O196-SUM(R196:U196))</x:f>
        <x:v>50.17999999999995</x:v>
      </x:c>
      <x:c r="W196" t="n">
        <x:f>MIN(100,40+IF(O196&gt;0,20,0)+IF(M196&lt;&gt;"",20,0)+IF(AF196&lt;&gt;"",20,0))</x:f>
        <x:v>100</x:v>
      </x:c>
      <x:c r="X196" t="str">
        <x:v>Placed on exact national road host link</x:v>
      </x:c>
      <x:c r="Y196" t="str">
        <x:v>Unpaved</x:v>
      </x:c>
      <x:c r="Z196" t="str">
        <x:v>B</x:v>
      </x:c>
      <x:c r="AA196" t="str">
        <x:v>Not available in governed source</x:v>
      </x:c>
      <x:c r="AB196" t="str">
        <x:v>Not available in governed source</x:v>
      </x:c>
      <x:c r="AC196" t="str">
        <x:v>FY2025/26</x:v>
      </x:c>
      <x:c r="AD196" t="str">
        <x:v>Modelled</x:v>
      </x:c>
      <x:c r="AE196" t="str">
        <x:v>2026 bridge AADT rebuilt from host-link traffic history, annual collection-link history, same-road corridor history and spatial count-station influence. Vehicle-class values are assigned from functional-class shares.</x:v>
      </x:c>
      <x:c r="AF196" t="str">
        <x:v>Placed on exact national road host link</x:v>
      </x:c>
    </x:row>
    <x:row r="197" ht="15" hidden="0" customHeight="1">
      <x:c r="A197" t="str">
        <x:v>bridge-196</x:v>
      </x:c>
      <x:c r="B197" t="str">
        <x:v>B180</x:v>
      </x:c>
      <x:c r="C197" t="str">
        <x:v>Agago Bridge</x:v>
      </x:c>
      <x:c r="D197" t="str">
        <x:v>C681_Link01</x:v>
      </x:c>
      <x:c r="E197" t="str">
        <x:v>Acholibur - Aswa</x:v>
      </x:c>
      <x:c r="F197" t="str">
        <x:v>C</x:v>
      </x:c>
      <x:c r="G197" t="str">
        <x:v>Northern</x:v>
      </x:c>
      <x:c r="H197" t="str">
        <x:v>Kitgum</x:v>
      </x:c>
      <x:c r="I197" t="str">
        <x:v>Agago River</x:v>
      </x:c>
      <x:c r="J197" t="str">
        <x:v>Marginal</x:v>
      </x:c>
      <x:c r="K197" t="n">
        <x:v>33.34919</x:v>
      </x:c>
      <x:c r="L197" t="n">
        <x:v>2.75472</x:v>
      </x:c>
      <x:c r="M197" t="n">
        <x:v>33.349197</x:v>
      </x:c>
      <x:c r="N197" t="n">
        <x:v>2.754982</x:v>
      </x:c>
      <x:c r="O197" t="n">
        <x:v>861.37</x:v>
      </x:c>
      <x:c r="P197" t="n">
        <x:f>IFERROR(INDEX(Assumptions!$B$9:$B$13,MATCH(F197,Assumptions!$A$9:$A$13,0)),0.15)</x:f>
        <x:v>0.28</x:v>
      </x:c>
      <x:c r="Q197" t="n">
        <x:f>ROUND(O197*(1-P197),0)</x:f>
        <x:v>620</x:v>
      </x:c>
      <x:c r="R197" t="n">
        <x:f>ROUND(O197*P197,0)</x:f>
        <x:v>241</x:v>
      </x:c>
      <x:c r="S197" t="n">
        <x:f>ROUND(O197*IFERROR(INDEX(Assumptions!$C$9:$C$13,MATCH(F197,Assumptions!$A$9:$A$13,0)),0.55),0)</x:f>
        <x:v>431</x:v>
      </x:c>
      <x:c r="T197" t="n">
        <x:f>ROUND(O197*IFERROR(INDEX(Assumptions!$D$9:$D$13,MATCH(F197,Assumptions!$A$9:$A$13,0)),0.06),0)</x:f>
        <x:v>43</x:v>
      </x:c>
      <x:c r="U197" t="n">
        <x:f>ROUND(O197*IFERROR(INDEX(Assumptions!$E$9:$E$13,MATCH(F197,Assumptions!$A$9:$A$13,0)),0.15),0)</x:f>
        <x:v>95</x:v>
      </x:c>
      <x:c r="V197" t="n">
        <x:f>MAX(0,O197-SUM(R197:U197))</x:f>
        <x:v>51.370000000000005</x:v>
      </x:c>
      <x:c r="W197" t="n">
        <x:f>MIN(100,40+IF(O197&gt;0,20,0)+IF(M197&lt;&gt;"",20,0)+IF(AF197&lt;&gt;"",20,0))</x:f>
        <x:v>100</x:v>
      </x:c>
      <x:c r="X197" t="str">
        <x:v>Placed on exact national road host link</x:v>
      </x:c>
      <x:c r="Y197" t="str">
        <x:v>Unpaved</x:v>
      </x:c>
      <x:c r="Z197" t="str">
        <x:v>C</x:v>
      </x:c>
      <x:c r="AA197" t="str">
        <x:v>Not available in governed source</x:v>
      </x:c>
      <x:c r="AB197" t="str">
        <x:v>Not available in governed source</x:v>
      </x:c>
      <x:c r="AC197" t="str">
        <x:v>FY2025/26</x:v>
      </x:c>
      <x:c r="AD197" t="str">
        <x:v>Modelled</x:v>
      </x:c>
      <x:c r="AE197" t="str">
        <x:v>2026 bridge AADT rebuilt from host-link traffic history, annual collection-link history, same-road corridor history and spatial count-station influence. Vehicle-class values are assigned from functional-class shares.</x:v>
      </x:c>
      <x:c r="AF197" t="str">
        <x:v>Placed on exact national road host link</x:v>
      </x:c>
    </x:row>
    <x:row r="198" ht="15" hidden="0" customHeight="1">
      <x:c r="A198" t="str">
        <x:v>bridge-197</x:v>
      </x:c>
      <x:c r="B198" t="str">
        <x:v>B181</x:v>
      </x:c>
      <x:c r="C198" t="str">
        <x:v>OTAKA BRIDGE</x:v>
      </x:c>
      <x:c r="D198" t="str">
        <x:v>B302_Link02</x:v>
      </x:c>
      <x:c r="E198" t="str">
        <x:v>Abim - Kilak</x:v>
      </x:c>
      <x:c r="F198" t="str">
        <x:v>B</x:v>
      </x:c>
      <x:c r="G198" t="str">
        <x:v>Northern</x:v>
      </x:c>
      <x:c r="H198" t="str">
        <x:v>Kitgum</x:v>
      </x:c>
      <x:c r="I198" t="str">
        <x:v>OTAKA RIVER</x:v>
      </x:c>
      <x:c r="J198" t="str">
        <x:v>Good</x:v>
      </x:c>
      <x:c r="K198" t="n">
        <x:v>33.063862</x:v>
      </x:c>
      <x:c r="L198" t="n">
        <x:v>2.80604</x:v>
      </x:c>
      <x:c r="M198" t="n">
        <x:v>33.614885</x:v>
      </x:c>
      <x:c r="N198" t="n">
        <x:v>2.712747</x:v>
      </x:c>
      <x:c r="O198" t="n">
        <x:v>861.37</x:v>
      </x:c>
      <x:c r="P198" t="n">
        <x:f>IFERROR(INDEX(Assumptions!$B$9:$B$13,MATCH(F198,Assumptions!$A$9:$A$13,0)),0.15)</x:f>
        <x:v>0.16</x:v>
      </x:c>
      <x:c r="Q198" t="n">
        <x:f>ROUND(O198*(1-P198),0)</x:f>
        <x:v>724</x:v>
      </x:c>
      <x:c r="R198" t="n">
        <x:f>ROUND(O198*P198,0)</x:f>
        <x:v>138</x:v>
      </x:c>
      <x:c r="S198" t="n">
        <x:f>ROUND(O198*IFERROR(INDEX(Assumptions!$C$9:$C$13,MATCH(F198,Assumptions!$A$9:$A$13,0)),0.55),0)</x:f>
        <x:v>482</x:v>
      </x:c>
      <x:c r="T198" t="n">
        <x:f>ROUND(O198*IFERROR(INDEX(Assumptions!$D$9:$D$13,MATCH(F198,Assumptions!$A$9:$A$13,0)),0.06),0)</x:f>
        <x:v>60</x:v>
      </x:c>
      <x:c r="U198" t="n">
        <x:f>ROUND(O198*IFERROR(INDEX(Assumptions!$E$9:$E$13,MATCH(F198,Assumptions!$A$9:$A$13,0)),0.15),0)</x:f>
        <x:v>138</x:v>
      </x:c>
      <x:c r="V198" t="n">
        <x:f>MAX(0,O198-SUM(R198:U198))</x:f>
        <x:v>43.370000000000005</x:v>
      </x:c>
      <x:c r="W198" t="n">
        <x:f>MIN(100,40+IF(O198&gt;0,20,0)+IF(M198&lt;&gt;"",20,0)+IF(AF198&lt;&gt;"",20,0))</x:f>
        <x:v>100</x:v>
      </x:c>
      <x:c r="X198" t="str">
        <x:v>Placed on exact national road host link</x:v>
      </x:c>
      <x:c r="Y198" t="str">
        <x:v>Unpaved</x:v>
      </x:c>
      <x:c r="Z198" t="str">
        <x:v>B</x:v>
      </x:c>
      <x:c r="AA198" t="str">
        <x:v>Not available in governed source</x:v>
      </x:c>
      <x:c r="AB198" t="str">
        <x:v>Not available in governed source</x:v>
      </x:c>
      <x:c r="AC198" t="str">
        <x:v>FY2025/26</x:v>
      </x:c>
      <x:c r="AD198" t="str">
        <x:v>Modelled</x:v>
      </x:c>
      <x:c r="AE198" t="str">
        <x:v>2026 bridge AADT rebuilt from host-link traffic history, annual collection-link history, same-road corridor history and spatial count-station influence. Vehicle-class values are assigned from functional-class shares.</x:v>
      </x:c>
      <x:c r="AF198" t="str">
        <x:v>Placed on exact national road host link</x:v>
      </x:c>
    </x:row>
    <x:row r="199" ht="15" hidden="0" customHeight="1">
      <x:c r="A199" t="str">
        <x:v>bridge-198</x:v>
      </x:c>
      <x:c r="B199" t="str">
        <x:v>B182</x:v>
      </x:c>
      <x:c r="C199" t="str">
        <x:v>KOMOLO</x:v>
      </x:c>
      <x:c r="D199" t="str">
        <x:v>B303_Link02</x:v>
      </x:c>
      <x:c r="E199" t="str">
        <x:v>Arapai - Katakwi - Iriri</x:v>
      </x:c>
      <x:c r="F199" t="str">
        <x:v>B</x:v>
      </x:c>
      <x:c r="G199" t="str">
        <x:v>North Eastern</x:v>
      </x:c>
      <x:c r="H199" t="str">
        <x:v>Soroti</x:v>
      </x:c>
      <x:c r="I199" t="str">
        <x:v>KOMOLO</x:v>
      </x:c>
      <x:c r="J199" t="str">
        <x:v>Good</x:v>
      </x:c>
      <x:c r="K199" t="n">
        <x:v>33.847889</x:v>
      </x:c>
      <x:c r="L199" t="n">
        <x:v>1.85869</x:v>
      </x:c>
      <x:c r="M199" t="n">
        <x:v>33.778598</x:v>
      </x:c>
      <x:c r="N199" t="n">
        <x:v>1.865801</x:v>
      </x:c>
      <x:c r="O199" t="n">
        <x:v>2002.57</x:v>
      </x:c>
      <x:c r="P199" t="n">
        <x:f>IFERROR(INDEX(Assumptions!$B$9:$B$13,MATCH(F199,Assumptions!$A$9:$A$13,0)),0.15)</x:f>
        <x:v>0.16</x:v>
      </x:c>
      <x:c r="Q199" t="n">
        <x:f>ROUND(O199*(1-P199),0)</x:f>
        <x:v>1682</x:v>
      </x:c>
      <x:c r="R199" t="n">
        <x:f>ROUND(O199*P199,0)</x:f>
        <x:v>320</x:v>
      </x:c>
      <x:c r="S199" t="n">
        <x:f>ROUND(O199*IFERROR(INDEX(Assumptions!$C$9:$C$13,MATCH(F199,Assumptions!$A$9:$A$13,0)),0.55),0)</x:f>
        <x:v>1121</x:v>
      </x:c>
      <x:c r="T199" t="n">
        <x:f>ROUND(O199*IFERROR(INDEX(Assumptions!$D$9:$D$13,MATCH(F199,Assumptions!$A$9:$A$13,0)),0.06),0)</x:f>
        <x:v>140</x:v>
      </x:c>
      <x:c r="U199" t="n">
        <x:f>ROUND(O199*IFERROR(INDEX(Assumptions!$E$9:$E$13,MATCH(F199,Assumptions!$A$9:$A$13,0)),0.15),0)</x:f>
        <x:v>320</x:v>
      </x:c>
      <x:c r="V199" t="n">
        <x:f>MAX(0,O199-SUM(R199:U199))</x:f>
        <x:v>101.56999999999994</x:v>
      </x:c>
      <x:c r="W199" t="n">
        <x:f>MIN(100,40+IF(O199&gt;0,20,0)+IF(M199&lt;&gt;"",20,0)+IF(AF199&lt;&gt;"",20,0))</x:f>
        <x:v>100</x:v>
      </x:c>
      <x:c r="X199" t="str">
        <x:v>Placed on exact national road host link</x:v>
      </x:c>
      <x:c r="Y199" t="str">
        <x:v>Paved</x:v>
      </x:c>
      <x:c r="Z199" t="str">
        <x:v>B</x:v>
      </x:c>
      <x:c r="AA199" t="str">
        <x:v>Not available in governed source</x:v>
      </x:c>
      <x:c r="AB199" t="str">
        <x:v>Not available in governed source</x:v>
      </x:c>
      <x:c r="AC199" t="str">
        <x:v>FY2025/26</x:v>
      </x:c>
      <x:c r="AD199" t="str">
        <x:v>Modelled</x:v>
      </x:c>
      <x:c r="AE199" t="str">
        <x:v>2026 bridge AADT rebuilt from host-link traffic history, annual collection-link history, same-road corridor history and spatial count-station influence. Vehicle-class values are assigned from functional-class shares.</x:v>
      </x:c>
      <x:c r="AF199" t="str">
        <x:v>Placed on exact national road host link</x:v>
      </x:c>
    </x:row>
    <x:row r="200" ht="15" hidden="0" customHeight="1">
      <x:c r="A200" t="str">
        <x:v>bridge-199</x:v>
      </x:c>
      <x:c r="B200" t="str">
        <x:v>B183</x:v>
      </x:c>
      <x:c r="C200" t="str">
        <x:v>GETOM</x:v>
      </x:c>
      <x:c r="D200" t="str">
        <x:v>B303_Link02</x:v>
      </x:c>
      <x:c r="E200" t="str">
        <x:v>Arapai - Katakwi - Iriri</x:v>
      </x:c>
      <x:c r="F200" t="str">
        <x:v>B</x:v>
      </x:c>
      <x:c r="G200" t="str">
        <x:v>North Eastern</x:v>
      </x:c>
      <x:c r="H200" t="str">
        <x:v>Soroti</x:v>
      </x:c>
      <x:c r="I200" t="str">
        <x:v>ABRAITU</x:v>
      </x:c>
      <x:c r="J200" t="str">
        <x:v>Marginal</x:v>
      </x:c>
      <x:c r="K200" t="n">
        <x:v>33.864201</x:v>
      </x:c>
      <x:c r="L200" t="n">
        <x:v>1.86417</x:v>
      </x:c>
      <x:c r="M200" t="n">
        <x:v>34.142034</x:v>
      </x:c>
      <x:c r="N200" t="n">
        <x:v>2.044835</x:v>
      </x:c>
      <x:c r="O200" t="n">
        <x:v>2002.57</x:v>
      </x:c>
      <x:c r="P200" t="n">
        <x:f>IFERROR(INDEX(Assumptions!$B$9:$B$13,MATCH(F200,Assumptions!$A$9:$A$13,0)),0.15)</x:f>
        <x:v>0.16</x:v>
      </x:c>
      <x:c r="Q200" t="n">
        <x:f>ROUND(O200*(1-P200),0)</x:f>
        <x:v>1682</x:v>
      </x:c>
      <x:c r="R200" t="n">
        <x:f>ROUND(O200*P200,0)</x:f>
        <x:v>320</x:v>
      </x:c>
      <x:c r="S200" t="n">
        <x:f>ROUND(O200*IFERROR(INDEX(Assumptions!$C$9:$C$13,MATCH(F200,Assumptions!$A$9:$A$13,0)),0.55),0)</x:f>
        <x:v>1121</x:v>
      </x:c>
      <x:c r="T200" t="n">
        <x:f>ROUND(O200*IFERROR(INDEX(Assumptions!$D$9:$D$13,MATCH(F200,Assumptions!$A$9:$A$13,0)),0.06),0)</x:f>
        <x:v>140</x:v>
      </x:c>
      <x:c r="U200" t="n">
        <x:f>ROUND(O200*IFERROR(INDEX(Assumptions!$E$9:$E$13,MATCH(F200,Assumptions!$A$9:$A$13,0)),0.15),0)</x:f>
        <x:v>320</x:v>
      </x:c>
      <x:c r="V200" t="n">
        <x:f>MAX(0,O200-SUM(R200:U200))</x:f>
        <x:v>101.56999999999994</x:v>
      </x:c>
      <x:c r="W200" t="n">
        <x:f>MIN(100,40+IF(O200&gt;0,20,0)+IF(M200&lt;&gt;"",20,0)+IF(AF200&lt;&gt;"",20,0))</x:f>
        <x:v>100</x:v>
      </x:c>
      <x:c r="X200" t="str">
        <x:v>Placed on exact national road host link</x:v>
      </x:c>
      <x:c r="Y200" t="str">
        <x:v>Paved</x:v>
      </x:c>
      <x:c r="Z200" t="str">
        <x:v>B</x:v>
      </x:c>
      <x:c r="AA200" t="str">
        <x:v>Not available in governed source</x:v>
      </x:c>
      <x:c r="AB200" t="str">
        <x:v>Not available in governed source</x:v>
      </x:c>
      <x:c r="AC200" t="str">
        <x:v>FY2025/26</x:v>
      </x:c>
      <x:c r="AD200" t="str">
        <x:v>Modelled</x:v>
      </x:c>
      <x:c r="AE200" t="str">
        <x:v>2026 bridge AADT rebuilt from host-link traffic history, annual collection-link history, same-road corridor history and spatial count-station influence. Vehicle-class values are assigned from functional-class shares.</x:v>
      </x:c>
      <x:c r="AF200" t="str">
        <x:v>Placed on exact national road host link</x:v>
      </x:c>
    </x:row>
    <x:row r="201" ht="15" hidden="0" customHeight="1">
      <x:c r="A201" t="str">
        <x:v>bridge-200</x:v>
      </x:c>
      <x:c r="B201" t="str">
        <x:v>B184</x:v>
      </x:c>
      <x:c r="C201" t="str">
        <x:v>AKANGOLE</x:v>
      </x:c>
      <x:c r="D201" t="str">
        <x:v>B303_Link02</x:v>
      </x:c>
      <x:c r="E201" t="str">
        <x:v>Arapai - Katakwi - Iriri</x:v>
      </x:c>
      <x:c r="F201" t="str">
        <x:v>B</x:v>
      </x:c>
      <x:c r="G201" t="str">
        <x:v>North Eastern</x:v>
      </x:c>
      <x:c r="H201" t="str">
        <x:v>Soroti</x:v>
      </x:c>
      <x:c r="I201" t="str">
        <x:v>OMANIMA</x:v>
      </x:c>
      <x:c r="J201" t="str">
        <x:v>Good</x:v>
      </x:c>
      <x:c r="K201" t="n">
        <x:v>34.478359</x:v>
      </x:c>
      <x:c r="L201" t="n">
        <x:v>2.43725</x:v>
      </x:c>
      <x:c r="M201" t="n">
        <x:v>33.97947</x:v>
      </x:c>
      <x:c r="N201" t="n">
        <x:v>1.919301</x:v>
      </x:c>
      <x:c r="O201" t="n">
        <x:v>2002.57</x:v>
      </x:c>
      <x:c r="P201" t="n">
        <x:f>IFERROR(INDEX(Assumptions!$B$9:$B$13,MATCH(F201,Assumptions!$A$9:$A$13,0)),0.15)</x:f>
        <x:v>0.16</x:v>
      </x:c>
      <x:c r="Q201" t="n">
        <x:f>ROUND(O201*(1-P201),0)</x:f>
        <x:v>1682</x:v>
      </x:c>
      <x:c r="R201" t="n">
        <x:f>ROUND(O201*P201,0)</x:f>
        <x:v>320</x:v>
      </x:c>
      <x:c r="S201" t="n">
        <x:f>ROUND(O201*IFERROR(INDEX(Assumptions!$C$9:$C$13,MATCH(F201,Assumptions!$A$9:$A$13,0)),0.55),0)</x:f>
        <x:v>1121</x:v>
      </x:c>
      <x:c r="T201" t="n">
        <x:f>ROUND(O201*IFERROR(INDEX(Assumptions!$D$9:$D$13,MATCH(F201,Assumptions!$A$9:$A$13,0)),0.06),0)</x:f>
        <x:v>140</x:v>
      </x:c>
      <x:c r="U201" t="n">
        <x:f>ROUND(O201*IFERROR(INDEX(Assumptions!$E$9:$E$13,MATCH(F201,Assumptions!$A$9:$A$13,0)),0.15),0)</x:f>
        <x:v>320</x:v>
      </x:c>
      <x:c r="V201" t="n">
        <x:f>MAX(0,O201-SUM(R201:U201))</x:f>
        <x:v>101.56999999999994</x:v>
      </x:c>
      <x:c r="W201" t="n">
        <x:f>MIN(100,40+IF(O201&gt;0,20,0)+IF(M201&lt;&gt;"",20,0)+IF(AF201&lt;&gt;"",20,0))</x:f>
        <x:v>100</x:v>
      </x:c>
      <x:c r="X201" t="str">
        <x:v>Placed on exact national road host link</x:v>
      </x:c>
      <x:c r="Y201" t="str">
        <x:v>Paved</x:v>
      </x:c>
      <x:c r="Z201" t="str">
        <x:v>B</x:v>
      </x:c>
      <x:c r="AA201" t="str">
        <x:v>Not available in governed source</x:v>
      </x:c>
      <x:c r="AB201" t="str">
        <x:v>Not available in governed source</x:v>
      </x:c>
      <x:c r="AC201" t="str">
        <x:v>FY2025/26</x:v>
      </x:c>
      <x:c r="AD201" t="str">
        <x:v>Modelled</x:v>
      </x:c>
      <x:c r="AE201" t="str">
        <x:v>2026 bridge AADT rebuilt from host-link traffic history, annual collection-link history, same-road corridor history and spatial count-station influence. Vehicle-class values are assigned from functional-class shares.</x:v>
      </x:c>
      <x:c r="AF201" t="str">
        <x:v>Placed on exact national road host link</x:v>
      </x:c>
    </x:row>
    <x:row r="202" ht="15" hidden="0" customHeight="1">
      <x:c r="A202" t="str">
        <x:v>bridge-201</x:v>
      </x:c>
      <x:c r="B202" t="str">
        <x:v>B185</x:v>
      </x:c>
      <x:c r="C202" t="str">
        <x:v>Apak Bridge</x:v>
      </x:c>
      <x:c r="D202" t="str">
        <x:v>C650_Link01</x:v>
      </x:c>
      <x:c r="E202" t="str">
        <x:v>Lira - Akia</x:v>
      </x:c>
      <x:c r="F202" t="str">
        <x:v>C</x:v>
      </x:c>
      <x:c r="G202" t="str">
        <x:v>Northern</x:v>
      </x:c>
      <x:c r="H202" t="str">
        <x:v>Lira</x:v>
      </x:c>
      <x:c r="I202" t="str">
        <x:v>Apak River</x:v>
      </x:c>
      <x:c r="J202" t="str">
        <x:v>Good</x:v>
      </x:c>
      <x:c r="K202" t="n">
        <x:v>33.220798</x:v>
      </x:c>
      <x:c r="L202" t="n">
        <x:v>2.37072</x:v>
      </x:c>
      <x:c r="M202" t="n">
        <x:v>32.97404</x:v>
      </x:c>
      <x:c r="N202" t="n">
        <x:v>2.23975</x:v>
      </x:c>
      <x:c r="O202" t="n">
        <x:v>469.76</x:v>
      </x:c>
      <x:c r="P202" t="n">
        <x:f>IFERROR(INDEX(Assumptions!$B$9:$B$13,MATCH(F202,Assumptions!$A$9:$A$13,0)),0.15)</x:f>
        <x:v>0.28</x:v>
      </x:c>
      <x:c r="Q202" t="n">
        <x:f>ROUND(O202*(1-P202),0)</x:f>
        <x:v>338</x:v>
      </x:c>
      <x:c r="R202" t="n">
        <x:f>ROUND(O202*P202,0)</x:f>
        <x:v>132</x:v>
      </x:c>
      <x:c r="S202" t="n">
        <x:f>ROUND(O202*IFERROR(INDEX(Assumptions!$C$9:$C$13,MATCH(F202,Assumptions!$A$9:$A$13,0)),0.55),0)</x:f>
        <x:v>235</x:v>
      </x:c>
      <x:c r="T202" t="n">
        <x:f>ROUND(O202*IFERROR(INDEX(Assumptions!$D$9:$D$13,MATCH(F202,Assumptions!$A$9:$A$13,0)),0.06),0)</x:f>
        <x:v>23</x:v>
      </x:c>
      <x:c r="U202" t="n">
        <x:f>ROUND(O202*IFERROR(INDEX(Assumptions!$E$9:$E$13,MATCH(F202,Assumptions!$A$9:$A$13,0)),0.15),0)</x:f>
        <x:v>52</x:v>
      </x:c>
      <x:c r="V202" t="n">
        <x:f>MAX(0,O202-SUM(R202:U202))</x:f>
        <x:v>27.75999999999999</x:v>
      </x:c>
      <x:c r="W202" t="n">
        <x:f>MIN(100,40+IF(O202&gt;0,20,0)+IF(M202&lt;&gt;"",20,0)+IF(AF202&lt;&gt;"",20,0))</x:f>
        <x:v>100</x:v>
      </x:c>
      <x:c r="X202" t="str">
        <x:v>Placed on exact national road host link</x:v>
      </x:c>
      <x:c r="Y202" t="str">
        <x:v>Paved</x:v>
      </x:c>
      <x:c r="Z202" t="str">
        <x:v>C</x:v>
      </x:c>
      <x:c r="AA202" t="str">
        <x:v>Not available in governed source</x:v>
      </x:c>
      <x:c r="AB202" t="str">
        <x:v>Not available in governed source</x:v>
      </x:c>
      <x:c r="AC202" t="str">
        <x:v>FY2025/26</x:v>
      </x:c>
      <x:c r="AD202" t="str">
        <x:v>Modelled</x:v>
      </x:c>
      <x:c r="AE202" t="str">
        <x:v>2026 bridge AADT rebuilt from host-link traffic history, annual collection-link history, same-road corridor history and spatial count-station influence. Vehicle-class values are assigned from functional-class shares.</x:v>
      </x:c>
      <x:c r="AF202" t="str">
        <x:v>Placed on exact national road host link</x:v>
      </x:c>
    </x:row>
    <x:row r="203" ht="15" hidden="0" customHeight="1">
      <x:c r="A203" t="str">
        <x:v>bridge-202</x:v>
      </x:c>
      <x:c r="B203" t="str">
        <x:v>B186</x:v>
      </x:c>
      <x:c r="C203" t="str">
        <x:v>APAK BRIDGE</x:v>
      </x:c>
      <x:c r="D203" t="str">
        <x:v>C650_Link01</x:v>
      </x:c>
      <x:c r="E203" t="str">
        <x:v>Lira - Akia</x:v>
      </x:c>
      <x:c r="F203" t="str">
        <x:v>C</x:v>
      </x:c>
      <x:c r="G203" t="str">
        <x:v>Northern</x:v>
      </x:c>
      <x:c r="H203" t="str">
        <x:v>Lira</x:v>
      </x:c>
      <x:c r="I203" t="str">
        <x:v>APAK RIVER</x:v>
      </x:c>
      <x:c r="J203" t="str">
        <x:v>Good</x:v>
      </x:c>
      <x:c r="K203" t="n">
        <x:v>33.220791</x:v>
      </x:c>
      <x:c r="L203" t="n">
        <x:v>2.37072</x:v>
      </x:c>
      <x:c r="M203" t="n">
        <x:v>32.97404</x:v>
      </x:c>
      <x:c r="N203" t="n">
        <x:v>2.23975</x:v>
      </x:c>
      <x:c r="O203" t="n">
        <x:v>469.76</x:v>
      </x:c>
      <x:c r="P203" t="n">
        <x:f>IFERROR(INDEX(Assumptions!$B$9:$B$13,MATCH(F203,Assumptions!$A$9:$A$13,0)),0.15)</x:f>
        <x:v>0.28</x:v>
      </x:c>
      <x:c r="Q203" t="n">
        <x:f>ROUND(O203*(1-P203),0)</x:f>
        <x:v>338</x:v>
      </x:c>
      <x:c r="R203" t="n">
        <x:f>ROUND(O203*P203,0)</x:f>
        <x:v>132</x:v>
      </x:c>
      <x:c r="S203" t="n">
        <x:f>ROUND(O203*IFERROR(INDEX(Assumptions!$C$9:$C$13,MATCH(F203,Assumptions!$A$9:$A$13,0)),0.55),0)</x:f>
        <x:v>235</x:v>
      </x:c>
      <x:c r="T203" t="n">
        <x:f>ROUND(O203*IFERROR(INDEX(Assumptions!$D$9:$D$13,MATCH(F203,Assumptions!$A$9:$A$13,0)),0.06),0)</x:f>
        <x:v>23</x:v>
      </x:c>
      <x:c r="U203" t="n">
        <x:f>ROUND(O203*IFERROR(INDEX(Assumptions!$E$9:$E$13,MATCH(F203,Assumptions!$A$9:$A$13,0)),0.15),0)</x:f>
        <x:v>52</x:v>
      </x:c>
      <x:c r="V203" t="n">
        <x:f>MAX(0,O203-SUM(R203:U203))</x:f>
        <x:v>27.75999999999999</x:v>
      </x:c>
      <x:c r="W203" t="n">
        <x:f>MIN(100,40+IF(O203&gt;0,20,0)+IF(M203&lt;&gt;"",20,0)+IF(AF203&lt;&gt;"",20,0))</x:f>
        <x:v>100</x:v>
      </x:c>
      <x:c r="X203" t="str">
        <x:v>Placed on exact national road host link</x:v>
      </x:c>
      <x:c r="Y203" t="str">
        <x:v>Paved</x:v>
      </x:c>
      <x:c r="Z203" t="str">
        <x:v>C</x:v>
      </x:c>
      <x:c r="AA203" t="str">
        <x:v>Not available in governed source</x:v>
      </x:c>
      <x:c r="AB203" t="str">
        <x:v>Not available in governed source</x:v>
      </x:c>
      <x:c r="AC203" t="str">
        <x:v>FY2025/26</x:v>
      </x:c>
      <x:c r="AD203" t="str">
        <x:v>Modelled</x:v>
      </x:c>
      <x:c r="AE203" t="str">
        <x:v>2026 bridge AADT rebuilt from host-link traffic history, annual collection-link history, same-road corridor history and spatial count-station influence. Vehicle-class values are assigned from functional-class shares.</x:v>
      </x:c>
      <x:c r="AF203" t="str">
        <x:v>Placed on exact national road host link</x:v>
      </x:c>
    </x:row>
    <x:row r="204" ht="15" hidden="0" customHeight="1">
      <x:c r="A204" t="str">
        <x:v>bridge-203</x:v>
      </x:c>
      <x:c r="B204" t="str">
        <x:v>B187</x:v>
      </x:c>
      <x:c r="C204" t="str">
        <x:v>TOCHI (AWOL) BRIDGE</x:v>
      </x:c>
      <x:c r="D204" t="str">
        <x:v>C655_Link01</x:v>
      </x:c>
      <x:c r="E204" t="str">
        <x:v>Bobi-Aboke-Ayer</x:v>
      </x:c>
      <x:c r="F204" t="str">
        <x:v>C</x:v>
      </x:c>
      <x:c r="G204" t="str">
        <x:v>Northern</x:v>
      </x:c>
      <x:c r="H204" t="str">
        <x:v>Gulu</x:v>
      </x:c>
      <x:c r="I204" t="str">
        <x:v>TOCHI RIVER</x:v>
      </x:c>
      <x:c r="J204" t="str">
        <x:v>Good</x:v>
      </x:c>
      <x:c r="K204" t="n">
        <x:v>32.40358</x:v>
      </x:c>
      <x:c r="L204" t="n">
        <x:v>2.524747</x:v>
      </x:c>
      <x:c r="M204" t="n">
        <x:v>32.404081</x:v>
      </x:c>
      <x:c r="N204" t="n">
        <x:v>2.525141</x:v>
      </x:c>
      <x:c r="O204" t="n">
        <x:v>1773.28</x:v>
      </x:c>
      <x:c r="P204" t="n">
        <x:f>IFERROR(INDEX(Assumptions!$B$9:$B$13,MATCH(F204,Assumptions!$A$9:$A$13,0)),0.15)</x:f>
        <x:v>0.28</x:v>
      </x:c>
      <x:c r="Q204" t="n">
        <x:f>ROUND(O204*(1-P204),0)</x:f>
        <x:v>1277</x:v>
      </x:c>
      <x:c r="R204" t="n">
        <x:f>ROUND(O204*P204,0)</x:f>
        <x:v>497</x:v>
      </x:c>
      <x:c r="S204" t="n">
        <x:f>ROUND(O204*IFERROR(INDEX(Assumptions!$C$9:$C$13,MATCH(F204,Assumptions!$A$9:$A$13,0)),0.55),0)</x:f>
        <x:v>887</x:v>
      </x:c>
      <x:c r="T204" t="n">
        <x:f>ROUND(O204*IFERROR(INDEX(Assumptions!$D$9:$D$13,MATCH(F204,Assumptions!$A$9:$A$13,0)),0.06),0)</x:f>
        <x:v>89</x:v>
      </x:c>
      <x:c r="U204" t="n">
        <x:f>ROUND(O204*IFERROR(INDEX(Assumptions!$E$9:$E$13,MATCH(F204,Assumptions!$A$9:$A$13,0)),0.15),0)</x:f>
        <x:v>195</x:v>
      </x:c>
      <x:c r="V204" t="n">
        <x:f>MAX(0,O204-SUM(R204:U204))</x:f>
        <x:v>105.27999999999997</x:v>
      </x:c>
      <x:c r="W204" t="n">
        <x:f>MIN(100,40+IF(O204&gt;0,20,0)+IF(M204&lt;&gt;"",20,0)+IF(AF204&lt;&gt;"",20,0))</x:f>
        <x:v>100</x:v>
      </x:c>
      <x:c r="X204" t="str">
        <x:v>Placed on exact national road host link</x:v>
      </x:c>
      <x:c r="Y204" t="str">
        <x:v>Unpaved</x:v>
      </x:c>
      <x:c r="Z204" t="str">
        <x:v>C</x:v>
      </x:c>
      <x:c r="AA204" t="str">
        <x:v>Not available in governed source</x:v>
      </x:c>
      <x:c r="AB204" t="str">
        <x:v>Not available in governed source</x:v>
      </x:c>
      <x:c r="AC204" t="str">
        <x:v>FY2025/26</x:v>
      </x:c>
      <x:c r="AD204" t="str">
        <x:v>Modelled</x:v>
      </x:c>
      <x:c r="AE204" t="str">
        <x:v>2026 bridge AADT rebuilt from host-link traffic history, annual collection-link history, same-road corridor history and spatial count-station influence. Vehicle-class values are assigned from functional-class shares.</x:v>
      </x:c>
      <x:c r="AF204" t="str">
        <x:v>Placed on exact national road host link</x:v>
      </x:c>
    </x:row>
    <x:row r="205" ht="15" hidden="0" customHeight="1">
      <x:c r="A205" t="str">
        <x:v>bridge-204</x:v>
      </x:c>
      <x:c r="B205" t="str">
        <x:v>B188</x:v>
      </x:c>
      <x:c r="C205" t="str">
        <x:v>ODEK</x:v>
      </x:c>
      <x:c r="D205" t="str">
        <x:v>C680_Link02</x:v>
      </x:c>
      <x:c r="E205" t="str">
        <x:v>Opit-Rwackoko</x:v>
      </x:c>
      <x:c r="F205" t="str">
        <x:v>C</x:v>
      </x:c>
      <x:c r="G205" t="str">
        <x:v>Northern</x:v>
      </x:c>
      <x:c r="H205" t="str">
        <x:v>Gulu</x:v>
      </x:c>
      <x:c r="I205" t="str">
        <x:v>ODEK RIVER</x:v>
      </x:c>
      <x:c r="J205" t="str">
        <x:v>Good</x:v>
      </x:c>
      <x:c r="K205" t="n">
        <x:v>32.739159</x:v>
      </x:c>
      <x:c r="L205" t="n">
        <x:v>2.68018</x:v>
      </x:c>
      <x:c r="M205" t="n">
        <x:v>32.73203</x:v>
      </x:c>
      <x:c r="N205" t="n">
        <x:v>2.68058</x:v>
      </x:c>
      <x:c r="O205" t="n">
        <x:v>1515.38</x:v>
      </x:c>
      <x:c r="P205" t="n">
        <x:f>IFERROR(INDEX(Assumptions!$B$9:$B$13,MATCH(F205,Assumptions!$A$9:$A$13,0)),0.15)</x:f>
        <x:v>0.28</x:v>
      </x:c>
      <x:c r="Q205" t="n">
        <x:f>ROUND(O205*(1-P205),0)</x:f>
        <x:v>1091</x:v>
      </x:c>
      <x:c r="R205" t="n">
        <x:f>ROUND(O205*P205,0)</x:f>
        <x:v>424</x:v>
      </x:c>
      <x:c r="S205" t="n">
        <x:f>ROUND(O205*IFERROR(INDEX(Assumptions!$C$9:$C$13,MATCH(F205,Assumptions!$A$9:$A$13,0)),0.55),0)</x:f>
        <x:v>758</x:v>
      </x:c>
      <x:c r="T205" t="n">
        <x:f>ROUND(O205*IFERROR(INDEX(Assumptions!$D$9:$D$13,MATCH(F205,Assumptions!$A$9:$A$13,0)),0.06),0)</x:f>
        <x:v>76</x:v>
      </x:c>
      <x:c r="U205" t="n">
        <x:f>ROUND(O205*IFERROR(INDEX(Assumptions!$E$9:$E$13,MATCH(F205,Assumptions!$A$9:$A$13,0)),0.15),0)</x:f>
        <x:v>167</x:v>
      </x:c>
      <x:c r="V205" t="n">
        <x:f>MAX(0,O205-SUM(R205:U205))</x:f>
        <x:v>90.38000000000011</x:v>
      </x:c>
      <x:c r="W205" t="n">
        <x:f>MIN(100,40+IF(O205&gt;0,20,0)+IF(M205&lt;&gt;"",20,0)+IF(AF205&lt;&gt;"",20,0))</x:f>
        <x:v>100</x:v>
      </x:c>
      <x:c r="X205" t="str">
        <x:v>Placed on exact national road host link</x:v>
      </x:c>
      <x:c r="Y205" t="str">
        <x:v>Unpaved</x:v>
      </x:c>
      <x:c r="Z205" t="str">
        <x:v>C</x:v>
      </x:c>
      <x:c r="AA205" t="str">
        <x:v>Not available in governed source</x:v>
      </x:c>
      <x:c r="AB205" t="str">
        <x:v>Not available in governed source</x:v>
      </x:c>
      <x:c r="AC205" t="str">
        <x:v>FY2025/26</x:v>
      </x:c>
      <x:c r="AD205" t="str">
        <x:v>Modelled</x:v>
      </x:c>
      <x:c r="AE205" t="str">
        <x:v>2026 bridge AADT rebuilt from host-link traffic history, annual collection-link history, same-road corridor history and spatial count-station influence. Vehicle-class values are assigned from functional-class shares.</x:v>
      </x:c>
      <x:c r="AF205" t="str">
        <x:v>Placed on exact national road host link</x:v>
      </x:c>
    </x:row>
    <x:row r="206" ht="15" hidden="0" customHeight="1">
      <x:c r="A206" t="str">
        <x:v>bridge-205</x:v>
      </x:c>
      <x:c r="B206" t="str">
        <x:v>B189</x:v>
      </x:c>
      <x:c r="C206" t="str">
        <x:v>AWERE BRIDGE</x:v>
      </x:c>
      <x:c r="D206" t="str">
        <x:v>C680_Link02</x:v>
      </x:c>
      <x:c r="E206" t="str">
        <x:v>Opit-Rwackoko</x:v>
      </x:c>
      <x:c r="F206" t="str">
        <x:v>C</x:v>
      </x:c>
      <x:c r="G206" t="str">
        <x:v>Northern</x:v>
      </x:c>
      <x:c r="H206" t="str">
        <x:v>Gulu</x:v>
      </x:c>
      <x:c r="I206" t="str">
        <x:v>ASWA RIVER</x:v>
      </x:c>
      <x:c r="J206" t="str">
        <x:v>Poor</x:v>
      </x:c>
      <x:c r="K206" t="n">
        <x:v>32.786407</x:v>
      </x:c>
      <x:c r="L206" t="n">
        <x:v>2.687393</x:v>
      </x:c>
      <x:c r="M206" t="n">
        <x:v>32.820169</x:v>
      </x:c>
      <x:c r="N206" t="n">
        <x:v>2.704904</x:v>
      </x:c>
      <x:c r="O206" t="n">
        <x:v>1515.38</x:v>
      </x:c>
      <x:c r="P206" t="n">
        <x:f>IFERROR(INDEX(Assumptions!$B$9:$B$13,MATCH(F206,Assumptions!$A$9:$A$13,0)),0.15)</x:f>
        <x:v>0.28</x:v>
      </x:c>
      <x:c r="Q206" t="n">
        <x:f>ROUND(O206*(1-P206),0)</x:f>
        <x:v>1091</x:v>
      </x:c>
      <x:c r="R206" t="n">
        <x:f>ROUND(O206*P206,0)</x:f>
        <x:v>424</x:v>
      </x:c>
      <x:c r="S206" t="n">
        <x:f>ROUND(O206*IFERROR(INDEX(Assumptions!$C$9:$C$13,MATCH(F206,Assumptions!$A$9:$A$13,0)),0.55),0)</x:f>
        <x:v>758</x:v>
      </x:c>
      <x:c r="T206" t="n">
        <x:f>ROUND(O206*IFERROR(INDEX(Assumptions!$D$9:$D$13,MATCH(F206,Assumptions!$A$9:$A$13,0)),0.06),0)</x:f>
        <x:v>76</x:v>
      </x:c>
      <x:c r="U206" t="n">
        <x:f>ROUND(O206*IFERROR(INDEX(Assumptions!$E$9:$E$13,MATCH(F206,Assumptions!$A$9:$A$13,0)),0.15),0)</x:f>
        <x:v>167</x:v>
      </x:c>
      <x:c r="V206" t="n">
        <x:f>MAX(0,O206-SUM(R206:U206))</x:f>
        <x:v>90.38000000000011</x:v>
      </x:c>
      <x:c r="W206" t="n">
        <x:f>MIN(100,40+IF(O206&gt;0,20,0)+IF(M206&lt;&gt;"",20,0)+IF(AF206&lt;&gt;"",20,0))</x:f>
        <x:v>100</x:v>
      </x:c>
      <x:c r="X206" t="str">
        <x:v>Placed on exact national road host link</x:v>
      </x:c>
      <x:c r="Y206" t="str">
        <x:v>Unpaved</x:v>
      </x:c>
      <x:c r="Z206" t="str">
        <x:v>C</x:v>
      </x:c>
      <x:c r="AA206" t="str">
        <x:v>Not available in governed source</x:v>
      </x:c>
      <x:c r="AB206" t="str">
        <x:v>Not available in governed source</x:v>
      </x:c>
      <x:c r="AC206" t="str">
        <x:v>FY2025/26</x:v>
      </x:c>
      <x:c r="AD206" t="str">
        <x:v>Modelled</x:v>
      </x:c>
      <x:c r="AE206" t="str">
        <x:v>2026 bridge AADT rebuilt from host-link traffic history, annual collection-link history, same-road corridor history and spatial count-station influence. Vehicle-class values are assigned from functional-class shares.</x:v>
      </x:c>
      <x:c r="AF206" t="str">
        <x:v>Placed on exact national road host link</x:v>
      </x:c>
    </x:row>
    <x:row r="207" ht="15" hidden="0" customHeight="1">
      <x:c r="A207" t="str">
        <x:v>bridge-206</x:v>
      </x:c>
      <x:c r="B207" t="str">
        <x:v>B190</x:v>
      </x:c>
      <x:c r="C207" t="str">
        <x:v>Atika Bridge</x:v>
      </x:c>
      <x:c r="D207" t="str">
        <x:v>C681_Link01</x:v>
      </x:c>
      <x:c r="E207" t="str">
        <x:v>Acholibur - Aswa</x:v>
      </x:c>
      <x:c r="F207" t="str">
        <x:v>C</x:v>
      </x:c>
      <x:c r="G207" t="str">
        <x:v>Northern</x:v>
      </x:c>
      <x:c r="H207" t="str">
        <x:v>Kitgum</x:v>
      </x:c>
      <x:c r="I207" t="str">
        <x:v>Atika Stream</x:v>
      </x:c>
      <x:c r="J207" t="str">
        <x:v>Marginal</x:v>
      </x:c>
      <x:c r="K207" t="n">
        <x:v>32.84151</x:v>
      </x:c>
      <x:c r="L207" t="n">
        <x:v>3.08105</x:v>
      </x:c>
      <x:c r="M207" t="n">
        <x:v>32.841743</x:v>
      </x:c>
      <x:c r="N207" t="n">
        <x:v>3.081186</x:v>
      </x:c>
      <x:c r="O207" t="n">
        <x:v>1358.82</x:v>
      </x:c>
      <x:c r="P207" t="n">
        <x:f>IFERROR(INDEX(Assumptions!$B$9:$B$13,MATCH(F207,Assumptions!$A$9:$A$13,0)),0.15)</x:f>
        <x:v>0.28</x:v>
      </x:c>
      <x:c r="Q207" t="n">
        <x:f>ROUND(O207*(1-P207),0)</x:f>
        <x:v>978</x:v>
      </x:c>
      <x:c r="R207" t="n">
        <x:f>ROUND(O207*P207,0)</x:f>
        <x:v>380</x:v>
      </x:c>
      <x:c r="S207" t="n">
        <x:f>ROUND(O207*IFERROR(INDEX(Assumptions!$C$9:$C$13,MATCH(F207,Assumptions!$A$9:$A$13,0)),0.55),0)</x:f>
        <x:v>679</x:v>
      </x:c>
      <x:c r="T207" t="n">
        <x:f>ROUND(O207*IFERROR(INDEX(Assumptions!$D$9:$D$13,MATCH(F207,Assumptions!$A$9:$A$13,0)),0.06),0)</x:f>
        <x:v>68</x:v>
      </x:c>
      <x:c r="U207" t="n">
        <x:f>ROUND(O207*IFERROR(INDEX(Assumptions!$E$9:$E$13,MATCH(F207,Assumptions!$A$9:$A$13,0)),0.15),0)</x:f>
        <x:v>149</x:v>
      </x:c>
      <x:c r="V207" t="n">
        <x:f>MAX(0,O207-SUM(R207:U207))</x:f>
        <x:v>82.81999999999994</x:v>
      </x:c>
      <x:c r="W207" t="n">
        <x:f>MIN(100,40+IF(O207&gt;0,20,0)+IF(M207&lt;&gt;"",20,0)+IF(AF207&lt;&gt;"",20,0))</x:f>
        <x:v>100</x:v>
      </x:c>
      <x:c r="X207" t="str">
        <x:v>Placed on exact national road host link</x:v>
      </x:c>
      <x:c r="Y207" t="str">
        <x:v>Paved</x:v>
      </x:c>
      <x:c r="Z207" t="str">
        <x:v>C</x:v>
      </x:c>
      <x:c r="AA207" t="str">
        <x:v>Not available in governed source</x:v>
      </x:c>
      <x:c r="AB207" t="str">
        <x:v>Not available in governed source</x:v>
      </x:c>
      <x:c r="AC207" t="str">
        <x:v>FY2025/26</x:v>
      </x:c>
      <x:c r="AD207" t="str">
        <x:v>Modelled</x:v>
      </x:c>
      <x:c r="AE207" t="str">
        <x:v>2026 bridge AADT rebuilt from host-link traffic history, annual collection-link history, same-road corridor history and spatial count-station influence. Vehicle-class values are assigned from functional-class shares.</x:v>
      </x:c>
      <x:c r="AF207" t="str">
        <x:v>Placed on exact national road host link</x:v>
      </x:c>
    </x:row>
    <x:row r="208" ht="15" hidden="0" customHeight="1">
      <x:c r="A208" t="str">
        <x:v>bridge-207</x:v>
      </x:c>
      <x:c r="B208" t="str">
        <x:v>B191</x:v>
      </x:c>
      <x:c r="C208" t="str">
        <x:v>Ogeng Bridge</x:v>
      </x:c>
      <x:c r="D208" t="str">
        <x:v>C681_Link01</x:v>
      </x:c>
      <x:c r="E208" t="str">
        <x:v>Acholibur - Aswa</x:v>
      </x:c>
      <x:c r="F208" t="str">
        <x:v>C</x:v>
      </x:c>
      <x:c r="G208" t="str">
        <x:v>Northern</x:v>
      </x:c>
      <x:c r="H208" t="str">
        <x:v>Kitgum</x:v>
      </x:c>
      <x:c r="I208" t="str">
        <x:v>Ogeng Stream</x:v>
      </x:c>
      <x:c r="J208" t="str">
        <x:v>Critical</x:v>
      </x:c>
      <x:c r="K208" t="n">
        <x:v>32.78352</x:v>
      </x:c>
      <x:c r="L208" t="n">
        <x:v>3.04559</x:v>
      </x:c>
      <x:c r="M208" t="n">
        <x:v>32.78371</x:v>
      </x:c>
      <x:c r="N208" t="n">
        <x:v>3.04594</x:v>
      </x:c>
      <x:c r="O208" t="n">
        <x:v>1358.82</x:v>
      </x:c>
      <x:c r="P208" t="n">
        <x:f>IFERROR(INDEX(Assumptions!$B$9:$B$13,MATCH(F208,Assumptions!$A$9:$A$13,0)),0.15)</x:f>
        <x:v>0.28</x:v>
      </x:c>
      <x:c r="Q208" t="n">
        <x:f>ROUND(O208*(1-P208),0)</x:f>
        <x:v>978</x:v>
      </x:c>
      <x:c r="R208" t="n">
        <x:f>ROUND(O208*P208,0)</x:f>
        <x:v>380</x:v>
      </x:c>
      <x:c r="S208" t="n">
        <x:f>ROUND(O208*IFERROR(INDEX(Assumptions!$C$9:$C$13,MATCH(F208,Assumptions!$A$9:$A$13,0)),0.55),0)</x:f>
        <x:v>679</x:v>
      </x:c>
      <x:c r="T208" t="n">
        <x:f>ROUND(O208*IFERROR(INDEX(Assumptions!$D$9:$D$13,MATCH(F208,Assumptions!$A$9:$A$13,0)),0.06),0)</x:f>
        <x:v>68</x:v>
      </x:c>
      <x:c r="U208" t="n">
        <x:f>ROUND(O208*IFERROR(INDEX(Assumptions!$E$9:$E$13,MATCH(F208,Assumptions!$A$9:$A$13,0)),0.15),0)</x:f>
        <x:v>149</x:v>
      </x:c>
      <x:c r="V208" t="n">
        <x:f>MAX(0,O208-SUM(R208:U208))</x:f>
        <x:v>82.81999999999994</x:v>
      </x:c>
      <x:c r="W208" t="n">
        <x:f>MIN(100,40+IF(O208&gt;0,20,0)+IF(M208&lt;&gt;"",20,0)+IF(AF208&lt;&gt;"",20,0))</x:f>
        <x:v>100</x:v>
      </x:c>
      <x:c r="X208" t="str">
        <x:v>Placed on exact national road host link</x:v>
      </x:c>
      <x:c r="Y208" t="str">
        <x:v>Paved</x:v>
      </x:c>
      <x:c r="Z208" t="str">
        <x:v>C</x:v>
      </x:c>
      <x:c r="AA208" t="str">
        <x:v>Not available in governed source</x:v>
      </x:c>
      <x:c r="AB208" t="str">
        <x:v>Not available in governed source</x:v>
      </x:c>
      <x:c r="AC208" t="str">
        <x:v>FY2025/26</x:v>
      </x:c>
      <x:c r="AD208" t="str">
        <x:v>Modelled</x:v>
      </x:c>
      <x:c r="AE208" t="str">
        <x:v>2026 bridge AADT rebuilt from host-link traffic history, annual collection-link history, same-road corridor history and spatial count-station influence. Vehicle-class values are assigned from functional-class shares.</x:v>
      </x:c>
      <x:c r="AF208" t="str">
        <x:v>Placed on exact national road host link</x:v>
      </x:c>
    </x:row>
    <x:row r="209" ht="15" hidden="0" customHeight="1">
      <x:c r="A209" t="str">
        <x:v>bridge-208</x:v>
      </x:c>
      <x:c r="B209" t="str">
        <x:v>B192</x:v>
      </x:c>
      <x:c r="C209" t="str">
        <x:v>AJAN BRIDGE</x:v>
      </x:c>
      <x:c r="D209" t="str">
        <x:v>C681_Link01</x:v>
      </x:c>
      <x:c r="E209" t="str">
        <x:v>Acholibur - Aswa</x:v>
      </x:c>
      <x:c r="F209" t="str">
        <x:v>C</x:v>
      </x:c>
      <x:c r="G209" t="str">
        <x:v>Northern</x:v>
      </x:c>
      <x:c r="H209" t="str">
        <x:v>Kitgum</x:v>
      </x:c>
      <x:c r="I209" t="str">
        <x:v>AJAN RIVER</x:v>
      </x:c>
      <x:c r="J209" t="str">
        <x:v>Good</x:v>
      </x:c>
      <x:c r="K209" t="n">
        <x:v>32.76746</x:v>
      </x:c>
      <x:c r="L209" t="n">
        <x:v>3.030654</x:v>
      </x:c>
      <x:c r="M209" t="n">
        <x:v>32.764804</x:v>
      </x:c>
      <x:c r="N209" t="n">
        <x:v>3.028109</x:v>
      </x:c>
      <x:c r="O209" t="n">
        <x:v>1358.82</x:v>
      </x:c>
      <x:c r="P209" t="n">
        <x:f>IFERROR(INDEX(Assumptions!$B$9:$B$13,MATCH(F209,Assumptions!$A$9:$A$13,0)),0.15)</x:f>
        <x:v>0.28</x:v>
      </x:c>
      <x:c r="Q209" t="n">
        <x:f>ROUND(O209*(1-P209),0)</x:f>
        <x:v>978</x:v>
      </x:c>
      <x:c r="R209" t="n">
        <x:f>ROUND(O209*P209,0)</x:f>
        <x:v>380</x:v>
      </x:c>
      <x:c r="S209" t="n">
        <x:f>ROUND(O209*IFERROR(INDEX(Assumptions!$C$9:$C$13,MATCH(F209,Assumptions!$A$9:$A$13,0)),0.55),0)</x:f>
        <x:v>679</x:v>
      </x:c>
      <x:c r="T209" t="n">
        <x:f>ROUND(O209*IFERROR(INDEX(Assumptions!$D$9:$D$13,MATCH(F209,Assumptions!$A$9:$A$13,0)),0.06),0)</x:f>
        <x:v>68</x:v>
      </x:c>
      <x:c r="U209" t="n">
        <x:f>ROUND(O209*IFERROR(INDEX(Assumptions!$E$9:$E$13,MATCH(F209,Assumptions!$A$9:$A$13,0)),0.15),0)</x:f>
        <x:v>149</x:v>
      </x:c>
      <x:c r="V209" t="n">
        <x:f>MAX(0,O209-SUM(R209:U209))</x:f>
        <x:v>82.81999999999994</x:v>
      </x:c>
      <x:c r="W209" t="n">
        <x:f>MIN(100,40+IF(O209&gt;0,20,0)+IF(M209&lt;&gt;"",20,0)+IF(AF209&lt;&gt;"",20,0))</x:f>
        <x:v>100</x:v>
      </x:c>
      <x:c r="X209" t="str">
        <x:v>Placed on exact national road host link</x:v>
      </x:c>
      <x:c r="Y209" t="str">
        <x:v>Paved</x:v>
      </x:c>
      <x:c r="Z209" t="str">
        <x:v>C</x:v>
      </x:c>
      <x:c r="AA209" t="str">
        <x:v>Not available in governed source</x:v>
      </x:c>
      <x:c r="AB209" t="str">
        <x:v>Not available in governed source</x:v>
      </x:c>
      <x:c r="AC209" t="str">
        <x:v>FY2025/26</x:v>
      </x:c>
      <x:c r="AD209" t="str">
        <x:v>Modelled</x:v>
      </x:c>
      <x:c r="AE209" t="str">
        <x:v>2026 bridge AADT rebuilt from host-link traffic history, annual collection-link history, same-road corridor history and spatial count-station influence. Vehicle-class values are assigned from functional-class shares.</x:v>
      </x:c>
      <x:c r="AF209" t="str">
        <x:v>Placed on exact national road host link</x:v>
      </x:c>
    </x:row>
    <x:row r="210" ht="15" hidden="0" customHeight="1">
      <x:c r="A210" t="str">
        <x:v>bridge-209</x:v>
      </x:c>
      <x:c r="B210" t="str">
        <x:v>B193</x:v>
      </x:c>
      <x:c r="C210" t="str">
        <x:v>Atanga Bridge</x:v>
      </x:c>
      <x:c r="D210" t="str">
        <x:v>C681_Link01</x:v>
      </x:c>
      <x:c r="E210" t="str">
        <x:v>Acholibur - Aswa</x:v>
      </x:c>
      <x:c r="F210" t="str">
        <x:v>C</x:v>
      </x:c>
      <x:c r="G210" t="str">
        <x:v>Northern</x:v>
      </x:c>
      <x:c r="H210" t="str">
        <x:v>Kitgum</x:v>
      </x:c>
      <x:c r="I210" t="str">
        <x:v>Atanga River</x:v>
      </x:c>
      <x:c r="J210" t="str">
        <x:v>Critical</x:v>
      </x:c>
      <x:c r="K210" t="n">
        <x:v>32.75542</x:v>
      </x:c>
      <x:c r="L210" t="n">
        <x:v>3.01925</x:v>
      </x:c>
      <x:c r="M210" t="n">
        <x:v>32.755656</x:v>
      </x:c>
      <x:c r="N210" t="n">
        <x:v>3.019484</x:v>
      </x:c>
      <x:c r="O210" t="n">
        <x:v>1358.82</x:v>
      </x:c>
      <x:c r="P210" t="n">
        <x:f>IFERROR(INDEX(Assumptions!$B$9:$B$13,MATCH(F210,Assumptions!$A$9:$A$13,0)),0.15)</x:f>
        <x:v>0.28</x:v>
      </x:c>
      <x:c r="Q210" t="n">
        <x:f>ROUND(O210*(1-P210),0)</x:f>
        <x:v>978</x:v>
      </x:c>
      <x:c r="R210" t="n">
        <x:f>ROUND(O210*P210,0)</x:f>
        <x:v>380</x:v>
      </x:c>
      <x:c r="S210" t="n">
        <x:f>ROUND(O210*IFERROR(INDEX(Assumptions!$C$9:$C$13,MATCH(F210,Assumptions!$A$9:$A$13,0)),0.55),0)</x:f>
        <x:v>679</x:v>
      </x:c>
      <x:c r="T210" t="n">
        <x:f>ROUND(O210*IFERROR(INDEX(Assumptions!$D$9:$D$13,MATCH(F210,Assumptions!$A$9:$A$13,0)),0.06),0)</x:f>
        <x:v>68</x:v>
      </x:c>
      <x:c r="U210" t="n">
        <x:f>ROUND(O210*IFERROR(INDEX(Assumptions!$E$9:$E$13,MATCH(F210,Assumptions!$A$9:$A$13,0)),0.15),0)</x:f>
        <x:v>149</x:v>
      </x:c>
      <x:c r="V210" t="n">
        <x:f>MAX(0,O210-SUM(R210:U210))</x:f>
        <x:v>82.81999999999994</x:v>
      </x:c>
      <x:c r="W210" t="n">
        <x:f>MIN(100,40+IF(O210&gt;0,20,0)+IF(M210&lt;&gt;"",20,0)+IF(AF210&lt;&gt;"",20,0))</x:f>
        <x:v>100</x:v>
      </x:c>
      <x:c r="X210" t="str">
        <x:v>Placed on exact national road host link</x:v>
      </x:c>
      <x:c r="Y210" t="str">
        <x:v>Paved</x:v>
      </x:c>
      <x:c r="Z210" t="str">
        <x:v>C</x:v>
      </x:c>
      <x:c r="AA210" t="str">
        <x:v>Not available in governed source</x:v>
      </x:c>
      <x:c r="AB210" t="str">
        <x:v>Not available in governed source</x:v>
      </x:c>
      <x:c r="AC210" t="str">
        <x:v>FY2025/26</x:v>
      </x:c>
      <x:c r="AD210" t="str">
        <x:v>Modelled</x:v>
      </x:c>
      <x:c r="AE210" t="str">
        <x:v>2026 bridge AADT rebuilt from host-link traffic history, annual collection-link history, same-road corridor history and spatial count-station influence. Vehicle-class values are assigned from functional-class shares.</x:v>
      </x:c>
      <x:c r="AF210" t="str">
        <x:v>Placed on exact national road host link</x:v>
      </x:c>
    </x:row>
    <x:row r="211" ht="15" hidden="0" customHeight="1">
      <x:c r="A211" t="str">
        <x:v>bridge-210</x:v>
      </x:c>
      <x:c r="B211" t="str">
        <x:v>B194</x:v>
      </x:c>
      <x:c r="C211" t="str">
        <x:v>Unyama</x:v>
      </x:c>
      <x:c r="D211" t="str">
        <x:v>C681_Link02</x:v>
      </x:c>
      <x:c r="E211" t="str">
        <x:v>Aswa - Gulu</x:v>
      </x:c>
      <x:c r="F211" t="str">
        <x:v>C</x:v>
      </x:c>
      <x:c r="G211" t="str">
        <x:v>Northern</x:v>
      </x:c>
      <x:c r="H211" t="str">
        <x:v>Gulu</x:v>
      </x:c>
      <x:c r="I211" t="str">
        <x:v>Unyama</x:v>
      </x:c>
      <x:c r="J211" t="str">
        <x:v>Satisfactory</x:v>
      </x:c>
      <x:c r="K211" t="n">
        <x:v>32.34534</x:v>
      </x:c>
      <x:c r="L211" t="n">
        <x:v>2.82153</x:v>
      </x:c>
      <x:c r="M211" t="n">
        <x:v>32.345384</x:v>
      </x:c>
      <x:c r="N211" t="n">
        <x:v>2.821144</x:v>
      </x:c>
      <x:c r="O211" t="n">
        <x:v>1834.47</x:v>
      </x:c>
      <x:c r="P211" t="n">
        <x:f>IFERROR(INDEX(Assumptions!$B$9:$B$13,MATCH(F211,Assumptions!$A$9:$A$13,0)),0.15)</x:f>
        <x:v>0.28</x:v>
      </x:c>
      <x:c r="Q211" t="n">
        <x:f>ROUND(O211*(1-P211),0)</x:f>
        <x:v>1321</x:v>
      </x:c>
      <x:c r="R211" t="n">
        <x:f>ROUND(O211*P211,0)</x:f>
        <x:v>514</x:v>
      </x:c>
      <x:c r="S211" t="n">
        <x:f>ROUND(O211*IFERROR(INDEX(Assumptions!$C$9:$C$13,MATCH(F211,Assumptions!$A$9:$A$13,0)),0.55),0)</x:f>
        <x:v>917</x:v>
      </x:c>
      <x:c r="T211" t="n">
        <x:f>ROUND(O211*IFERROR(INDEX(Assumptions!$D$9:$D$13,MATCH(F211,Assumptions!$A$9:$A$13,0)),0.06),0)</x:f>
        <x:v>92</x:v>
      </x:c>
      <x:c r="U211" t="n">
        <x:f>ROUND(O211*IFERROR(INDEX(Assumptions!$E$9:$E$13,MATCH(F211,Assumptions!$A$9:$A$13,0)),0.15),0)</x:f>
        <x:v>202</x:v>
      </x:c>
      <x:c r="V211" t="n">
        <x:f>MAX(0,O211-SUM(R211:U211))</x:f>
        <x:v>109.47000000000003</x:v>
      </x:c>
      <x:c r="W211" t="n">
        <x:f>MIN(100,40+IF(O211&gt;0,20,0)+IF(M211&lt;&gt;"",20,0)+IF(AF211&lt;&gt;"",20,0))</x:f>
        <x:v>100</x:v>
      </x:c>
      <x:c r="X211" t="str">
        <x:v>Placed on exact national road host link</x:v>
      </x:c>
      <x:c r="Y211" t="str">
        <x:v>Paved</x:v>
      </x:c>
      <x:c r="Z211" t="str">
        <x:v>C</x:v>
      </x:c>
      <x:c r="AA211" t="str">
        <x:v>Not available in governed source</x:v>
      </x:c>
      <x:c r="AB211" t="str">
        <x:v>Not available in governed source</x:v>
      </x:c>
      <x:c r="AC211" t="str">
        <x:v>FY2025/26</x:v>
      </x:c>
      <x:c r="AD211" t="str">
        <x:v>Modelled</x:v>
      </x:c>
      <x:c r="AE211" t="str">
        <x:v>2026 bridge AADT rebuilt from host-link traffic history, annual collection-link history, same-road corridor history and spatial count-station influence. Vehicle-class values are assigned from functional-class shares.</x:v>
      </x:c>
      <x:c r="AF211" t="str">
        <x:v>Placed on exact national road host link</x:v>
      </x:c>
    </x:row>
    <x:row r="212" ht="15" hidden="0" customHeight="1">
      <x:c r="A212" t="str">
        <x:v>bridge-211</x:v>
      </x:c>
      <x:c r="B212" t="str">
        <x:v>B195</x:v>
      </x:c>
      <x:c r="C212" t="str">
        <x:v>ASWA BRIDGE</x:v>
      </x:c>
      <x:c r="D212" t="str">
        <x:v>C681_Link02</x:v>
      </x:c>
      <x:c r="E212" t="str">
        <x:v>Aswa - Gulu</x:v>
      </x:c>
      <x:c r="F212" t="str">
        <x:v>C</x:v>
      </x:c>
      <x:c r="G212" t="str">
        <x:v>Northern</x:v>
      </x:c>
      <x:c r="H212" t="str">
        <x:v>Gulu</x:v>
      </x:c>
      <x:c r="I212" t="str">
        <x:v>ASWA RIVER</x:v>
      </x:c>
      <x:c r="J212" t="str">
        <x:v>Good</x:v>
      </x:c>
      <x:c r="K212" t="n">
        <x:v>32.581944</x:v>
      </x:c>
      <x:c r="L212" t="n">
        <x:v>2.957123</x:v>
      </x:c>
      <x:c r="M212" t="n">
        <x:v>32.581385</x:v>
      </x:c>
      <x:c r="N212" t="n">
        <x:v>2.9585</x:v>
      </x:c>
      <x:c r="O212" t="n">
        <x:v>1834.47</x:v>
      </x:c>
      <x:c r="P212" t="n">
        <x:f>IFERROR(INDEX(Assumptions!$B$9:$B$13,MATCH(F212,Assumptions!$A$9:$A$13,0)),0.15)</x:f>
        <x:v>0.28</x:v>
      </x:c>
      <x:c r="Q212" t="n">
        <x:f>ROUND(O212*(1-P212),0)</x:f>
        <x:v>1321</x:v>
      </x:c>
      <x:c r="R212" t="n">
        <x:f>ROUND(O212*P212,0)</x:f>
        <x:v>514</x:v>
      </x:c>
      <x:c r="S212" t="n">
        <x:f>ROUND(O212*IFERROR(INDEX(Assumptions!$C$9:$C$13,MATCH(F212,Assumptions!$A$9:$A$13,0)),0.55),0)</x:f>
        <x:v>917</x:v>
      </x:c>
      <x:c r="T212" t="n">
        <x:f>ROUND(O212*IFERROR(INDEX(Assumptions!$D$9:$D$13,MATCH(F212,Assumptions!$A$9:$A$13,0)),0.06),0)</x:f>
        <x:v>92</x:v>
      </x:c>
      <x:c r="U212" t="n">
        <x:f>ROUND(O212*IFERROR(INDEX(Assumptions!$E$9:$E$13,MATCH(F212,Assumptions!$A$9:$A$13,0)),0.15),0)</x:f>
        <x:v>202</x:v>
      </x:c>
      <x:c r="V212" t="n">
        <x:f>MAX(0,O212-SUM(R212:U212))</x:f>
        <x:v>109.47000000000003</x:v>
      </x:c>
      <x:c r="W212" t="n">
        <x:f>MIN(100,40+IF(O212&gt;0,20,0)+IF(M212&lt;&gt;"",20,0)+IF(AF212&lt;&gt;"",20,0))</x:f>
        <x:v>100</x:v>
      </x:c>
      <x:c r="X212" t="str">
        <x:v>Placed on exact national road host link</x:v>
      </x:c>
      <x:c r="Y212" t="str">
        <x:v>Paved</x:v>
      </x:c>
      <x:c r="Z212" t="str">
        <x:v>C</x:v>
      </x:c>
      <x:c r="AA212" t="str">
        <x:v>Not available in governed source</x:v>
      </x:c>
      <x:c r="AB212" t="str">
        <x:v>Not available in governed source</x:v>
      </x:c>
      <x:c r="AC212" t="str">
        <x:v>FY2025/26</x:v>
      </x:c>
      <x:c r="AD212" t="str">
        <x:v>Modelled</x:v>
      </x:c>
      <x:c r="AE212" t="str">
        <x:v>2026 bridge AADT rebuilt from host-link traffic history, annual collection-link history, same-road corridor history and spatial count-station influence. Vehicle-class values are assigned from functional-class shares.</x:v>
      </x:c>
      <x:c r="AF212" t="str">
        <x:v>Placed on exact national road host link</x:v>
      </x:c>
    </x:row>
    <x:row r="213" ht="15" hidden="0" customHeight="1">
      <x:c r="A213" t="str">
        <x:v>bridge-212</x:v>
      </x:c>
      <x:c r="B213" t="str">
        <x:v>B196</x:v>
      </x:c>
      <x:c r="C213" t="str">
        <x:v>UNYAMA BRIDGE</x:v>
      </x:c>
      <x:c r="D213" t="str">
        <x:v>C682_Link01</x:v>
      </x:c>
      <x:c r="E213" t="str">
        <x:v>Gulu - Logere - Adee</x:v>
      </x:c>
      <x:c r="F213" t="str">
        <x:v>C</x:v>
      </x:c>
      <x:c r="G213" t="str">
        <x:v>Northern</x:v>
      </x:c>
      <x:c r="H213" t="str">
        <x:v>Gulu</x:v>
      </x:c>
      <x:c r="I213" t="str">
        <x:v>UNYAMA RIVER</x:v>
      </x:c>
      <x:c r="J213" t="str">
        <x:v>Marginal</x:v>
      </x:c>
      <x:c r="K213" t="n">
        <x:v>32.288567</x:v>
      </x:c>
      <x:c r="L213" t="n">
        <x:v>2.955103</x:v>
      </x:c>
      <x:c r="M213" t="n">
        <x:v>32.289533</x:v>
      </x:c>
      <x:c r="N213" t="n">
        <x:v>2.955283</x:v>
      </x:c>
      <x:c r="O213" t="n">
        <x:v>1651.62</x:v>
      </x:c>
      <x:c r="P213" t="n">
        <x:f>IFERROR(INDEX(Assumptions!$B$9:$B$13,MATCH(F213,Assumptions!$A$9:$A$13,0)),0.15)</x:f>
        <x:v>0.28</x:v>
      </x:c>
      <x:c r="Q213" t="n">
        <x:f>ROUND(O213*(1-P213),0)</x:f>
        <x:v>1189</x:v>
      </x:c>
      <x:c r="R213" t="n">
        <x:f>ROUND(O213*P213,0)</x:f>
        <x:v>462</x:v>
      </x:c>
      <x:c r="S213" t="n">
        <x:f>ROUND(O213*IFERROR(INDEX(Assumptions!$C$9:$C$13,MATCH(F213,Assumptions!$A$9:$A$13,0)),0.55),0)</x:f>
        <x:v>826</x:v>
      </x:c>
      <x:c r="T213" t="n">
        <x:f>ROUND(O213*IFERROR(INDEX(Assumptions!$D$9:$D$13,MATCH(F213,Assumptions!$A$9:$A$13,0)),0.06),0)</x:f>
        <x:v>83</x:v>
      </x:c>
      <x:c r="U213" t="n">
        <x:f>ROUND(O213*IFERROR(INDEX(Assumptions!$E$9:$E$13,MATCH(F213,Assumptions!$A$9:$A$13,0)),0.15),0)</x:f>
        <x:v>182</x:v>
      </x:c>
      <x:c r="V213" t="n">
        <x:f>MAX(0,O213-SUM(R213:U213))</x:f>
        <x:v>98.61999999999989</x:v>
      </x:c>
      <x:c r="W213" t="n">
        <x:f>MIN(100,40+IF(O213&gt;0,20,0)+IF(M213&lt;&gt;"",20,0)+IF(AF213&lt;&gt;"",20,0))</x:f>
        <x:v>100</x:v>
      </x:c>
      <x:c r="X213" t="str">
        <x:v>Placed on exact national road host link</x:v>
      </x:c>
      <x:c r="Y213" t="str">
        <x:v>Unpaved</x:v>
      </x:c>
      <x:c r="Z213" t="str">
        <x:v>C</x:v>
      </x:c>
      <x:c r="AA213" t="str">
        <x:v>Not available in governed source</x:v>
      </x:c>
      <x:c r="AB213" t="str">
        <x:v>Not available in governed source</x:v>
      </x:c>
      <x:c r="AC213" t="str">
        <x:v>FY2025/26</x:v>
      </x:c>
      <x:c r="AD213" t="str">
        <x:v>Modelled</x:v>
      </x:c>
      <x:c r="AE213" t="str">
        <x:v>2026 bridge AADT rebuilt from host-link traffic history, annual collection-link history, same-road corridor history and spatial count-station influence. Vehicle-class values are assigned from functional-class shares.</x:v>
      </x:c>
      <x:c r="AF213" t="str">
        <x:v>Placed on exact national road host link</x:v>
      </x:c>
    </x:row>
    <x:row r="214" ht="15" hidden="0" customHeight="1">
      <x:c r="A214" t="str">
        <x:v>bridge-213</x:v>
      </x:c>
      <x:c r="B214" t="str">
        <x:v>B197</x:v>
      </x:c>
      <x:c r="C214" t="str">
        <x:v>Nyarwotho</x:v>
      </x:c>
      <x:c r="D214" t="str">
        <x:v>C745_Link01</x:v>
      </x:c>
      <x:c r="E214" t="str">
        <x:v>Nebbi - Goli</x:v>
      </x:c>
      <x:c r="F214" t="str">
        <x:v>C</x:v>
      </x:c>
      <x:c r="G214" t="str">
        <x:v>Northern</x:v>
      </x:c>
      <x:c r="H214" t="str">
        <x:v>Arua</x:v>
      </x:c>
      <x:c r="I214" t="str">
        <x:v>River Nyarwodho</x:v>
      </x:c>
      <x:c r="J214" t="str">
        <x:v>Good</x:v>
      </x:c>
      <x:c r="K214" t="n">
        <x:v>31.029881</x:v>
      </x:c>
      <x:c r="L214" t="n">
        <x:v>2.37718</x:v>
      </x:c>
      <x:c r="M214" t="n">
        <x:v>31.030242</x:v>
      </x:c>
      <x:c r="N214" t="n">
        <x:v>2.378095</x:v>
      </x:c>
      <x:c r="O214" t="n">
        <x:v>1411.4</x:v>
      </x:c>
      <x:c r="P214" t="n">
        <x:f>IFERROR(INDEX(Assumptions!$B$9:$B$13,MATCH(F214,Assumptions!$A$9:$A$13,0)),0.15)</x:f>
        <x:v>0.28</x:v>
      </x:c>
      <x:c r="Q214" t="n">
        <x:f>ROUND(O214*(1-P214),0)</x:f>
        <x:v>1016</x:v>
      </x:c>
      <x:c r="R214" t="n">
        <x:f>ROUND(O214*P214,0)</x:f>
        <x:v>395</x:v>
      </x:c>
      <x:c r="S214" t="n">
        <x:f>ROUND(O214*IFERROR(INDEX(Assumptions!$C$9:$C$13,MATCH(F214,Assumptions!$A$9:$A$13,0)),0.55),0)</x:f>
        <x:v>706</x:v>
      </x:c>
      <x:c r="T214" t="n">
        <x:f>ROUND(O214*IFERROR(INDEX(Assumptions!$D$9:$D$13,MATCH(F214,Assumptions!$A$9:$A$13,0)),0.06),0)</x:f>
        <x:v>71</x:v>
      </x:c>
      <x:c r="U214" t="n">
        <x:f>ROUND(O214*IFERROR(INDEX(Assumptions!$E$9:$E$13,MATCH(F214,Assumptions!$A$9:$A$13,0)),0.15),0)</x:f>
        <x:v>155</x:v>
      </x:c>
      <x:c r="V214" t="n">
        <x:f>MAX(0,O214-SUM(R214:U214))</x:f>
        <x:v>84.40000000000009</x:v>
      </x:c>
      <x:c r="W214" t="n">
        <x:f>MIN(100,40+IF(O214&gt;0,20,0)+IF(M214&lt;&gt;"",20,0)+IF(AF214&lt;&gt;"",20,0))</x:f>
        <x:v>100</x:v>
      </x:c>
      <x:c r="X214" t="str">
        <x:v>Placed on exact national road host link</x:v>
      </x:c>
      <x:c r="Y214" t="str">
        <x:v>Unpaved</x:v>
      </x:c>
      <x:c r="Z214" t="str">
        <x:v>C</x:v>
      </x:c>
      <x:c r="AA214" t="str">
        <x:v>Not available in governed source</x:v>
      </x:c>
      <x:c r="AB214" t="str">
        <x:v>Not available in governed source</x:v>
      </x:c>
      <x:c r="AC214" t="str">
        <x:v>FY2025/26</x:v>
      </x:c>
      <x:c r="AD214" t="str">
        <x:v>Modelled</x:v>
      </x:c>
      <x:c r="AE214" t="str">
        <x:v>2026 bridge AADT rebuilt from host-link traffic history, annual collection-link history, same-road corridor history and spatial count-station influence. Vehicle-class values are assigned from functional-class shares.</x:v>
      </x:c>
      <x:c r="AF214" t="str">
        <x:v>Placed on exact national road host link</x:v>
      </x:c>
    </x:row>
    <x:row r="215" ht="15" hidden="0" customHeight="1">
      <x:c r="A215" t="str">
        <x:v>bridge-214</x:v>
      </x:c>
      <x:c r="B215" t="str">
        <x:v>B198</x:v>
      </x:c>
      <x:c r="C215" t="str">
        <x:v>UNYAMA BRIDGE</x:v>
      </x:c>
      <x:c r="D215" t="str">
        <x:v>C700_Link01</x:v>
      </x:c>
      <x:c r="E215" t="str">
        <x:v>Atiak-Palabek</x:v>
      </x:c>
      <x:c r="F215" t="str">
        <x:v>C</x:v>
      </x:c>
      <x:c r="G215" t="str">
        <x:v>Northern</x:v>
      </x:c>
      <x:c r="H215" t="str">
        <x:v>Kitgum</x:v>
      </x:c>
      <x:c r="I215" t="str">
        <x:v>UNYAMA RIVER</x:v>
      </x:c>
      <x:c r="J215" t="str">
        <x:v>Good</x:v>
      </x:c>
      <x:c r="K215" t="n">
        <x:v>32.20805</x:v>
      </x:c>
      <x:c r="L215" t="n">
        <x:v>3.266038</x:v>
      </x:c>
      <x:c r="M215" t="n">
        <x:v>32.206822</x:v>
      </x:c>
      <x:c r="N215" t="n">
        <x:v>3.265451</x:v>
      </x:c>
      <x:c r="O215" t="n">
        <x:v>901.1</x:v>
      </x:c>
      <x:c r="P215" t="n">
        <x:f>IFERROR(INDEX(Assumptions!$B$9:$B$13,MATCH(F215,Assumptions!$A$9:$A$13,0)),0.15)</x:f>
        <x:v>0.28</x:v>
      </x:c>
      <x:c r="Q215" t="n">
        <x:f>ROUND(O215*(1-P215),0)</x:f>
        <x:v>649</x:v>
      </x:c>
      <x:c r="R215" t="n">
        <x:f>ROUND(O215*P215,0)</x:f>
        <x:v>252</x:v>
      </x:c>
      <x:c r="S215" t="n">
        <x:f>ROUND(O215*IFERROR(INDEX(Assumptions!$C$9:$C$13,MATCH(F215,Assumptions!$A$9:$A$13,0)),0.55),0)</x:f>
        <x:v>451</x:v>
      </x:c>
      <x:c r="T215" t="n">
        <x:f>ROUND(O215*IFERROR(INDEX(Assumptions!$D$9:$D$13,MATCH(F215,Assumptions!$A$9:$A$13,0)),0.06),0)</x:f>
        <x:v>45</x:v>
      </x:c>
      <x:c r="U215" t="n">
        <x:f>ROUND(O215*IFERROR(INDEX(Assumptions!$E$9:$E$13,MATCH(F215,Assumptions!$A$9:$A$13,0)),0.15),0)</x:f>
        <x:v>99</x:v>
      </x:c>
      <x:c r="V215" t="n">
        <x:f>MAX(0,O215-SUM(R215:U215))</x:f>
        <x:v>54.10000000000002</x:v>
      </x:c>
      <x:c r="W215" t="n">
        <x:f>MIN(100,40+IF(O215&gt;0,20,0)+IF(M215&lt;&gt;"",20,0)+IF(AF215&lt;&gt;"",20,0))</x:f>
        <x:v>100</x:v>
      </x:c>
      <x:c r="X215" t="str">
        <x:v>Placed on exact national road host link</x:v>
      </x:c>
      <x:c r="Y215" t="str">
        <x:v>Unpaved</x:v>
      </x:c>
      <x:c r="Z215" t="str">
        <x:v>C</x:v>
      </x:c>
      <x:c r="AA215" t="str">
        <x:v>Not available in governed source</x:v>
      </x:c>
      <x:c r="AB215" t="str">
        <x:v>Not available in governed source</x:v>
      </x:c>
      <x:c r="AC215" t="str">
        <x:v>FY2025/26</x:v>
      </x:c>
      <x:c r="AD215" t="str">
        <x:v>Modelled</x:v>
      </x:c>
      <x:c r="AE215" t="str">
        <x:v>2026 bridge AADT rebuilt from host-link traffic history, annual collection-link history, same-road corridor history and spatial count-station influence. Vehicle-class values are assigned from functional-class shares.</x:v>
      </x:c>
      <x:c r="AF215" t="str">
        <x:v>Placed on exact national road host link</x:v>
      </x:c>
    </x:row>
    <x:row r="216" ht="15" hidden="0" customHeight="1">
      <x:c r="A216" t="str">
        <x:v>bridge-215</x:v>
      </x:c>
      <x:c r="B216" t="str">
        <x:v>B199</x:v>
      </x:c>
      <x:c r="C216" t="str">
        <x:v>ASWA BRIDGE</x:v>
      </x:c>
      <x:c r="D216" t="str">
        <x:v>C700_Link01</x:v>
      </x:c>
      <x:c r="E216" t="str">
        <x:v>Atiak-Palabek</x:v>
      </x:c>
      <x:c r="F216" t="str">
        <x:v>C</x:v>
      </x:c>
      <x:c r="G216" t="str">
        <x:v>Northern</x:v>
      </x:c>
      <x:c r="H216" t="str">
        <x:v>Kitgum</x:v>
      </x:c>
      <x:c r="I216" t="str">
        <x:v>ASWA RIVER</x:v>
      </x:c>
      <x:c r="J216" t="str">
        <x:v>Good</x:v>
      </x:c>
      <x:c r="K216" t="n">
        <x:v>32.36237</x:v>
      </x:c>
      <x:c r="L216" t="n">
        <x:v>3.299143</x:v>
      </x:c>
      <x:c r="M216" t="n">
        <x:v>32.361863</x:v>
      </x:c>
      <x:c r="N216" t="n">
        <x:v>3.298129</x:v>
      </x:c>
      <x:c r="O216" t="n">
        <x:v>901.1</x:v>
      </x:c>
      <x:c r="P216" t="n">
        <x:f>IFERROR(INDEX(Assumptions!$B$9:$B$13,MATCH(F216,Assumptions!$A$9:$A$13,0)),0.15)</x:f>
        <x:v>0.28</x:v>
      </x:c>
      <x:c r="Q216" t="n">
        <x:f>ROUND(O216*(1-P216),0)</x:f>
        <x:v>649</x:v>
      </x:c>
      <x:c r="R216" t="n">
        <x:f>ROUND(O216*P216,0)</x:f>
        <x:v>252</x:v>
      </x:c>
      <x:c r="S216" t="n">
        <x:f>ROUND(O216*IFERROR(INDEX(Assumptions!$C$9:$C$13,MATCH(F216,Assumptions!$A$9:$A$13,0)),0.55),0)</x:f>
        <x:v>451</x:v>
      </x:c>
      <x:c r="T216" t="n">
        <x:f>ROUND(O216*IFERROR(INDEX(Assumptions!$D$9:$D$13,MATCH(F216,Assumptions!$A$9:$A$13,0)),0.06),0)</x:f>
        <x:v>45</x:v>
      </x:c>
      <x:c r="U216" t="n">
        <x:f>ROUND(O216*IFERROR(INDEX(Assumptions!$E$9:$E$13,MATCH(F216,Assumptions!$A$9:$A$13,0)),0.15),0)</x:f>
        <x:v>99</x:v>
      </x:c>
      <x:c r="V216" t="n">
        <x:f>MAX(0,O216-SUM(R216:U216))</x:f>
        <x:v>54.10000000000002</x:v>
      </x:c>
      <x:c r="W216" t="n">
        <x:f>MIN(100,40+IF(O216&gt;0,20,0)+IF(M216&lt;&gt;"",20,0)+IF(AF216&lt;&gt;"",20,0))</x:f>
        <x:v>100</x:v>
      </x:c>
      <x:c r="X216" t="str">
        <x:v>Placed on exact national road host link</x:v>
      </x:c>
      <x:c r="Y216" t="str">
        <x:v>Unpaved</x:v>
      </x:c>
      <x:c r="Z216" t="str">
        <x:v>C</x:v>
      </x:c>
      <x:c r="AA216" t="str">
        <x:v>Not available in governed source</x:v>
      </x:c>
      <x:c r="AB216" t="str">
        <x:v>Not available in governed source</x:v>
      </x:c>
      <x:c r="AC216" t="str">
        <x:v>FY2025/26</x:v>
      </x:c>
      <x:c r="AD216" t="str">
        <x:v>Modelled</x:v>
      </x:c>
      <x:c r="AE216" t="str">
        <x:v>2026 bridge AADT rebuilt from host-link traffic history, annual collection-link history, same-road corridor history and spatial count-station influence. Vehicle-class values are assigned from functional-class shares.</x:v>
      </x:c>
      <x:c r="AF216" t="str">
        <x:v>Placed on exact national road host link</x:v>
      </x:c>
    </x:row>
    <x:row r="217" ht="15" hidden="0" customHeight="1">
      <x:c r="A217" t="str">
        <x:v>bridge-216</x:v>
      </x:c>
      <x:c r="B217" t="str">
        <x:v>B200</x:v>
      </x:c>
      <x:c r="C217" t="str">
        <x:v>AWICH BRIDGE</x:v>
      </x:c>
      <x:c r="D217" t="str">
        <x:v>C700_Link01</x:v>
      </x:c>
      <x:c r="E217" t="str">
        <x:v>Atiak-Palabek</x:v>
      </x:c>
      <x:c r="F217" t="str">
        <x:v>C</x:v>
      </x:c>
      <x:c r="G217" t="str">
        <x:v>Northern</x:v>
      </x:c>
      <x:c r="H217" t="str">
        <x:v>Kitgum</x:v>
      </x:c>
      <x:c r="I217" t="str">
        <x:v>AWICH RIVER</x:v>
      </x:c>
      <x:c r="J217" t="str">
        <x:v>Marginal</x:v>
      </x:c>
      <x:c r="K217" t="n">
        <x:v>32.413349</x:v>
      </x:c>
      <x:c r="L217" t="n">
        <x:v>3.369424</x:v>
      </x:c>
      <x:c r="M217" t="n">
        <x:v>32.412506</x:v>
      </x:c>
      <x:c r="N217" t="n">
        <x:v>3.368149</x:v>
      </x:c>
      <x:c r="O217" t="n">
        <x:v>901.1</x:v>
      </x:c>
      <x:c r="P217" t="n">
        <x:f>IFERROR(INDEX(Assumptions!$B$9:$B$13,MATCH(F217,Assumptions!$A$9:$A$13,0)),0.15)</x:f>
        <x:v>0.28</x:v>
      </x:c>
      <x:c r="Q217" t="n">
        <x:f>ROUND(O217*(1-P217),0)</x:f>
        <x:v>649</x:v>
      </x:c>
      <x:c r="R217" t="n">
        <x:f>ROUND(O217*P217,0)</x:f>
        <x:v>252</x:v>
      </x:c>
      <x:c r="S217" t="n">
        <x:f>ROUND(O217*IFERROR(INDEX(Assumptions!$C$9:$C$13,MATCH(F217,Assumptions!$A$9:$A$13,0)),0.55),0)</x:f>
        <x:v>451</x:v>
      </x:c>
      <x:c r="T217" t="n">
        <x:f>ROUND(O217*IFERROR(INDEX(Assumptions!$D$9:$D$13,MATCH(F217,Assumptions!$A$9:$A$13,0)),0.06),0)</x:f>
        <x:v>45</x:v>
      </x:c>
      <x:c r="U217" t="n">
        <x:f>ROUND(O217*IFERROR(INDEX(Assumptions!$E$9:$E$13,MATCH(F217,Assumptions!$A$9:$A$13,0)),0.15),0)</x:f>
        <x:v>99</x:v>
      </x:c>
      <x:c r="V217" t="n">
        <x:f>MAX(0,O217-SUM(R217:U217))</x:f>
        <x:v>54.10000000000002</x:v>
      </x:c>
      <x:c r="W217" t="n">
        <x:f>MIN(100,40+IF(O217&gt;0,20,0)+IF(M217&lt;&gt;"",20,0)+IF(AF217&lt;&gt;"",20,0))</x:f>
        <x:v>100</x:v>
      </x:c>
      <x:c r="X217" t="str">
        <x:v>Placed on exact national road host link</x:v>
      </x:c>
      <x:c r="Y217" t="str">
        <x:v>Unpaved</x:v>
      </x:c>
      <x:c r="Z217" t="str">
        <x:v>C</x:v>
      </x:c>
      <x:c r="AA217" t="str">
        <x:v>Not available in governed source</x:v>
      </x:c>
      <x:c r="AB217" t="str">
        <x:v>Not available in governed source</x:v>
      </x:c>
      <x:c r="AC217" t="str">
        <x:v>FY2025/26</x:v>
      </x:c>
      <x:c r="AD217" t="str">
        <x:v>Modelled</x:v>
      </x:c>
      <x:c r="AE217" t="str">
        <x:v>2026 bridge AADT rebuilt from host-link traffic history, annual collection-link history, same-road corridor history and spatial count-station influence. Vehicle-class values are assigned from functional-class shares.</x:v>
      </x:c>
      <x:c r="AF217" t="str">
        <x:v>Placed on exact national road host link</x:v>
      </x:c>
    </x:row>
    <x:row r="218" ht="15" hidden="0" customHeight="1">
      <x:c r="A218" t="str">
        <x:v>bridge-217</x:v>
      </x:c>
      <x:c r="B218" t="str">
        <x:v>B201</x:v>
      </x:c>
      <x:c r="C218" t="str">
        <x:v>BURKUNG</x:v>
      </x:c>
      <x:c r="D218" t="str">
        <x:v>C700_Link01</x:v>
      </x:c>
      <x:c r="E218" t="str">
        <x:v>Atiak-Palabek</x:v>
      </x:c>
      <x:c r="F218" t="str">
        <x:v>C</x:v>
      </x:c>
      <x:c r="G218" t="str">
        <x:v>Northern</x:v>
      </x:c>
      <x:c r="H218" t="str">
        <x:v>Kitgum</x:v>
      </x:c>
      <x:c r="I218" t="str">
        <x:v>BURKUNG</x:v>
      </x:c>
      <x:c r="J218" t="str">
        <x:v>Marginal</x:v>
      </x:c>
      <x:c r="K218" t="n">
        <x:v>32.52346</x:v>
      </x:c>
      <x:c r="L218" t="n">
        <x:v>3.43055</x:v>
      </x:c>
      <x:c r="M218" t="n">
        <x:v>32.521686</x:v>
      </x:c>
      <x:c r="N218" t="n">
        <x:v>3.425431</x:v>
      </x:c>
      <x:c r="O218" t="n">
        <x:v>901.1</x:v>
      </x:c>
      <x:c r="P218" t="n">
        <x:f>IFERROR(INDEX(Assumptions!$B$9:$B$13,MATCH(F218,Assumptions!$A$9:$A$13,0)),0.15)</x:f>
        <x:v>0.28</x:v>
      </x:c>
      <x:c r="Q218" t="n">
        <x:f>ROUND(O218*(1-P218),0)</x:f>
        <x:v>649</x:v>
      </x:c>
      <x:c r="R218" t="n">
        <x:f>ROUND(O218*P218,0)</x:f>
        <x:v>252</x:v>
      </x:c>
      <x:c r="S218" t="n">
        <x:f>ROUND(O218*IFERROR(INDEX(Assumptions!$C$9:$C$13,MATCH(F218,Assumptions!$A$9:$A$13,0)),0.55),0)</x:f>
        <x:v>451</x:v>
      </x:c>
      <x:c r="T218" t="n">
        <x:f>ROUND(O218*IFERROR(INDEX(Assumptions!$D$9:$D$13,MATCH(F218,Assumptions!$A$9:$A$13,0)),0.06),0)</x:f>
        <x:v>45</x:v>
      </x:c>
      <x:c r="U218" t="n">
        <x:f>ROUND(O218*IFERROR(INDEX(Assumptions!$E$9:$E$13,MATCH(F218,Assumptions!$A$9:$A$13,0)),0.15),0)</x:f>
        <x:v>99</x:v>
      </x:c>
      <x:c r="V218" t="n">
        <x:f>MAX(0,O218-SUM(R218:U218))</x:f>
        <x:v>54.10000000000002</x:v>
      </x:c>
      <x:c r="W218" t="n">
        <x:f>MIN(100,40+IF(O218&gt;0,20,0)+IF(M218&lt;&gt;"",20,0)+IF(AF218&lt;&gt;"",20,0))</x:f>
        <x:v>100</x:v>
      </x:c>
      <x:c r="X218" t="str">
        <x:v>Placed on exact national road host link</x:v>
      </x:c>
      <x:c r="Y218" t="str">
        <x:v>Unpaved</x:v>
      </x:c>
      <x:c r="Z218" t="str">
        <x:v>C</x:v>
      </x:c>
      <x:c r="AA218" t="str">
        <x:v>Not available in governed source</x:v>
      </x:c>
      <x:c r="AB218" t="str">
        <x:v>Not available in governed source</x:v>
      </x:c>
      <x:c r="AC218" t="str">
        <x:v>FY2025/26</x:v>
      </x:c>
      <x:c r="AD218" t="str">
        <x:v>Modelled</x:v>
      </x:c>
      <x:c r="AE218" t="str">
        <x:v>2026 bridge AADT rebuilt from host-link traffic history, annual collection-link history, same-road corridor history and spatial count-station influence. Vehicle-class values are assigned from functional-class shares.</x:v>
      </x:c>
      <x:c r="AF218" t="str">
        <x:v>Placed on exact national road host link</x:v>
      </x:c>
    </x:row>
    <x:row r="219" ht="15" hidden="0" customHeight="1">
      <x:c r="A219" t="str">
        <x:v>bridge-218</x:v>
      </x:c>
      <x:c r="B219" t="str">
        <x:v>B202</x:v>
      </x:c>
      <x:c r="C219" t="str">
        <x:v>LAGWEL BRIDGE</x:v>
      </x:c>
      <x:c r="D219" t="str">
        <x:v>C701_Link01</x:v>
      </x:c>
      <x:c r="E219" t="str">
        <x:v>Kitgum-Lukung-Ngomoromo</x:v>
      </x:c>
      <x:c r="F219" t="str">
        <x:v>C</x:v>
      </x:c>
      <x:c r="G219" t="str">
        <x:v>Northern</x:v>
      </x:c>
      <x:c r="H219" t="str">
        <x:v>Kitgum</x:v>
      </x:c>
      <x:c r="I219" t="str">
        <x:v>LAGWEL STREAM</x:v>
      </x:c>
      <x:c r="J219" t="str">
        <x:v>Satisfactory</x:v>
      </x:c>
      <x:c r="K219" t="n">
        <x:v>32.853283</x:v>
      </x:c>
      <x:c r="L219" t="n">
        <x:v>3.441197</x:v>
      </x:c>
      <x:c r="M219" t="n">
        <x:v>32.854161</x:v>
      </x:c>
      <x:c r="N219" t="n">
        <x:v>3.438764</x:v>
      </x:c>
      <x:c r="O219" t="n">
        <x:v>365.7</x:v>
      </x:c>
      <x:c r="P219" t="n">
        <x:f>IFERROR(INDEX(Assumptions!$B$9:$B$13,MATCH(F219,Assumptions!$A$9:$A$13,0)),0.15)</x:f>
        <x:v>0.28</x:v>
      </x:c>
      <x:c r="Q219" t="n">
        <x:f>ROUND(O219*(1-P219),0)</x:f>
        <x:v>263</x:v>
      </x:c>
      <x:c r="R219" t="n">
        <x:f>ROUND(O219*P219,0)</x:f>
        <x:v>102</x:v>
      </x:c>
      <x:c r="S219" t="n">
        <x:f>ROUND(O219*IFERROR(INDEX(Assumptions!$C$9:$C$13,MATCH(F219,Assumptions!$A$9:$A$13,0)),0.55),0)</x:f>
        <x:v>183</x:v>
      </x:c>
      <x:c r="T219" t="n">
        <x:f>ROUND(O219*IFERROR(INDEX(Assumptions!$D$9:$D$13,MATCH(F219,Assumptions!$A$9:$A$13,0)),0.06),0)</x:f>
        <x:v>18</x:v>
      </x:c>
      <x:c r="U219" t="n">
        <x:f>ROUND(O219*IFERROR(INDEX(Assumptions!$E$9:$E$13,MATCH(F219,Assumptions!$A$9:$A$13,0)),0.15),0)</x:f>
        <x:v>40</x:v>
      </x:c>
      <x:c r="V219" t="n">
        <x:f>MAX(0,O219-SUM(R219:U219))</x:f>
        <x:v>22.69999999999999</x:v>
      </x:c>
      <x:c r="W219" t="n">
        <x:f>MIN(100,40+IF(O219&gt;0,20,0)+IF(M219&lt;&gt;"",20,0)+IF(AF219&lt;&gt;"",20,0))</x:f>
        <x:v>100</x:v>
      </x:c>
      <x:c r="X219" t="str">
        <x:v>Placed on exact national road host link</x:v>
      </x:c>
      <x:c r="Y219" t="str">
        <x:v>Unpaved</x:v>
      </x:c>
      <x:c r="Z219" t="str">
        <x:v>C</x:v>
      </x:c>
      <x:c r="AA219" t="str">
        <x:v>Not available in governed source</x:v>
      </x:c>
      <x:c r="AB219" t="str">
        <x:v>Not available in governed source</x:v>
      </x:c>
      <x:c r="AC219" t="str">
        <x:v>FY2025/26</x:v>
      </x:c>
      <x:c r="AD219" t="str">
        <x:v>Modelled</x:v>
      </x:c>
      <x:c r="AE219" t="str">
        <x:v>2026 bridge AADT rebuilt from host-link traffic history, annual collection-link history, same-road corridor history and spatial count-station influence. Vehicle-class values are assigned from functional-class shares.</x:v>
      </x:c>
      <x:c r="AF219" t="str">
        <x:v>Placed on exact national road host link</x:v>
      </x:c>
    </x:row>
    <x:row r="220" ht="15" hidden="0" customHeight="1">
      <x:c r="A220" t="str">
        <x:v>bridge-219</x:v>
      </x:c>
      <x:c r="B220" t="str">
        <x:v>B203</x:v>
      </x:c>
      <x:c r="C220" t="str">
        <x:v>LIMU BRIDGE</x:v>
      </x:c>
      <x:c r="D220" t="str">
        <x:v>C701_Link01</x:v>
      </x:c>
      <x:c r="E220" t="str">
        <x:v>Kitgum-Lukung-Ngomoromo</x:v>
      </x:c>
      <x:c r="F220" t="str">
        <x:v>C</x:v>
      </x:c>
      <x:c r="G220" t="str">
        <x:v>Northern</x:v>
      </x:c>
      <x:c r="H220" t="str">
        <x:v>Kitgum</x:v>
      </x:c>
      <x:c r="I220" t="str">
        <x:v>LIMU RIVER</x:v>
      </x:c>
      <x:c r="J220" t="str">
        <x:v>Poor</x:v>
      </x:c>
      <x:c r="K220" t="n">
        <x:v>32.591454</x:v>
      </x:c>
      <x:c r="L220" t="n">
        <x:v>3.668679</x:v>
      </x:c>
      <x:c r="M220" t="n">
        <x:v>32.599589</x:v>
      </x:c>
      <x:c r="N220" t="n">
        <x:v>3.66216</x:v>
      </x:c>
      <x:c r="O220" t="n">
        <x:v>365.7</x:v>
      </x:c>
      <x:c r="P220" t="n">
        <x:f>IFERROR(INDEX(Assumptions!$B$9:$B$13,MATCH(F220,Assumptions!$A$9:$A$13,0)),0.15)</x:f>
        <x:v>0.28</x:v>
      </x:c>
      <x:c r="Q220" t="n">
        <x:f>ROUND(O220*(1-P220),0)</x:f>
        <x:v>263</x:v>
      </x:c>
      <x:c r="R220" t="n">
        <x:f>ROUND(O220*P220,0)</x:f>
        <x:v>102</x:v>
      </x:c>
      <x:c r="S220" t="n">
        <x:f>ROUND(O220*IFERROR(INDEX(Assumptions!$C$9:$C$13,MATCH(F220,Assumptions!$A$9:$A$13,0)),0.55),0)</x:f>
        <x:v>183</x:v>
      </x:c>
      <x:c r="T220" t="n">
        <x:f>ROUND(O220*IFERROR(INDEX(Assumptions!$D$9:$D$13,MATCH(F220,Assumptions!$A$9:$A$13,0)),0.06),0)</x:f>
        <x:v>18</x:v>
      </x:c>
      <x:c r="U220" t="n">
        <x:f>ROUND(O220*IFERROR(INDEX(Assumptions!$E$9:$E$13,MATCH(F220,Assumptions!$A$9:$A$13,0)),0.15),0)</x:f>
        <x:v>40</x:v>
      </x:c>
      <x:c r="V220" t="n">
        <x:f>MAX(0,O220-SUM(R220:U220))</x:f>
        <x:v>22.69999999999999</x:v>
      </x:c>
      <x:c r="W220" t="n">
        <x:f>MIN(100,40+IF(O220&gt;0,20,0)+IF(M220&lt;&gt;"",20,0)+IF(AF220&lt;&gt;"",20,0))</x:f>
        <x:v>100</x:v>
      </x:c>
      <x:c r="X220" t="str">
        <x:v>Placed on exact national road host link</x:v>
      </x:c>
      <x:c r="Y220" t="str">
        <x:v>Unpaved</x:v>
      </x:c>
      <x:c r="Z220" t="str">
        <x:v>C</x:v>
      </x:c>
      <x:c r="AA220" t="str">
        <x:v>Not available in governed source</x:v>
      </x:c>
      <x:c r="AB220" t="str">
        <x:v>Not available in governed source</x:v>
      </x:c>
      <x:c r="AC220" t="str">
        <x:v>FY2025/26</x:v>
      </x:c>
      <x:c r="AD220" t="str">
        <x:v>Modelled</x:v>
      </x:c>
      <x:c r="AE220" t="str">
        <x:v>2026 bridge AADT rebuilt from host-link traffic history, annual collection-link history, same-road corridor history and spatial count-station influence. Vehicle-class values are assigned from functional-class shares.</x:v>
      </x:c>
      <x:c r="AF220" t="str">
        <x:v>Placed on exact national road host link</x:v>
      </x:c>
    </x:row>
    <x:row r="221" ht="15" hidden="0" customHeight="1">
      <x:c r="A221" t="str">
        <x:v>bridge-220</x:v>
      </x:c>
      <x:c r="B221" t="str">
        <x:v>B205</x:v>
      </x:c>
      <x:c r="C221" t="str">
        <x:v>Lakaye Bridge</x:v>
      </x:c>
      <x:c r="D221" t="str">
        <x:v>B252_Link04</x:v>
      </x:c>
      <x:c r="E221" t="str">
        <x:v>Kitgum - Madi Opei</x:v>
      </x:c>
      <x:c r="F221" t="str">
        <x:v>B</x:v>
      </x:c>
      <x:c r="G221" t="str">
        <x:v>Northern</x:v>
      </x:c>
      <x:c r="H221" t="str">
        <x:v>Kitgum</x:v>
      </x:c>
      <x:c r="I221" t="str">
        <x:v>Lakaye Stream</x:v>
      </x:c>
      <x:c r="J221" t="str">
        <x:v>Poor</x:v>
      </x:c>
      <x:c r="K221" t="n">
        <x:v>33.091946</x:v>
      </x:c>
      <x:c r="L221" t="n">
        <x:v>3.619036</x:v>
      </x:c>
      <x:c r="M221" t="n">
        <x:v>33.091062</x:v>
      </x:c>
      <x:c r="N221" t="n">
        <x:v>3.619288</x:v>
      </x:c>
      <x:c r="O221" t="n">
        <x:v>3267.38</x:v>
      </x:c>
      <x:c r="P221" t="n">
        <x:f>IFERROR(INDEX(Assumptions!$B$9:$B$13,MATCH(F221,Assumptions!$A$9:$A$13,0)),0.15)</x:f>
        <x:v>0.16</x:v>
      </x:c>
      <x:c r="Q221" t="n">
        <x:f>ROUND(O221*(1-P221),0)</x:f>
        <x:v>2745</x:v>
      </x:c>
      <x:c r="R221" t="n">
        <x:f>ROUND(O221*P221,0)</x:f>
        <x:v>523</x:v>
      </x:c>
      <x:c r="S221" t="n">
        <x:f>ROUND(O221*IFERROR(INDEX(Assumptions!$C$9:$C$13,MATCH(F221,Assumptions!$A$9:$A$13,0)),0.55),0)</x:f>
        <x:v>1830</x:v>
      </x:c>
      <x:c r="T221" t="n">
        <x:f>ROUND(O221*IFERROR(INDEX(Assumptions!$D$9:$D$13,MATCH(F221,Assumptions!$A$9:$A$13,0)),0.06),0)</x:f>
        <x:v>229</x:v>
      </x:c>
      <x:c r="U221" t="n">
        <x:f>ROUND(O221*IFERROR(INDEX(Assumptions!$E$9:$E$13,MATCH(F221,Assumptions!$A$9:$A$13,0)),0.15),0)</x:f>
        <x:v>523</x:v>
      </x:c>
      <x:c r="V221" t="n">
        <x:f>MAX(0,O221-SUM(R221:U221))</x:f>
        <x:v>162.3800000000001</x:v>
      </x:c>
      <x:c r="W221" t="n">
        <x:f>MIN(100,40+IF(O221&gt;0,20,0)+IF(M221&lt;&gt;"",20,0)+IF(AF221&lt;&gt;"",20,0))</x:f>
        <x:v>100</x:v>
      </x:c>
      <x:c r="X221" t="str">
        <x:v>Placed on exact national road host link</x:v>
      </x:c>
      <x:c r="Y221" t="str">
        <x:v>Paved</x:v>
      </x:c>
      <x:c r="Z221" t="str">
        <x:v>B</x:v>
      </x:c>
      <x:c r="AA221" t="str">
        <x:v>Not available in governed source</x:v>
      </x:c>
      <x:c r="AB221" t="str">
        <x:v>Not available in governed source</x:v>
      </x:c>
      <x:c r="AC221" t="str">
        <x:v>FY2025/26</x:v>
      </x:c>
      <x:c r="AD221" t="str">
        <x:v>Modelled</x:v>
      </x:c>
      <x:c r="AE221" t="str">
        <x:v>2026 bridge AADT rebuilt from host-link traffic history, annual collection-link history, same-road corridor history and spatial count-station influence. Vehicle-class values are assigned from functional-class shares.</x:v>
      </x:c>
      <x:c r="AF221" t="str">
        <x:v>Placed on exact national road host link</x:v>
      </x:c>
    </x:row>
    <x:row r="222" ht="15" hidden="0" customHeight="1">
      <x:c r="A222" t="str">
        <x:v>bridge-221</x:v>
      </x:c>
      <x:c r="B222" t="str">
        <x:v>B206</x:v>
      </x:c>
      <x:c r="C222" t="str">
        <x:v>OKURA BRIDGE</x:v>
      </x:c>
      <x:c r="D222" t="str">
        <x:v>C702_Link01</x:v>
      </x:c>
      <x:c r="E222" t="str">
        <x:v>Madi Opei-Agoro Hills</x:v>
      </x:c>
      <x:c r="F222" t="str">
        <x:v>C</x:v>
      </x:c>
      <x:c r="G222" t="str">
        <x:v>Northern</x:v>
      </x:c>
      <x:c r="H222" t="str">
        <x:v>Kitgum</x:v>
      </x:c>
      <x:c r="I222" t="str">
        <x:v>21.543</x:v>
      </x:c>
      <x:c r="J222" t="str">
        <x:v>Good</x:v>
      </x:c>
      <x:c r="K222" t="n">
        <x:v>33.014526</x:v>
      </x:c>
      <x:c r="L222" t="n">
        <x:v>3.79756</x:v>
      </x:c>
      <x:c r="M222" t="n">
        <x:v>33.018501</x:v>
      </x:c>
      <x:c r="N222" t="n">
        <x:v>3.794369</x:v>
      </x:c>
      <x:c r="O222" t="n">
        <x:v>365.7</x:v>
      </x:c>
      <x:c r="P222" t="n">
        <x:f>IFERROR(INDEX(Assumptions!$B$9:$B$13,MATCH(F222,Assumptions!$A$9:$A$13,0)),0.15)</x:f>
        <x:v>0.28</x:v>
      </x:c>
      <x:c r="Q222" t="n">
        <x:f>ROUND(O222*(1-P222),0)</x:f>
        <x:v>263</x:v>
      </x:c>
      <x:c r="R222" t="n">
        <x:f>ROUND(O222*P222,0)</x:f>
        <x:v>102</x:v>
      </x:c>
      <x:c r="S222" t="n">
        <x:f>ROUND(O222*IFERROR(INDEX(Assumptions!$C$9:$C$13,MATCH(F222,Assumptions!$A$9:$A$13,0)),0.55),0)</x:f>
        <x:v>183</x:v>
      </x:c>
      <x:c r="T222" t="n">
        <x:f>ROUND(O222*IFERROR(INDEX(Assumptions!$D$9:$D$13,MATCH(F222,Assumptions!$A$9:$A$13,0)),0.06),0)</x:f>
        <x:v>18</x:v>
      </x:c>
      <x:c r="U222" t="n">
        <x:f>ROUND(O222*IFERROR(INDEX(Assumptions!$E$9:$E$13,MATCH(F222,Assumptions!$A$9:$A$13,0)),0.15),0)</x:f>
        <x:v>40</x:v>
      </x:c>
      <x:c r="V222" t="n">
        <x:f>MAX(0,O222-SUM(R222:U222))</x:f>
        <x:v>22.69999999999999</x:v>
      </x:c>
      <x:c r="W222" t="n">
        <x:f>MIN(100,40+IF(O222&gt;0,20,0)+IF(M222&lt;&gt;"",20,0)+IF(AF222&lt;&gt;"",20,0))</x:f>
        <x:v>100</x:v>
      </x:c>
      <x:c r="X222" t="str">
        <x:v>Placed on exact national road host link</x:v>
      </x:c>
      <x:c r="Y222" t="str">
        <x:v>Unpaved</x:v>
      </x:c>
      <x:c r="Z222" t="str">
        <x:v>C</x:v>
      </x:c>
      <x:c r="AA222" t="str">
        <x:v>Not available in governed source</x:v>
      </x:c>
      <x:c r="AB222" t="str">
        <x:v>Not available in governed source</x:v>
      </x:c>
      <x:c r="AC222" t="str">
        <x:v>FY2025/26</x:v>
      </x:c>
      <x:c r="AD222" t="str">
        <x:v>Modelled</x:v>
      </x:c>
      <x:c r="AE222" t="str">
        <x:v>2026 bridge AADT rebuilt from host-link traffic history, annual collection-link history, same-road corridor history and spatial count-station influence. Vehicle-class values are assigned from functional-class shares.</x:v>
      </x:c>
      <x:c r="AF222" t="str">
        <x:v>Placed on exact national road host link</x:v>
      </x:c>
    </x:row>
    <x:row r="223" ht="15" hidden="0" customHeight="1">
      <x:c r="A223" t="str">
        <x:v>bridge-222</x:v>
      </x:c>
      <x:c r="B223" t="str">
        <x:v>B207</x:v>
      </x:c>
      <x:c r="C223" t="str">
        <x:v>KITGUM MATIDI</x:v>
      </x:c>
      <x:c r="D223" t="str">
        <x:v>C703_Link01</x:v>
      </x:c>
      <x:c r="E223" t="str">
        <x:v>Kitgum - Orom</x:v>
      </x:c>
      <x:c r="F223" t="str">
        <x:v>C</x:v>
      </x:c>
      <x:c r="G223" t="str">
        <x:v>Northern</x:v>
      </x:c>
      <x:c r="H223" t="str">
        <x:v>Kitgum</x:v>
      </x:c>
      <x:c r="I223" t="str">
        <x:v>PAGER RIVER</x:v>
      </x:c>
      <x:c r="J223" t="str">
        <x:v>Marginal</x:v>
      </x:c>
      <x:c r="K223" t="n">
        <x:v>33.069176</x:v>
      </x:c>
      <x:c r="L223" t="n">
        <x:v>3.260317</x:v>
      </x:c>
      <x:c r="M223" t="n">
        <x:v>33.055929</x:v>
      </x:c>
      <x:c r="N223" t="n">
        <x:v>3.268654</x:v>
      </x:c>
      <x:c r="O223" t="n">
        <x:v>799.52</x:v>
      </x:c>
      <x:c r="P223" t="n">
        <x:f>IFERROR(INDEX(Assumptions!$B$9:$B$13,MATCH(F223,Assumptions!$A$9:$A$13,0)),0.15)</x:f>
        <x:v>0.28</x:v>
      </x:c>
      <x:c r="Q223" t="n">
        <x:f>ROUND(O223*(1-P223),0)</x:f>
        <x:v>576</x:v>
      </x:c>
      <x:c r="R223" t="n">
        <x:f>ROUND(O223*P223,0)</x:f>
        <x:v>224</x:v>
      </x:c>
      <x:c r="S223" t="n">
        <x:f>ROUND(O223*IFERROR(INDEX(Assumptions!$C$9:$C$13,MATCH(F223,Assumptions!$A$9:$A$13,0)),0.55),0)</x:f>
        <x:v>400</x:v>
      </x:c>
      <x:c r="T223" t="n">
        <x:f>ROUND(O223*IFERROR(INDEX(Assumptions!$D$9:$D$13,MATCH(F223,Assumptions!$A$9:$A$13,0)),0.06),0)</x:f>
        <x:v>40</x:v>
      </x:c>
      <x:c r="U223" t="n">
        <x:f>ROUND(O223*IFERROR(INDEX(Assumptions!$E$9:$E$13,MATCH(F223,Assumptions!$A$9:$A$13,0)),0.15),0)</x:f>
        <x:v>88</x:v>
      </x:c>
      <x:c r="V223" t="n">
        <x:f>MAX(0,O223-SUM(R223:U223))</x:f>
        <x:v>47.51999999999998</x:v>
      </x:c>
      <x:c r="W223" t="n">
        <x:f>MIN(100,40+IF(O223&gt;0,20,0)+IF(M223&lt;&gt;"",20,0)+IF(AF223&lt;&gt;"",20,0))</x:f>
        <x:v>100</x:v>
      </x:c>
      <x:c r="X223" t="str">
        <x:v>Placed on exact national road host link</x:v>
      </x:c>
      <x:c r="Y223" t="str">
        <x:v>Unpaved</x:v>
      </x:c>
      <x:c r="Z223" t="str">
        <x:v>C</x:v>
      </x:c>
      <x:c r="AA223" t="str">
        <x:v>Not available in governed source</x:v>
      </x:c>
      <x:c r="AB223" t="str">
        <x:v>Not available in governed source</x:v>
      </x:c>
      <x:c r="AC223" t="str">
        <x:v>FY2025/26</x:v>
      </x:c>
      <x:c r="AD223" t="str">
        <x:v>Modelled</x:v>
      </x:c>
      <x:c r="AE223" t="str">
        <x:v>2026 bridge AADT rebuilt from host-link traffic history, annual collection-link history, same-road corridor history and spatial count-station influence. Vehicle-class values are assigned from functional-class shares.</x:v>
      </x:c>
      <x:c r="AF223" t="str">
        <x:v>Placed on exact national road host link</x:v>
      </x:c>
    </x:row>
    <x:row r="224" ht="15" hidden="0" customHeight="1">
      <x:c r="A224" t="str">
        <x:v>bridge-223</x:v>
      </x:c>
      <x:c r="B224" t="str">
        <x:v>B208</x:v>
      </x:c>
      <x:c r="C224" t="str">
        <x:v>ORAA 1</x:v>
      </x:c>
      <x:c r="D224" t="str">
        <x:v>C743_Link01</x:v>
      </x:c>
      <x:c r="E224" t="str">
        <x:v>Pakwach-Inde</x:v>
      </x:c>
      <x:c r="F224" t="str">
        <x:v>C</x:v>
      </x:c>
      <x:c r="G224" t="str">
        <x:v>Northern</x:v>
      </x:c>
      <x:c r="H224" t="str">
        <x:v>Arua</x:v>
      </x:c>
      <x:c r="I224" t="str">
        <x:v>ORAA</x:v>
      </x:c>
      <x:c r="J224" t="str">
        <x:v>Marginal</x:v>
      </x:c>
      <x:c r="K224" t="n">
        <x:v>31.392731</x:v>
      </x:c>
      <x:c r="L224" t="n">
        <x:v>2.71777</x:v>
      </x:c>
      <x:c r="M224" t="n">
        <x:v>31.393568</x:v>
      </x:c>
      <x:c r="N224" t="n">
        <x:v>2.717795</x:v>
      </x:c>
      <x:c r="O224" t="n">
        <x:v>515.08</x:v>
      </x:c>
      <x:c r="P224" t="n">
        <x:f>IFERROR(INDEX(Assumptions!$B$9:$B$13,MATCH(F224,Assumptions!$A$9:$A$13,0)),0.15)</x:f>
        <x:v>0.28</x:v>
      </x:c>
      <x:c r="Q224" t="n">
        <x:f>ROUND(O224*(1-P224),0)</x:f>
        <x:v>371</x:v>
      </x:c>
      <x:c r="R224" t="n">
        <x:f>ROUND(O224*P224,0)</x:f>
        <x:v>144</x:v>
      </x:c>
      <x:c r="S224" t="n">
        <x:f>ROUND(O224*IFERROR(INDEX(Assumptions!$C$9:$C$13,MATCH(F224,Assumptions!$A$9:$A$13,0)),0.55),0)</x:f>
        <x:v>258</x:v>
      </x:c>
      <x:c r="T224" t="n">
        <x:f>ROUND(O224*IFERROR(INDEX(Assumptions!$D$9:$D$13,MATCH(F224,Assumptions!$A$9:$A$13,0)),0.06),0)</x:f>
        <x:v>26</x:v>
      </x:c>
      <x:c r="U224" t="n">
        <x:f>ROUND(O224*IFERROR(INDEX(Assumptions!$E$9:$E$13,MATCH(F224,Assumptions!$A$9:$A$13,0)),0.15),0)</x:f>
        <x:v>57</x:v>
      </x:c>
      <x:c r="V224" t="n">
        <x:f>MAX(0,O224-SUM(R224:U224))</x:f>
        <x:v>30.08000000000004</x:v>
      </x:c>
      <x:c r="W224" t="n">
        <x:f>MIN(100,40+IF(O224&gt;0,20,0)+IF(M224&lt;&gt;"",20,0)+IF(AF224&lt;&gt;"",20,0))</x:f>
        <x:v>100</x:v>
      </x:c>
      <x:c r="X224" t="str">
        <x:v>Placed on exact national road host link</x:v>
      </x:c>
      <x:c r="Y224" t="str">
        <x:v>Unpaved</x:v>
      </x:c>
      <x:c r="Z224" t="str">
        <x:v>C</x:v>
      </x:c>
      <x:c r="AA224" t="str">
        <x:v>Not available in governed source</x:v>
      </x:c>
      <x:c r="AB224" t="str">
        <x:v>Not available in governed source</x:v>
      </x:c>
      <x:c r="AC224" t="str">
        <x:v>FY2025/26</x:v>
      </x:c>
      <x:c r="AD224" t="str">
        <x:v>Modelled</x:v>
      </x:c>
      <x:c r="AE224" t="str">
        <x:v>2026 bridge AADT rebuilt from host-link traffic history, annual collection-link history, same-road corridor history and spatial count-station influence. Vehicle-class values are assigned from functional-class shares.</x:v>
      </x:c>
      <x:c r="AF224" t="str">
        <x:v>Placed on exact national road host link</x:v>
      </x:c>
    </x:row>
    <x:row r="225" ht="15" hidden="0" customHeight="1">
      <x:c r="A225" t="str">
        <x:v>bridge-224</x:v>
      </x:c>
      <x:c r="B225" t="str">
        <x:v>B209</x:v>
      </x:c>
      <x:c r="C225" t="str">
        <x:v>ORAA2 BRIDGE</x:v>
      </x:c>
      <x:c r="D225" t="str">
        <x:v>C743_Link01</x:v>
      </x:c>
      <x:c r="E225" t="str">
        <x:v>Pakwach-Inde</x:v>
      </x:c>
      <x:c r="F225" t="str">
        <x:v>C</x:v>
      </x:c>
      <x:c r="G225" t="str">
        <x:v>Northern</x:v>
      </x:c>
      <x:c r="H225" t="str">
        <x:v>Arua</x:v>
      </x:c>
      <x:c r="I225" t="str">
        <x:v>ORAA RIVER</x:v>
      </x:c>
      <x:c r="J225" t="str">
        <x:v>Marginal</x:v>
      </x:c>
      <x:c r="K225" t="n">
        <x:v>31.392799</x:v>
      </x:c>
      <x:c r="L225" t="n">
        <x:v>2.714978</x:v>
      </x:c>
      <x:c r="M225" t="n">
        <x:v>31.393566</x:v>
      </x:c>
      <x:c r="N225" t="n">
        <x:v>2.717803</x:v>
      </x:c>
      <x:c r="O225" t="n">
        <x:v>515.08</x:v>
      </x:c>
      <x:c r="P225" t="n">
        <x:f>IFERROR(INDEX(Assumptions!$B$9:$B$13,MATCH(F225,Assumptions!$A$9:$A$13,0)),0.15)</x:f>
        <x:v>0.28</x:v>
      </x:c>
      <x:c r="Q225" t="n">
        <x:f>ROUND(O225*(1-P225),0)</x:f>
        <x:v>371</x:v>
      </x:c>
      <x:c r="R225" t="n">
        <x:f>ROUND(O225*P225,0)</x:f>
        <x:v>144</x:v>
      </x:c>
      <x:c r="S225" t="n">
        <x:f>ROUND(O225*IFERROR(INDEX(Assumptions!$C$9:$C$13,MATCH(F225,Assumptions!$A$9:$A$13,0)),0.55),0)</x:f>
        <x:v>258</x:v>
      </x:c>
      <x:c r="T225" t="n">
        <x:f>ROUND(O225*IFERROR(INDEX(Assumptions!$D$9:$D$13,MATCH(F225,Assumptions!$A$9:$A$13,0)),0.06),0)</x:f>
        <x:v>26</x:v>
      </x:c>
      <x:c r="U225" t="n">
        <x:f>ROUND(O225*IFERROR(INDEX(Assumptions!$E$9:$E$13,MATCH(F225,Assumptions!$A$9:$A$13,0)),0.15),0)</x:f>
        <x:v>57</x:v>
      </x:c>
      <x:c r="V225" t="n">
        <x:f>MAX(0,O225-SUM(R225:U225))</x:f>
        <x:v>30.08000000000004</x:v>
      </x:c>
      <x:c r="W225" t="n">
        <x:f>MIN(100,40+IF(O225&gt;0,20,0)+IF(M225&lt;&gt;"",20,0)+IF(AF225&lt;&gt;"",20,0))</x:f>
        <x:v>100</x:v>
      </x:c>
      <x:c r="X225" t="str">
        <x:v>Placed on exact national road host link</x:v>
      </x:c>
      <x:c r="Y225" t="str">
        <x:v>Unpaved</x:v>
      </x:c>
      <x:c r="Z225" t="str">
        <x:v>C</x:v>
      </x:c>
      <x:c r="AA225" t="str">
        <x:v>Not available in governed source</x:v>
      </x:c>
      <x:c r="AB225" t="str">
        <x:v>Not available in governed source</x:v>
      </x:c>
      <x:c r="AC225" t="str">
        <x:v>FY2025/26</x:v>
      </x:c>
      <x:c r="AD225" t="str">
        <x:v>Modelled</x:v>
      </x:c>
      <x:c r="AE225" t="str">
        <x:v>2026 bridge AADT rebuilt from host-link traffic history, annual collection-link history, same-road corridor history and spatial count-station influence. Vehicle-class values are assigned from functional-class shares.</x:v>
      </x:c>
      <x:c r="AF225" t="str">
        <x:v>Placed on exact national road host link</x:v>
      </x:c>
    </x:row>
    <x:row r="226" ht="15" hidden="0" customHeight="1">
      <x:c r="A226" t="str">
        <x:v>bridge-225</x:v>
      </x:c>
      <x:c r="B226" t="str">
        <x:v>B210</x:v>
      </x:c>
      <x:c r="C226" t="str">
        <x:v>AWA</x:v>
      </x:c>
      <x:c r="D226" t="str">
        <x:v>C743_Link02</x:v>
      </x:c>
      <x:c r="E226" t="str">
        <x:v>Inde-Ocoko</x:v>
      </x:c>
      <x:c r="F226" t="str">
        <x:v>C</x:v>
      </x:c>
      <x:c r="G226" t="str">
        <x:v>Northern</x:v>
      </x:c>
      <x:c r="H226" t="str">
        <x:v>Arua</x:v>
      </x:c>
      <x:c r="I226" t="str">
        <x:v>AWA</x:v>
      </x:c>
      <x:c r="J226" t="str">
        <x:v>Poor</x:v>
      </x:c>
      <x:c r="K226" t="n">
        <x:v>31.20067</x:v>
      </x:c>
      <x:c r="L226" t="n">
        <x:v>2.88667</x:v>
      </x:c>
      <x:c r="M226" t="n">
        <x:v>31.147253</x:v>
      </x:c>
      <x:c r="N226" t="n">
        <x:v>2.893707</x:v>
      </x:c>
      <x:c r="O226" t="n">
        <x:v>1111.44</x:v>
      </x:c>
      <x:c r="P226" t="n">
        <x:f>IFERROR(INDEX(Assumptions!$B$9:$B$13,MATCH(F226,Assumptions!$A$9:$A$13,0)),0.15)</x:f>
        <x:v>0.28</x:v>
      </x:c>
      <x:c r="Q226" t="n">
        <x:f>ROUND(O226*(1-P226),0)</x:f>
        <x:v>800</x:v>
      </x:c>
      <x:c r="R226" t="n">
        <x:f>ROUND(O226*P226,0)</x:f>
        <x:v>311</x:v>
      </x:c>
      <x:c r="S226" t="n">
        <x:f>ROUND(O226*IFERROR(INDEX(Assumptions!$C$9:$C$13,MATCH(F226,Assumptions!$A$9:$A$13,0)),0.55),0)</x:f>
        <x:v>556</x:v>
      </x:c>
      <x:c r="T226" t="n">
        <x:f>ROUND(O226*IFERROR(INDEX(Assumptions!$D$9:$D$13,MATCH(F226,Assumptions!$A$9:$A$13,0)),0.06),0)</x:f>
        <x:v>56</x:v>
      </x:c>
      <x:c r="U226" t="n">
        <x:f>ROUND(O226*IFERROR(INDEX(Assumptions!$E$9:$E$13,MATCH(F226,Assumptions!$A$9:$A$13,0)),0.15),0)</x:f>
        <x:v>122</x:v>
      </x:c>
      <x:c r="V226" t="n">
        <x:f>MAX(0,O226-SUM(R226:U226))</x:f>
        <x:v>66.44000000000005</x:v>
      </x:c>
      <x:c r="W226" t="n">
        <x:f>MIN(100,40+IF(O226&gt;0,20,0)+IF(M226&lt;&gt;"",20,0)+IF(AF226&lt;&gt;"",20,0))</x:f>
        <x:v>100</x:v>
      </x:c>
      <x:c r="X226" t="str">
        <x:v>Placed on exact national road host link</x:v>
      </x:c>
      <x:c r="Y226" t="str">
        <x:v>Unpaved</x:v>
      </x:c>
      <x:c r="Z226" t="str">
        <x:v>C</x:v>
      </x:c>
      <x:c r="AA226" t="str">
        <x:v>Not available in governed source</x:v>
      </x:c>
      <x:c r="AB226" t="str">
        <x:v>Not available in governed source</x:v>
      </x:c>
      <x:c r="AC226" t="str">
        <x:v>FY2025/26</x:v>
      </x:c>
      <x:c r="AD226" t="str">
        <x:v>Modelled</x:v>
      </x:c>
      <x:c r="AE226" t="str">
        <x:v>2026 bridge AADT rebuilt from host-link traffic history, annual collection-link history, same-road corridor history and spatial count-station influence. Vehicle-class values are assigned from functional-class shares.</x:v>
      </x:c>
      <x:c r="AF226" t="str">
        <x:v>Placed on exact national road host link</x:v>
      </x:c>
    </x:row>
    <x:row r="227" ht="15" hidden="0" customHeight="1">
      <x:c r="A227" t="str">
        <x:v>bridge-226</x:v>
      </x:c>
      <x:c r="B227" t="str">
        <x:v>B211</x:v>
      </x:c>
      <x:c r="C227" t="str">
        <x:v>ALLAH BRIDGE</x:v>
      </x:c>
      <x:c r="D227" t="str">
        <x:v>C743_Link02</x:v>
      </x:c>
      <x:c r="E227" t="str">
        <x:v>Inde-Ocoko</x:v>
      </x:c>
      <x:c r="F227" t="str">
        <x:v>C</x:v>
      </x:c>
      <x:c r="G227" t="str">
        <x:v>Northern</x:v>
      </x:c>
      <x:c r="H227" t="str">
        <x:v>Arua</x:v>
      </x:c>
      <x:c r="I227" t="str">
        <x:v>ALA RIVER</x:v>
      </x:c>
      <x:c r="J227" t="str">
        <x:v>Good</x:v>
      </x:c>
      <x:c r="K227" t="n">
        <x:v>31.072243</x:v>
      </x:c>
      <x:c r="L227" t="n">
        <x:v>2.903366</x:v>
      </x:c>
      <x:c r="M227" t="n">
        <x:v>31.071471</x:v>
      </x:c>
      <x:c r="N227" t="n">
        <x:v>2.903333</x:v>
      </x:c>
      <x:c r="O227" t="n">
        <x:v>1111.44</x:v>
      </x:c>
      <x:c r="P227" t="n">
        <x:f>IFERROR(INDEX(Assumptions!$B$9:$B$13,MATCH(F227,Assumptions!$A$9:$A$13,0)),0.15)</x:f>
        <x:v>0.28</x:v>
      </x:c>
      <x:c r="Q227" t="n">
        <x:f>ROUND(O227*(1-P227),0)</x:f>
        <x:v>800</x:v>
      </x:c>
      <x:c r="R227" t="n">
        <x:f>ROUND(O227*P227,0)</x:f>
        <x:v>311</x:v>
      </x:c>
      <x:c r="S227" t="n">
        <x:f>ROUND(O227*IFERROR(INDEX(Assumptions!$C$9:$C$13,MATCH(F227,Assumptions!$A$9:$A$13,0)),0.55),0)</x:f>
        <x:v>556</x:v>
      </x:c>
      <x:c r="T227" t="n">
        <x:f>ROUND(O227*IFERROR(INDEX(Assumptions!$D$9:$D$13,MATCH(F227,Assumptions!$A$9:$A$13,0)),0.06),0)</x:f>
        <x:v>56</x:v>
      </x:c>
      <x:c r="U227" t="n">
        <x:f>ROUND(O227*IFERROR(INDEX(Assumptions!$E$9:$E$13,MATCH(F227,Assumptions!$A$9:$A$13,0)),0.15),0)</x:f>
        <x:v>122</x:v>
      </x:c>
      <x:c r="V227" t="n">
        <x:f>MAX(0,O227-SUM(R227:U227))</x:f>
        <x:v>66.44000000000005</x:v>
      </x:c>
      <x:c r="W227" t="n">
        <x:f>MIN(100,40+IF(O227&gt;0,20,0)+IF(M227&lt;&gt;"",20,0)+IF(AF227&lt;&gt;"",20,0))</x:f>
        <x:v>100</x:v>
      </x:c>
      <x:c r="X227" t="str">
        <x:v>Placed on exact national road host link</x:v>
      </x:c>
      <x:c r="Y227" t="str">
        <x:v>Unpaved</x:v>
      </x:c>
      <x:c r="Z227" t="str">
        <x:v>C</x:v>
      </x:c>
      <x:c r="AA227" t="str">
        <x:v>Not available in governed source</x:v>
      </x:c>
      <x:c r="AB227" t="str">
        <x:v>Not available in governed source</x:v>
      </x:c>
      <x:c r="AC227" t="str">
        <x:v>FY2025/26</x:v>
      </x:c>
      <x:c r="AD227" t="str">
        <x:v>Modelled</x:v>
      </x:c>
      <x:c r="AE227" t="str">
        <x:v>2026 bridge AADT rebuilt from host-link traffic history, annual collection-link history, same-road corridor history and spatial count-station influence. Vehicle-class values are assigned from functional-class shares.</x:v>
      </x:c>
      <x:c r="AF227" t="str">
        <x:v>Placed on exact national road host link</x:v>
      </x:c>
    </x:row>
    <x:row r="228" ht="15" hidden="0" customHeight="1">
      <x:c r="A228" t="str">
        <x:v>bridge-227</x:v>
      </x:c>
      <x:c r="B228" t="str">
        <x:v>B212</x:v>
      </x:c>
      <x:c r="C228" t="str">
        <x:v>OLEMIKA BRIDGE</x:v>
      </x:c>
      <x:c r="D228" t="str">
        <x:v>C743_Link02</x:v>
      </x:c>
      <x:c r="E228" t="str">
        <x:v>Inde-Ocoko</x:v>
      </x:c>
      <x:c r="F228" t="str">
        <x:v>C</x:v>
      </x:c>
      <x:c r="G228" t="str">
        <x:v>Northern</x:v>
      </x:c>
      <x:c r="H228" t="str">
        <x:v>Arua</x:v>
      </x:c>
      <x:c r="I228" t="str">
        <x:v>OLEMIKA</x:v>
      </x:c>
      <x:c r="J228" t="str">
        <x:v>Good</x:v>
      </x:c>
      <x:c r="K228" t="n">
        <x:v>31.019199</x:v>
      </x:c>
      <x:c r="L228" t="n">
        <x:v>2.914741</x:v>
      </x:c>
      <x:c r="M228" t="n">
        <x:v>31.01939</x:v>
      </x:c>
      <x:c r="N228" t="n">
        <x:v>2.914787</x:v>
      </x:c>
      <x:c r="O228" t="n">
        <x:v>1111.44</x:v>
      </x:c>
      <x:c r="P228" t="n">
        <x:f>IFERROR(INDEX(Assumptions!$B$9:$B$13,MATCH(F228,Assumptions!$A$9:$A$13,0)),0.15)</x:f>
        <x:v>0.28</x:v>
      </x:c>
      <x:c r="Q228" t="n">
        <x:f>ROUND(O228*(1-P228),0)</x:f>
        <x:v>800</x:v>
      </x:c>
      <x:c r="R228" t="n">
        <x:f>ROUND(O228*P228,0)</x:f>
        <x:v>311</x:v>
      </x:c>
      <x:c r="S228" t="n">
        <x:f>ROUND(O228*IFERROR(INDEX(Assumptions!$C$9:$C$13,MATCH(F228,Assumptions!$A$9:$A$13,0)),0.55),0)</x:f>
        <x:v>556</x:v>
      </x:c>
      <x:c r="T228" t="n">
        <x:f>ROUND(O228*IFERROR(INDEX(Assumptions!$D$9:$D$13,MATCH(F228,Assumptions!$A$9:$A$13,0)),0.06),0)</x:f>
        <x:v>56</x:v>
      </x:c>
      <x:c r="U228" t="n">
        <x:f>ROUND(O228*IFERROR(INDEX(Assumptions!$E$9:$E$13,MATCH(F228,Assumptions!$A$9:$A$13,0)),0.15),0)</x:f>
        <x:v>122</x:v>
      </x:c>
      <x:c r="V228" t="n">
        <x:f>MAX(0,O228-SUM(R228:U228))</x:f>
        <x:v>66.44000000000005</x:v>
      </x:c>
      <x:c r="W228" t="n">
        <x:f>MIN(100,40+IF(O228&gt;0,20,0)+IF(M228&lt;&gt;"",20,0)+IF(AF228&lt;&gt;"",20,0))</x:f>
        <x:v>100</x:v>
      </x:c>
      <x:c r="X228" t="str">
        <x:v>Placed on exact national road host link</x:v>
      </x:c>
      <x:c r="Y228" t="str">
        <x:v>Unpaved</x:v>
      </x:c>
      <x:c r="Z228" t="str">
        <x:v>C</x:v>
      </x:c>
      <x:c r="AA228" t="str">
        <x:v>Not available in governed source</x:v>
      </x:c>
      <x:c r="AB228" t="str">
        <x:v>Not available in governed source</x:v>
      </x:c>
      <x:c r="AC228" t="str">
        <x:v>FY2025/26</x:v>
      </x:c>
      <x:c r="AD228" t="str">
        <x:v>Modelled</x:v>
      </x:c>
      <x:c r="AE228" t="str">
        <x:v>2026 bridge AADT rebuilt from host-link traffic history, annual collection-link history, same-road corridor history and spatial count-station influence. Vehicle-class values are assigned from functional-class shares.</x:v>
      </x:c>
      <x:c r="AF228" t="str">
        <x:v>Placed on exact national road host link</x:v>
      </x:c>
    </x:row>
    <x:row r="229" ht="15" hidden="0" customHeight="1">
      <x:c r="A229" t="str">
        <x:v>bridge-228</x:v>
      </x:c>
      <x:c r="B229" t="str">
        <x:v>B213</x:v>
      </x:c>
      <x:c r="C229" t="str">
        <x:v>BORO BRIDGE</x:v>
      </x:c>
      <x:c r="D229" t="str">
        <x:v>C746_Link01</x:v>
      </x:c>
      <x:c r="E229" t="str">
        <x:v>Packwach - Panyimur</x:v>
      </x:c>
      <x:c r="F229" t="str">
        <x:v>C</x:v>
      </x:c>
      <x:c r="G229" t="str">
        <x:v>Northern</x:v>
      </x:c>
      <x:c r="H229" t="str">
        <x:v>Arua</x:v>
      </x:c>
      <x:c r="I229" t="str">
        <x:v>MUTUTU</x:v>
      </x:c>
      <x:c r="J229" t="str">
        <x:v>Satisfactory</x:v>
      </x:c>
      <x:c r="K229" t="n">
        <x:v>31.357399</x:v>
      </x:c>
      <x:c r="L229" t="n">
        <x:v>2.320189</x:v>
      </x:c>
      <x:c r="M229" t="n">
        <x:v>31.358268</x:v>
      </x:c>
      <x:c r="N229" t="n">
        <x:v>2.322403</x:v>
      </x:c>
      <x:c r="O229" t="n">
        <x:v>515.08</x:v>
      </x:c>
      <x:c r="P229" t="n">
        <x:f>IFERROR(INDEX(Assumptions!$B$9:$B$13,MATCH(F229,Assumptions!$A$9:$A$13,0)),0.15)</x:f>
        <x:v>0.28</x:v>
      </x:c>
      <x:c r="Q229" t="n">
        <x:f>ROUND(O229*(1-P229),0)</x:f>
        <x:v>371</x:v>
      </x:c>
      <x:c r="R229" t="n">
        <x:f>ROUND(O229*P229,0)</x:f>
        <x:v>144</x:v>
      </x:c>
      <x:c r="S229" t="n">
        <x:f>ROUND(O229*IFERROR(INDEX(Assumptions!$C$9:$C$13,MATCH(F229,Assumptions!$A$9:$A$13,0)),0.55),0)</x:f>
        <x:v>258</x:v>
      </x:c>
      <x:c r="T229" t="n">
        <x:f>ROUND(O229*IFERROR(INDEX(Assumptions!$D$9:$D$13,MATCH(F229,Assumptions!$A$9:$A$13,0)),0.06),0)</x:f>
        <x:v>26</x:v>
      </x:c>
      <x:c r="U229" t="n">
        <x:f>ROUND(O229*IFERROR(INDEX(Assumptions!$E$9:$E$13,MATCH(F229,Assumptions!$A$9:$A$13,0)),0.15),0)</x:f>
        <x:v>57</x:v>
      </x:c>
      <x:c r="V229" t="n">
        <x:f>MAX(0,O229-SUM(R229:U229))</x:f>
        <x:v>30.08000000000004</x:v>
      </x:c>
      <x:c r="W229" t="n">
        <x:f>MIN(100,40+IF(O229&gt;0,20,0)+IF(M229&lt;&gt;"",20,0)+IF(AF229&lt;&gt;"",20,0))</x:f>
        <x:v>100</x:v>
      </x:c>
      <x:c r="X229" t="str">
        <x:v>Placed on exact national road host link</x:v>
      </x:c>
      <x:c r="Y229" t="str">
        <x:v>Unpaved</x:v>
      </x:c>
      <x:c r="Z229" t="str">
        <x:v>C</x:v>
      </x:c>
      <x:c r="AA229" t="str">
        <x:v>Not available in governed source</x:v>
      </x:c>
      <x:c r="AB229" t="str">
        <x:v>Not available in governed source</x:v>
      </x:c>
      <x:c r="AC229" t="str">
        <x:v>FY2025/26</x:v>
      </x:c>
      <x:c r="AD229" t="str">
        <x:v>Modelled</x:v>
      </x:c>
      <x:c r="AE229" t="str">
        <x:v>2026 bridge AADT rebuilt from host-link traffic history, annual collection-link history, same-road corridor history and spatial count-station influence. Vehicle-class values are assigned from functional-class shares.</x:v>
      </x:c>
      <x:c r="AF229" t="str">
        <x:v>Placed on exact national road host link</x:v>
      </x:c>
    </x:row>
    <x:row r="230" ht="15" hidden="0" customHeight="1">
      <x:c r="A230" t="str">
        <x:v>bridge-229</x:v>
      </x:c>
      <x:c r="B230" t="str">
        <x:v>B214</x:v>
      </x:c>
      <x:c r="C230" t="str">
        <x:v>KIVUJE BRIDGE</x:v>
      </x:c>
      <x:c r="D230" t="str">
        <x:v>C746_Link01</x:v>
      </x:c>
      <x:c r="E230" t="str">
        <x:v>Packwach - Panyimur</x:v>
      </x:c>
      <x:c r="F230" t="str">
        <x:v>C</x:v>
      </x:c>
      <x:c r="G230" t="str">
        <x:v>Northern</x:v>
      </x:c>
      <x:c r="H230" t="str">
        <x:v>Arua</x:v>
      </x:c>
      <x:c r="I230" t="str">
        <x:v>KIVUJE</x:v>
      </x:c>
      <x:c r="J230" t="str">
        <x:v>Poor</x:v>
      </x:c>
      <x:c r="K230" t="n">
        <x:v>31.335587</x:v>
      </x:c>
      <x:c r="L230" t="n">
        <x:v>2.289883</x:v>
      </x:c>
      <x:c r="M230" t="n">
        <x:v>31.336816</x:v>
      </x:c>
      <x:c r="N230" t="n">
        <x:v>2.291343</x:v>
      </x:c>
      <x:c r="O230" t="n">
        <x:v>515.08</x:v>
      </x:c>
      <x:c r="P230" t="n">
        <x:f>IFERROR(INDEX(Assumptions!$B$9:$B$13,MATCH(F230,Assumptions!$A$9:$A$13,0)),0.15)</x:f>
        <x:v>0.28</x:v>
      </x:c>
      <x:c r="Q230" t="n">
        <x:f>ROUND(O230*(1-P230),0)</x:f>
        <x:v>371</x:v>
      </x:c>
      <x:c r="R230" t="n">
        <x:f>ROUND(O230*P230,0)</x:f>
        <x:v>144</x:v>
      </x:c>
      <x:c r="S230" t="n">
        <x:f>ROUND(O230*IFERROR(INDEX(Assumptions!$C$9:$C$13,MATCH(F230,Assumptions!$A$9:$A$13,0)),0.55),0)</x:f>
        <x:v>258</x:v>
      </x:c>
      <x:c r="T230" t="n">
        <x:f>ROUND(O230*IFERROR(INDEX(Assumptions!$D$9:$D$13,MATCH(F230,Assumptions!$A$9:$A$13,0)),0.06),0)</x:f>
        <x:v>26</x:v>
      </x:c>
      <x:c r="U230" t="n">
        <x:f>ROUND(O230*IFERROR(INDEX(Assumptions!$E$9:$E$13,MATCH(F230,Assumptions!$A$9:$A$13,0)),0.15),0)</x:f>
        <x:v>57</x:v>
      </x:c>
      <x:c r="V230" t="n">
        <x:f>MAX(0,O230-SUM(R230:U230))</x:f>
        <x:v>30.08000000000004</x:v>
      </x:c>
      <x:c r="W230" t="n">
        <x:f>MIN(100,40+IF(O230&gt;0,20,0)+IF(M230&lt;&gt;"",20,0)+IF(AF230&lt;&gt;"",20,0))</x:f>
        <x:v>100</x:v>
      </x:c>
      <x:c r="X230" t="str">
        <x:v>Placed on exact national road host link</x:v>
      </x:c>
      <x:c r="Y230" t="str">
        <x:v>Unpaved</x:v>
      </x:c>
      <x:c r="Z230" t="str">
        <x:v>C</x:v>
      </x:c>
      <x:c r="AA230" t="str">
        <x:v>Not available in governed source</x:v>
      </x:c>
      <x:c r="AB230" t="str">
        <x:v>Not available in governed source</x:v>
      </x:c>
      <x:c r="AC230" t="str">
        <x:v>FY2025/26</x:v>
      </x:c>
      <x:c r="AD230" t="str">
        <x:v>Modelled</x:v>
      </x:c>
      <x:c r="AE230" t="str">
        <x:v>2026 bridge AADT rebuilt from host-link traffic history, annual collection-link history, same-road corridor history and spatial count-station influence. Vehicle-class values are assigned from functional-class shares.</x:v>
      </x:c>
      <x:c r="AF230" t="str">
        <x:v>Placed on exact national road host link</x:v>
      </x:c>
    </x:row>
    <x:row r="231" ht="15" hidden="0" customHeight="1">
      <x:c r="A231" t="str">
        <x:v>bridge-230</x:v>
      </x:c>
      <x:c r="B231" t="str">
        <x:v>B215</x:v>
      </x:c>
      <x:c r="C231" t="str">
        <x:v>LOJORO</x:v>
      </x:c>
      <x:c r="D231" t="str">
        <x:v>C960_Link01</x:v>
      </x:c>
      <x:c r="E231" t="str">
        <x:v>Angatun-Nabilatuk-Lokapel</x:v>
      </x:c>
      <x:c r="F231" t="str">
        <x:v>C</x:v>
      </x:c>
      <x:c r="G231" t="str">
        <x:v>North Eastern</x:v>
      </x:c>
      <x:c r="H231" t="str">
        <x:v>Moroto</x:v>
      </x:c>
      <x:c r="I231" t="str">
        <x:v>LOJORO</x:v>
      </x:c>
      <x:c r="J231" t="str">
        <x:v>Marginal</x:v>
      </x:c>
      <x:c r="K231" t="n">
        <x:v>34.568588</x:v>
      </x:c>
      <x:c r="L231" t="n">
        <x:v>2.0349</x:v>
      </x:c>
      <x:c r="M231" t="n">
        <x:v>34.571462</x:v>
      </x:c>
      <x:c r="N231" t="n">
        <x:v>2.025584</x:v>
      </x:c>
      <x:c r="O231" t="n">
        <x:v>1323.61</x:v>
      </x:c>
      <x:c r="P231" t="n">
        <x:f>IFERROR(INDEX(Assumptions!$B$9:$B$13,MATCH(F231,Assumptions!$A$9:$A$13,0)),0.15)</x:f>
        <x:v>0.28</x:v>
      </x:c>
      <x:c r="Q231" t="n">
        <x:f>ROUND(O231*(1-P231),0)</x:f>
        <x:v>953</x:v>
      </x:c>
      <x:c r="R231" t="n">
        <x:f>ROUND(O231*P231,0)</x:f>
        <x:v>371</x:v>
      </x:c>
      <x:c r="S231" t="n">
        <x:f>ROUND(O231*IFERROR(INDEX(Assumptions!$C$9:$C$13,MATCH(F231,Assumptions!$A$9:$A$13,0)),0.55),0)</x:f>
        <x:v>662</x:v>
      </x:c>
      <x:c r="T231" t="n">
        <x:f>ROUND(O231*IFERROR(INDEX(Assumptions!$D$9:$D$13,MATCH(F231,Assumptions!$A$9:$A$13,0)),0.06),0)</x:f>
        <x:v>66</x:v>
      </x:c>
      <x:c r="U231" t="n">
        <x:f>ROUND(O231*IFERROR(INDEX(Assumptions!$E$9:$E$13,MATCH(F231,Assumptions!$A$9:$A$13,0)),0.15),0)</x:f>
        <x:v>146</x:v>
      </x:c>
      <x:c r="V231" t="n">
        <x:f>MAX(0,O231-SUM(R231:U231))</x:f>
        <x:v>78.6099999999999</x:v>
      </x:c>
      <x:c r="W231" t="n">
        <x:f>MIN(100,40+IF(O231&gt;0,20,0)+IF(M231&lt;&gt;"",20,0)+IF(AF231&lt;&gt;"",20,0))</x:f>
        <x:v>100</x:v>
      </x:c>
      <x:c r="X231" t="str">
        <x:v>Placed on exact national road host link</x:v>
      </x:c>
      <x:c r="Y231" t="str">
        <x:v>Unpaved</x:v>
      </x:c>
      <x:c r="Z231" t="str">
        <x:v>C</x:v>
      </x:c>
      <x:c r="AA231" t="str">
        <x:v>Not available in governed source</x:v>
      </x:c>
      <x:c r="AB231" t="str">
        <x:v>Not available in governed source</x:v>
      </x:c>
      <x:c r="AC231" t="str">
        <x:v>FY2025/26</x:v>
      </x:c>
      <x:c r="AD231" t="str">
        <x:v>Modelled</x:v>
      </x:c>
      <x:c r="AE231" t="str">
        <x:v>2026 bridge AADT rebuilt from host-link traffic history, annual collection-link history, same-road corridor history and spatial count-station influence. Vehicle-class values are assigned from functional-class shares.</x:v>
      </x:c>
      <x:c r="AF231" t="str">
        <x:v>Placed on exact national road host link</x:v>
      </x:c>
    </x:row>
    <x:row r="232" ht="15" hidden="0" customHeight="1">
      <x:c r="A232" t="str">
        <x:v>bridge-231</x:v>
      </x:c>
      <x:c r="B232" t="str">
        <x:v>B216</x:v>
      </x:c>
      <x:c r="C232" t="str">
        <x:v>NAKOYITI</x:v>
      </x:c>
      <x:c r="D232" t="str">
        <x:v>C960_Link01</x:v>
      </x:c>
      <x:c r="E232" t="str">
        <x:v>Angatun-Nabilatuk-Lokapel</x:v>
      </x:c>
      <x:c r="F232" t="str">
        <x:v>C</x:v>
      </x:c>
      <x:c r="G232" t="str">
        <x:v>North Eastern</x:v>
      </x:c>
      <x:c r="H232" t="str">
        <x:v>Moroto</x:v>
      </x:c>
      <x:c r="I232" t="str">
        <x:v>NAKOYITI</x:v>
      </x:c>
      <x:c r="J232" t="str">
        <x:v>Poor</x:v>
      </x:c>
      <x:c r="K232" t="n">
        <x:v>34.6814</x:v>
      </x:c>
      <x:c r="L232" t="n">
        <x:v>2.10067</x:v>
      </x:c>
      <x:c r="M232" t="n">
        <x:v>34.69295</x:v>
      </x:c>
      <x:c r="N232" t="n">
        <x:v>2.146408</x:v>
      </x:c>
      <x:c r="O232" t="n">
        <x:v>1323.61</x:v>
      </x:c>
      <x:c r="P232" t="n">
        <x:f>IFERROR(INDEX(Assumptions!$B$9:$B$13,MATCH(F232,Assumptions!$A$9:$A$13,0)),0.15)</x:f>
        <x:v>0.28</x:v>
      </x:c>
      <x:c r="Q232" t="n">
        <x:f>ROUND(O232*(1-P232),0)</x:f>
        <x:v>953</x:v>
      </x:c>
      <x:c r="R232" t="n">
        <x:f>ROUND(O232*P232,0)</x:f>
        <x:v>371</x:v>
      </x:c>
      <x:c r="S232" t="n">
        <x:f>ROUND(O232*IFERROR(INDEX(Assumptions!$C$9:$C$13,MATCH(F232,Assumptions!$A$9:$A$13,0)),0.55),0)</x:f>
        <x:v>662</x:v>
      </x:c>
      <x:c r="T232" t="n">
        <x:f>ROUND(O232*IFERROR(INDEX(Assumptions!$D$9:$D$13,MATCH(F232,Assumptions!$A$9:$A$13,0)),0.06),0)</x:f>
        <x:v>66</x:v>
      </x:c>
      <x:c r="U232" t="n">
        <x:f>ROUND(O232*IFERROR(INDEX(Assumptions!$E$9:$E$13,MATCH(F232,Assumptions!$A$9:$A$13,0)),0.15),0)</x:f>
        <x:v>146</x:v>
      </x:c>
      <x:c r="V232" t="n">
        <x:f>MAX(0,O232-SUM(R232:U232))</x:f>
        <x:v>78.6099999999999</x:v>
      </x:c>
      <x:c r="W232" t="n">
        <x:f>MIN(100,40+IF(O232&gt;0,20,0)+IF(M232&lt;&gt;"",20,0)+IF(AF232&lt;&gt;"",20,0))</x:f>
        <x:v>100</x:v>
      </x:c>
      <x:c r="X232" t="str">
        <x:v>Placed on exact national road host link</x:v>
      </x:c>
      <x:c r="Y232" t="str">
        <x:v>Unpaved</x:v>
      </x:c>
      <x:c r="Z232" t="str">
        <x:v>C</x:v>
      </x:c>
      <x:c r="AA232" t="str">
        <x:v>Not available in governed source</x:v>
      </x:c>
      <x:c r="AB232" t="str">
        <x:v>Not available in governed source</x:v>
      </x:c>
      <x:c r="AC232" t="str">
        <x:v>FY2025/26</x:v>
      </x:c>
      <x:c r="AD232" t="str">
        <x:v>Modelled</x:v>
      </x:c>
      <x:c r="AE232" t="str">
        <x:v>2026 bridge AADT rebuilt from host-link traffic history, annual collection-link history, same-road corridor history and spatial count-station influence. Vehicle-class values are assigned from functional-class shares.</x:v>
      </x:c>
      <x:c r="AF232" t="str">
        <x:v>Placed on exact national road host link</x:v>
      </x:c>
    </x:row>
    <x:row r="233" ht="15" hidden="0" customHeight="1">
      <x:c r="A233" t="str">
        <x:v>bridge-232</x:v>
      </x:c>
      <x:c r="B233" t="str">
        <x:v>B217</x:v>
      </x:c>
      <x:c r="C233" t="str">
        <x:v>CHOLOLO</x:v>
      </x:c>
      <x:c r="D233" t="str">
        <x:v>C961_Link01</x:v>
      </x:c>
      <x:c r="E233" t="str">
        <x:v>Chosan to Amudat</x:v>
      </x:c>
      <x:c r="F233" t="str">
        <x:v>C</x:v>
      </x:c>
      <x:c r="G233" t="str">
        <x:v>North Eastern</x:v>
      </x:c>
      <x:c r="H233" t="str">
        <x:v>Moroto</x:v>
      </x:c>
      <x:c r="I233" t="str">
        <x:v>CHOLOLO</x:v>
      </x:c>
      <x:c r="J233" t="str">
        <x:v>Good</x:v>
      </x:c>
      <x:c r="K233" t="n">
        <x:v>34.826649</x:v>
      </x:c>
      <x:c r="L233" t="n">
        <x:v>1.94414</x:v>
      </x:c>
      <x:c r="M233" t="n">
        <x:v>34.943146</x:v>
      </x:c>
      <x:c r="N233" t="n">
        <x:v>1.952938</x:v>
      </x:c>
      <x:c r="O233" t="n">
        <x:v>289.49</x:v>
      </x:c>
      <x:c r="P233" t="n">
        <x:f>IFERROR(INDEX(Assumptions!$B$9:$B$13,MATCH(F233,Assumptions!$A$9:$A$13,0)),0.15)</x:f>
        <x:v>0.28</x:v>
      </x:c>
      <x:c r="Q233" t="n">
        <x:f>ROUND(O233*(1-P233),0)</x:f>
        <x:v>208</x:v>
      </x:c>
      <x:c r="R233" t="n">
        <x:f>ROUND(O233*P233,0)</x:f>
        <x:v>81</x:v>
      </x:c>
      <x:c r="S233" t="n">
        <x:f>ROUND(O233*IFERROR(INDEX(Assumptions!$C$9:$C$13,MATCH(F233,Assumptions!$A$9:$A$13,0)),0.55),0)</x:f>
        <x:v>145</x:v>
      </x:c>
      <x:c r="T233" t="n">
        <x:f>ROUND(O233*IFERROR(INDEX(Assumptions!$D$9:$D$13,MATCH(F233,Assumptions!$A$9:$A$13,0)),0.06),0)</x:f>
        <x:v>14</x:v>
      </x:c>
      <x:c r="U233" t="n">
        <x:f>ROUND(O233*IFERROR(INDEX(Assumptions!$E$9:$E$13,MATCH(F233,Assumptions!$A$9:$A$13,0)),0.15),0)</x:f>
        <x:v>32</x:v>
      </x:c>
      <x:c r="V233" t="n">
        <x:f>MAX(0,O233-SUM(R233:U233))</x:f>
        <x:v>17.49000000000001</x:v>
      </x:c>
      <x:c r="W233" t="n">
        <x:f>MIN(100,40+IF(O233&gt;0,20,0)+IF(M233&lt;&gt;"",20,0)+IF(AF233&lt;&gt;"",20,0))</x:f>
        <x:v>100</x:v>
      </x:c>
      <x:c r="X233" t="str">
        <x:v>Placed on exact national road host link</x:v>
      </x:c>
      <x:c r="Y233" t="str">
        <x:v>Unpaved</x:v>
      </x:c>
      <x:c r="Z233" t="str">
        <x:v>C</x:v>
      </x:c>
      <x:c r="AA233" t="str">
        <x:v>Not available in governed source</x:v>
      </x:c>
      <x:c r="AB233" t="str">
        <x:v>Not available in governed source</x:v>
      </x:c>
      <x:c r="AC233" t="str">
        <x:v>FY2025/26</x:v>
      </x:c>
      <x:c r="AD233" t="str">
        <x:v>Modelled</x:v>
      </x:c>
      <x:c r="AE233" t="str">
        <x:v>2026 bridge AADT rebuilt from host-link traffic history, annual collection-link history, same-road corridor history and spatial count-station influence. Vehicle-class values are assigned from functional-class shares.</x:v>
      </x:c>
      <x:c r="AF233" t="str">
        <x:v>Placed on exact national road host link</x:v>
      </x:c>
    </x:row>
    <x:row r="234" ht="15" hidden="0" customHeight="1">
      <x:c r="A234" t="str">
        <x:v>bridge-233</x:v>
      </x:c>
      <x:c r="B234" t="str">
        <x:v>B218</x:v>
      </x:c>
      <x:c r="C234" t="str">
        <x:v>KOLO BRIDGE</x:v>
      </x:c>
      <x:c r="D234" t="str">
        <x:v>C036_Link01</x:v>
      </x:c>
      <x:c r="E234" t="str">
        <x:v>Nambole - Kampala Industrial Park - Mukono</x:v>
      </x:c>
      <x:c r="F234" t="str">
        <x:v>C</x:v>
      </x:c>
      <x:c r="G234" t="str">
        <x:v>Central</x:v>
      </x:c>
      <x:c r="H234" t="str">
        <x:v>Kampala</x:v>
      </x:c>
      <x:c r="I234" t="str">
        <x:v>Road Over Rail</x:v>
      </x:c>
      <x:c r="J234" t="str">
        <x:v>Marginal</x:v>
      </x:c>
      <x:c r="K234" t="n">
        <x:v>32.698509</x:v>
      </x:c>
      <x:c r="L234" t="n">
        <x:v>0.34908</x:v>
      </x:c>
      <x:c r="M234" t="n">
        <x:v>32.74637</x:v>
      </x:c>
      <x:c r="N234" t="n">
        <x:v>0.36062</x:v>
      </x:c>
      <x:c r="O234" t="n">
        <x:v>6245.76</x:v>
      </x:c>
      <x:c r="P234" t="n">
        <x:f>IFERROR(INDEX(Assumptions!$B$9:$B$13,MATCH(F234,Assumptions!$A$9:$A$13,0)),0.15)</x:f>
        <x:v>0.28</x:v>
      </x:c>
      <x:c r="Q234" t="n">
        <x:f>ROUND(O234*(1-P234),0)</x:f>
        <x:v>4497</x:v>
      </x:c>
      <x:c r="R234" t="n">
        <x:f>ROUND(O234*P234,0)</x:f>
        <x:v>1749</x:v>
      </x:c>
      <x:c r="S234" t="n">
        <x:f>ROUND(O234*IFERROR(INDEX(Assumptions!$C$9:$C$13,MATCH(F234,Assumptions!$A$9:$A$13,0)),0.55),0)</x:f>
        <x:v>3123</x:v>
      </x:c>
      <x:c r="T234" t="n">
        <x:f>ROUND(O234*IFERROR(INDEX(Assumptions!$D$9:$D$13,MATCH(F234,Assumptions!$A$9:$A$13,0)),0.06),0)</x:f>
        <x:v>312</x:v>
      </x:c>
      <x:c r="U234" t="n">
        <x:f>ROUND(O234*IFERROR(INDEX(Assumptions!$E$9:$E$13,MATCH(F234,Assumptions!$A$9:$A$13,0)),0.15),0)</x:f>
        <x:v>687</x:v>
      </x:c>
      <x:c r="V234" t="n">
        <x:f>MAX(0,O234-SUM(R234:U234))</x:f>
        <x:v>374.7600000000002</x:v>
      </x:c>
      <x:c r="W234" t="n">
        <x:f>MIN(100,40+IF(O234&gt;0,20,0)+IF(M234&lt;&gt;"",20,0)+IF(AF234&lt;&gt;"",20,0))</x:f>
        <x:v>100</x:v>
      </x:c>
      <x:c r="X234" t="str">
        <x:v>Placed on exact national road host link</x:v>
      </x:c>
      <x:c r="Y234" t="str">
        <x:v>Unpaved</x:v>
      </x:c>
      <x:c r="Z234" t="str">
        <x:v>C</x:v>
      </x:c>
      <x:c r="AA234" t="str">
        <x:v>Not available in governed source</x:v>
      </x:c>
      <x:c r="AB234" t="str">
        <x:v>Not available in governed source</x:v>
      </x:c>
      <x:c r="AC234" t="str">
        <x:v>FY2025/26</x:v>
      </x:c>
      <x:c r="AD234" t="str">
        <x:v>Modelled</x:v>
      </x:c>
      <x:c r="AE234" t="str">
        <x:v>2026 bridge AADT rebuilt from host-link traffic history, annual collection-link history, same-road corridor history and spatial count-station influence. Vehicle-class values are assigned from functional-class shares.</x:v>
      </x:c>
      <x:c r="AF234" t="str">
        <x:v>Placed on exact national road host link</x:v>
      </x:c>
    </x:row>
    <x:row r="235" ht="15" hidden="0" customHeight="1">
      <x:c r="A235" t="str">
        <x:v>bridge-234</x:v>
      </x:c>
      <x:c r="B235" t="str">
        <x:v>B220</x:v>
      </x:c>
      <x:c r="C235" t="str">
        <x:v>KIGUNGU BRIDGE</x:v>
      </x:c>
      <x:c r="D235" t="str">
        <x:v>C177_Link01</x:v>
      </x:c>
      <x:c r="E235" t="str">
        <x:v>Access to Kigungu</x:v>
      </x:c>
      <x:c r="F235" t="str">
        <x:v>C</x:v>
      </x:c>
      <x:c r="G235" t="str">
        <x:v>Central</x:v>
      </x:c>
      <x:c r="H235" t="str">
        <x:v>Kampala</x:v>
      </x:c>
      <x:c r="I235" t="str">
        <x:v>Kigungu Bridge Waterway</x:v>
      </x:c>
      <x:c r="J235" t="str">
        <x:v>Satisfactory</x:v>
      </x:c>
      <x:c r="K235" t="n">
        <x:v>32.440361</x:v>
      </x:c>
      <x:c r="L235" t="n">
        <x:v>0.02185</x:v>
      </x:c>
      <x:c r="M235" t="n">
        <x:v>32.43621</x:v>
      </x:c>
      <x:c r="N235" t="n">
        <x:v>0.02792</x:v>
      </x:c>
      <x:c r="O235" t="n">
        <x:v>3451.61</x:v>
      </x:c>
      <x:c r="P235" t="n">
        <x:f>IFERROR(INDEX(Assumptions!$B$9:$B$13,MATCH(F235,Assumptions!$A$9:$A$13,0)),0.15)</x:f>
        <x:v>0.28</x:v>
      </x:c>
      <x:c r="Q235" t="n">
        <x:f>ROUND(O235*(1-P235),0)</x:f>
        <x:v>2485</x:v>
      </x:c>
      <x:c r="R235" t="n">
        <x:f>ROUND(O235*P235,0)</x:f>
        <x:v>966</x:v>
      </x:c>
      <x:c r="S235" t="n">
        <x:f>ROUND(O235*IFERROR(INDEX(Assumptions!$C$9:$C$13,MATCH(F235,Assumptions!$A$9:$A$13,0)),0.55),0)</x:f>
        <x:v>1726</x:v>
      </x:c>
      <x:c r="T235" t="n">
        <x:f>ROUND(O235*IFERROR(INDEX(Assumptions!$D$9:$D$13,MATCH(F235,Assumptions!$A$9:$A$13,0)),0.06),0)</x:f>
        <x:v>173</x:v>
      </x:c>
      <x:c r="U235" t="n">
        <x:f>ROUND(O235*IFERROR(INDEX(Assumptions!$E$9:$E$13,MATCH(F235,Assumptions!$A$9:$A$13,0)),0.15),0)</x:f>
        <x:v>380</x:v>
      </x:c>
      <x:c r="V235" t="n">
        <x:f>MAX(0,O235-SUM(R235:U235))</x:f>
        <x:v>206.61000000000013</x:v>
      </x:c>
      <x:c r="W235" t="n">
        <x:f>MIN(100,40+IF(O235&gt;0,20,0)+IF(M235&lt;&gt;"",20,0)+IF(AF235&lt;&gt;"",20,0))</x:f>
        <x:v>100</x:v>
      </x:c>
      <x:c r="X235" t="str">
        <x:v>Placed on exact national road host link</x:v>
      </x:c>
      <x:c r="Y235" t="str">
        <x:v>Unpaved</x:v>
      </x:c>
      <x:c r="Z235" t="str">
        <x:v>C</x:v>
      </x:c>
      <x:c r="AA235" t="str">
        <x:v>Not available in governed source</x:v>
      </x:c>
      <x:c r="AB235" t="str">
        <x:v>Not available in governed source</x:v>
      </x:c>
      <x:c r="AC235" t="str">
        <x:v>FY2025/26</x:v>
      </x:c>
      <x:c r="AD235" t="str">
        <x:v>Modelled</x:v>
      </x:c>
      <x:c r="AE235" t="str">
        <x:v>2026 bridge AADT rebuilt from host-link traffic history, annual collection-link history, same-road corridor history and spatial count-station influence. Vehicle-class values are assigned from functional-class shares.</x:v>
      </x:c>
      <x:c r="AF235" t="str">
        <x:v>Placed on exact national road host link</x:v>
      </x:c>
    </x:row>
    <x:row r="236" ht="15" hidden="0" customHeight="1">
      <x:c r="A236" t="str">
        <x:v>bridge-235</x:v>
      </x:c>
      <x:c r="B236" t="str">
        <x:v>B222</x:v>
      </x:c>
      <x:c r="C236" t="str">
        <x:v>MAYANJA</x:v>
      </x:c>
      <x:c r="D236" t="str">
        <x:v>C187_Link01</x:v>
      </x:c>
      <x:c r="E236" t="str">
        <x:v>Namayumba - Kitalya Prison - Kamuli</x:v>
      </x:c>
      <x:c r="F236" t="str">
        <x:v>C</x:v>
      </x:c>
      <x:c r="G236" t="str">
        <x:v>Central</x:v>
      </x:c>
      <x:c r="H236" t="str">
        <x:v>Kampala</x:v>
      </x:c>
      <x:c r="I236" t="str">
        <x:v>MAYANJA RIVER</x:v>
      </x:c>
      <x:c r="J236" t="str">
        <x:v>Satisfactory</x:v>
      </x:c>
      <x:c r="K236" t="n">
        <x:v>32.251419</x:v>
      </x:c>
      <x:c r="L236" t="n">
        <x:v>0.40709</x:v>
      </x:c>
      <x:c r="M236" t="n">
        <x:v>32.250569</x:v>
      </x:c>
      <x:c r="N236" t="n">
        <x:v>0.494279</x:v>
      </x:c>
      <x:c r="O236" t="n">
        <x:v>433.46</x:v>
      </x:c>
      <x:c r="P236" t="n">
        <x:f>IFERROR(INDEX(Assumptions!$B$9:$B$13,MATCH(F236,Assumptions!$A$9:$A$13,0)),0.15)</x:f>
        <x:v>0.28</x:v>
      </x:c>
      <x:c r="Q236" t="n">
        <x:f>ROUND(O236*(1-P236),0)</x:f>
        <x:v>312</x:v>
      </x:c>
      <x:c r="R236" t="n">
        <x:f>ROUND(O236*P236,0)</x:f>
        <x:v>121</x:v>
      </x:c>
      <x:c r="S236" t="n">
        <x:f>ROUND(O236*IFERROR(INDEX(Assumptions!$C$9:$C$13,MATCH(F236,Assumptions!$A$9:$A$13,0)),0.55),0)</x:f>
        <x:v>217</x:v>
      </x:c>
      <x:c r="T236" t="n">
        <x:f>ROUND(O236*IFERROR(INDEX(Assumptions!$D$9:$D$13,MATCH(F236,Assumptions!$A$9:$A$13,0)),0.06),0)</x:f>
        <x:v>22</x:v>
      </x:c>
      <x:c r="U236" t="n">
        <x:f>ROUND(O236*IFERROR(INDEX(Assumptions!$E$9:$E$13,MATCH(F236,Assumptions!$A$9:$A$13,0)),0.15),0)</x:f>
        <x:v>48</x:v>
      </x:c>
      <x:c r="V236" t="n">
        <x:f>MAX(0,O236-SUM(R236:U236))</x:f>
        <x:v>25.45999999999998</x:v>
      </x:c>
      <x:c r="W236" t="n">
        <x:f>MIN(100,40+IF(O236&gt;0,20,0)+IF(M236&lt;&gt;"",20,0)+IF(AF236&lt;&gt;"",20,0))</x:f>
        <x:v>100</x:v>
      </x:c>
      <x:c r="X236" t="str">
        <x:v>Placed on exact national road host link</x:v>
      </x:c>
      <x:c r="Y236" t="str">
        <x:v>Unpaved</x:v>
      </x:c>
      <x:c r="Z236" t="str">
        <x:v>C</x:v>
      </x:c>
      <x:c r="AA236" t="str">
        <x:v>Not available in governed source</x:v>
      </x:c>
      <x:c r="AB236" t="str">
        <x:v>Not available in governed source</x:v>
      </x:c>
      <x:c r="AC236" t="str">
        <x:v>FY2025/26</x:v>
      </x:c>
      <x:c r="AD236" t="str">
        <x:v>Modelled</x:v>
      </x:c>
      <x:c r="AE236" t="str">
        <x:v>2026 bridge AADT rebuilt from host-link traffic history, annual collection-link history, same-road corridor history and spatial count-station influence. Vehicle-class values are assigned from functional-class shares.</x:v>
      </x:c>
      <x:c r="AF236" t="str">
        <x:v>Placed on exact national road host link</x:v>
      </x:c>
    </x:row>
    <x:row r="237" ht="15" hidden="0" customHeight="1">
      <x:c r="A237" t="str">
        <x:v>bridge-236</x:v>
      </x:c>
      <x:c r="B237" t="str">
        <x:v>B223</x:v>
      </x:c>
      <x:c r="C237" t="str">
        <x:v>BUKOOLA</x:v>
      </x:c>
      <x:c r="D237" t="str">
        <x:v>C271_Link04</x:v>
      </x:c>
      <x:c r="E237" t="str">
        <x:v>Kitumbi Bridge - Bukwiri</x:v>
      </x:c>
      <x:c r="F237" t="str">
        <x:v>C</x:v>
      </x:c>
      <x:c r="G237" t="str">
        <x:v>Western</x:v>
      </x:c>
      <x:c r="H237" t="str">
        <x:v>Hoima</x:v>
      </x:c>
      <x:c r="I237" t="str">
        <x:v>BUKOOLA</x:v>
      </x:c>
      <x:c r="J237" t="str">
        <x:v>Marginal</x:v>
      </x:c>
      <x:c r="K237" t="n">
        <x:v>31.625471</x:v>
      </x:c>
      <x:c r="L237" t="n">
        <x:v>0.893864</x:v>
      </x:c>
      <x:c r="M237" t="n">
        <x:v>31.625775</x:v>
      </x:c>
      <x:c r="N237" t="n">
        <x:v>0.894128</x:v>
      </x:c>
      <x:c r="O237" t="n">
        <x:v>959.88</x:v>
      </x:c>
      <x:c r="P237" t="n">
        <x:f>IFERROR(INDEX(Assumptions!$B$9:$B$13,MATCH(F237,Assumptions!$A$9:$A$13,0)),0.15)</x:f>
        <x:v>0.28</x:v>
      </x:c>
      <x:c r="Q237" t="n">
        <x:f>ROUND(O237*(1-P237),0)</x:f>
        <x:v>691</x:v>
      </x:c>
      <x:c r="R237" t="n">
        <x:f>ROUND(O237*P237,0)</x:f>
        <x:v>269</x:v>
      </x:c>
      <x:c r="S237" t="n">
        <x:f>ROUND(O237*IFERROR(INDEX(Assumptions!$C$9:$C$13,MATCH(F237,Assumptions!$A$9:$A$13,0)),0.55),0)</x:f>
        <x:v>480</x:v>
      </x:c>
      <x:c r="T237" t="n">
        <x:f>ROUND(O237*IFERROR(INDEX(Assumptions!$D$9:$D$13,MATCH(F237,Assumptions!$A$9:$A$13,0)),0.06),0)</x:f>
        <x:v>48</x:v>
      </x:c>
      <x:c r="U237" t="n">
        <x:f>ROUND(O237*IFERROR(INDEX(Assumptions!$E$9:$E$13,MATCH(F237,Assumptions!$A$9:$A$13,0)),0.15),0)</x:f>
        <x:v>106</x:v>
      </x:c>
      <x:c r="V237" t="n">
        <x:f>MAX(0,O237-SUM(R237:U237))</x:f>
        <x:v>56.879999999999995</x:v>
      </x:c>
      <x:c r="W237" t="n">
        <x:f>MIN(100,40+IF(O237&gt;0,20,0)+IF(M237&lt;&gt;"",20,0)+IF(AF237&lt;&gt;"",20,0))</x:f>
        <x:v>100</x:v>
      </x:c>
      <x:c r="X237" t="str">
        <x:v>Placed on exact national road host link</x:v>
      </x:c>
      <x:c r="Y237" t="str">
        <x:v>Unpaved</x:v>
      </x:c>
      <x:c r="Z237" t="str">
        <x:v>C</x:v>
      </x:c>
      <x:c r="AA237" t="str">
        <x:v>Not available in governed source</x:v>
      </x:c>
      <x:c r="AB237" t="str">
        <x:v>Not available in governed source</x:v>
      </x:c>
      <x:c r="AC237" t="str">
        <x:v>FY2025/26</x:v>
      </x:c>
      <x:c r="AD237" t="str">
        <x:v>Modelled</x:v>
      </x:c>
      <x:c r="AE237" t="str">
        <x:v>2026 bridge AADT rebuilt from host-link traffic history, annual collection-link history, same-road corridor history and spatial count-station influence. Vehicle-class values are assigned from functional-class shares.</x:v>
      </x:c>
      <x:c r="AF237" t="str">
        <x:v>Placed on exact national road host link</x:v>
      </x:c>
    </x:row>
    <x:row r="238" ht="15" hidden="0" customHeight="1">
      <x:c r="A238" t="str">
        <x:v>bridge-237</x:v>
      </x:c>
      <x:c r="B238" t="str">
        <x:v>B225</x:v>
      </x:c>
      <x:c r="C238" t="str">
        <x:v>MAYANJA BRIDGE</x:v>
      </x:c>
      <x:c r="D238" t="str">
        <x:v>C320_Link01</x:v>
      </x:c>
      <x:c r="E238" t="str">
        <x:v>Kapeeka - Singo Military Barracks - Kituuma</x:v>
      </x:c>
      <x:c r="F238" t="str">
        <x:v>C</x:v>
      </x:c>
      <x:c r="G238" t="str">
        <x:v>Central</x:v>
      </x:c>
      <x:c r="H238" t="str">
        <x:v>Luwero</x:v>
      </x:c>
      <x:c r="I238" t="str">
        <x:v>RIVER MAYANJA</x:v>
      </x:c>
      <x:c r="J238" t="str">
        <x:v>Satisfactory</x:v>
      </x:c>
      <x:c r="K238" t="n">
        <x:v>32.171902</x:v>
      </x:c>
      <x:c r="L238" t="n">
        <x:v>0.68194</x:v>
      </x:c>
      <x:c r="M238" t="n">
        <x:v>32.152593</x:v>
      </x:c>
      <x:c r="N238" t="n">
        <x:v>0.687016</x:v>
      </x:c>
      <x:c r="O238" t="n">
        <x:v>2535.91</x:v>
      </x:c>
      <x:c r="P238" t="n">
        <x:f>IFERROR(INDEX(Assumptions!$B$9:$B$13,MATCH(F238,Assumptions!$A$9:$A$13,0)),0.15)</x:f>
        <x:v>0.28</x:v>
      </x:c>
      <x:c r="Q238" t="n">
        <x:f>ROUND(O238*(1-P238),0)</x:f>
        <x:v>1826</x:v>
      </x:c>
      <x:c r="R238" t="n">
        <x:f>ROUND(O238*P238,0)</x:f>
        <x:v>710</x:v>
      </x:c>
      <x:c r="S238" t="n">
        <x:f>ROUND(O238*IFERROR(INDEX(Assumptions!$C$9:$C$13,MATCH(F238,Assumptions!$A$9:$A$13,0)),0.55),0)</x:f>
        <x:v>1268</x:v>
      </x:c>
      <x:c r="T238" t="n">
        <x:f>ROUND(O238*IFERROR(INDEX(Assumptions!$D$9:$D$13,MATCH(F238,Assumptions!$A$9:$A$13,0)),0.06),0)</x:f>
        <x:v>127</x:v>
      </x:c>
      <x:c r="U238" t="n">
        <x:f>ROUND(O238*IFERROR(INDEX(Assumptions!$E$9:$E$13,MATCH(F238,Assumptions!$A$9:$A$13,0)),0.15),0)</x:f>
        <x:v>279</x:v>
      </x:c>
      <x:c r="V238" t="n">
        <x:f>MAX(0,O238-SUM(R238:U238))</x:f>
        <x:v>151.90999999999985</x:v>
      </x:c>
      <x:c r="W238" t="n">
        <x:f>MIN(100,40+IF(O238&gt;0,20,0)+IF(M238&lt;&gt;"",20,0)+IF(AF238&lt;&gt;"",20,0))</x:f>
        <x:v>100</x:v>
      </x:c>
      <x:c r="X238" t="str">
        <x:v>Placed on exact national road host link</x:v>
      </x:c>
      <x:c r="Y238" t="str">
        <x:v>Unpaved</x:v>
      </x:c>
      <x:c r="Z238" t="str">
        <x:v>C</x:v>
      </x:c>
      <x:c r="AA238" t="str">
        <x:v>Not available in governed source</x:v>
      </x:c>
      <x:c r="AB238" t="str">
        <x:v>Not available in governed source</x:v>
      </x:c>
      <x:c r="AC238" t="str">
        <x:v>FY2025/26</x:v>
      </x:c>
      <x:c r="AD238" t="str">
        <x:v>Modelled</x:v>
      </x:c>
      <x:c r="AE238" t="str">
        <x:v>2026 bridge AADT rebuilt from host-link traffic history, annual collection-link history, same-road corridor history and spatial count-station influence. Vehicle-class values are assigned from functional-class shares.</x:v>
      </x:c>
      <x:c r="AF238" t="str">
        <x:v>Placed on exact national road host link</x:v>
      </x:c>
    </x:row>
    <x:row r="239" ht="15" hidden="0" customHeight="1">
      <x:c r="A239" t="str">
        <x:v>bridge-238</x:v>
      </x:c>
      <x:c r="B239" t="str">
        <x:v>B227</x:v>
      </x:c>
      <x:c r="C239" t="str">
        <x:v>NKURUNGU</x:v>
      </x:c>
      <x:c r="D239" t="str">
        <x:v>C373_Link02</x:v>
      </x:c>
      <x:c r="E239" t="str">
        <x:v>Kabujogera - Mahyoro Junction</x:v>
      </x:c>
      <x:c r="F239" t="str">
        <x:v>C</x:v>
      </x:c>
      <x:c r="G239" t="str">
        <x:v>Southern</x:v>
      </x:c>
      <x:c r="H239" t="str">
        <x:v>Ibanda</x:v>
      </x:c>
      <x:c r="I239" t="str">
        <x:v>NKURUNGU</x:v>
      </x:c>
      <x:c r="J239" t="str">
        <x:v>Critical</x:v>
      </x:c>
      <x:c r="K239" t="n">
        <x:v>30.346518</x:v>
      </x:c>
      <x:c r="L239" t="n">
        <x:v>-0.102603</x:v>
      </x:c>
      <x:c r="M239" t="n">
        <x:v>30.346495</x:v>
      </x:c>
      <x:c r="N239" t="n">
        <x:v>-0.102558</x:v>
      </x:c>
      <x:c r="O239" t="n">
        <x:v>1019.74</x:v>
      </x:c>
      <x:c r="P239" t="n">
        <x:f>IFERROR(INDEX(Assumptions!$B$9:$B$13,MATCH(F239,Assumptions!$A$9:$A$13,0)),0.15)</x:f>
        <x:v>0.28</x:v>
      </x:c>
      <x:c r="Q239" t="n">
        <x:f>ROUND(O239*(1-P239),0)</x:f>
        <x:v>734</x:v>
      </x:c>
      <x:c r="R239" t="n">
        <x:f>ROUND(O239*P239,0)</x:f>
        <x:v>286</x:v>
      </x:c>
      <x:c r="S239" t="n">
        <x:f>ROUND(O239*IFERROR(INDEX(Assumptions!$C$9:$C$13,MATCH(F239,Assumptions!$A$9:$A$13,0)),0.55),0)</x:f>
        <x:v>510</x:v>
      </x:c>
      <x:c r="T239" t="n">
        <x:f>ROUND(O239*IFERROR(INDEX(Assumptions!$D$9:$D$13,MATCH(F239,Assumptions!$A$9:$A$13,0)),0.06),0)</x:f>
        <x:v>51</x:v>
      </x:c>
      <x:c r="U239" t="n">
        <x:f>ROUND(O239*IFERROR(INDEX(Assumptions!$E$9:$E$13,MATCH(F239,Assumptions!$A$9:$A$13,0)),0.15),0)</x:f>
        <x:v>112</x:v>
      </x:c>
      <x:c r="V239" t="n">
        <x:f>MAX(0,O239-SUM(R239:U239))</x:f>
        <x:v>60.74000000000001</x:v>
      </x:c>
      <x:c r="W239" t="n">
        <x:f>MIN(100,40+IF(O239&gt;0,20,0)+IF(M239&lt;&gt;"",20,0)+IF(AF239&lt;&gt;"",20,0))</x:f>
        <x:v>100</x:v>
      </x:c>
      <x:c r="X239" t="str">
        <x:v>Placed on exact national road host link</x:v>
      </x:c>
      <x:c r="Y239" t="str">
        <x:v>Unpaved</x:v>
      </x:c>
      <x:c r="Z239" t="str">
        <x:v>C</x:v>
      </x:c>
      <x:c r="AA239" t="str">
        <x:v>Not available in governed source</x:v>
      </x:c>
      <x:c r="AB239" t="str">
        <x:v>Not available in governed source</x:v>
      </x:c>
      <x:c r="AC239" t="str">
        <x:v>FY2025/26</x:v>
      </x:c>
      <x:c r="AD239" t="str">
        <x:v>Modelled</x:v>
      </x:c>
      <x:c r="AE239" t="str">
        <x:v>2026 bridge AADT rebuilt from host-link traffic history, annual collection-link history, same-road corridor history and spatial count-station influence. Vehicle-class values are assigned from functional-class shares.</x:v>
      </x:c>
      <x:c r="AF239" t="str">
        <x:v>Placed on exact national road host link</x:v>
      </x:c>
    </x:row>
    <x:row r="240" ht="15" hidden="0" customHeight="1">
      <x:c r="A240" t="str">
        <x:v>bridge-239</x:v>
      </x:c>
      <x:c r="B240" t="str">
        <x:v>B228</x:v>
      </x:c>
      <x:c r="C240" t="str">
        <x:v>BUTEMBE BRIDGE</x:v>
      </x:c>
      <x:c r="D240" t="str">
        <x:v>C452_Link01</x:v>
      </x:c>
      <x:c r="E240" t="str">
        <x:v>Rukungiri - Station Boundary</x:v>
      </x:c>
      <x:c r="F240" t="str">
        <x:v>C</x:v>
      </x:c>
      <x:c r="G240" t="str">
        <x:v>Southern</x:v>
      </x:c>
      <x:c r="H240" t="str">
        <x:v>Kabale</x:v>
      </x:c>
      <x:c r="I240" t="str">
        <x:v>BUTEMBE RIVER</x:v>
      </x:c>
      <x:c r="J240" t="str">
        <x:v>Marginal</x:v>
      </x:c>
      <x:c r="K240" t="n">
        <x:v>29.958969</x:v>
      </x:c>
      <x:c r="L240" t="n">
        <x:v>-0.65107</x:v>
      </x:c>
      <x:c r="M240" t="n">
        <x:v>29.95874</x:v>
      </x:c>
      <x:c r="N240" t="n">
        <x:v>-0.65191</x:v>
      </x:c>
      <x:c r="O240" t="n">
        <x:v>1058.01</x:v>
      </x:c>
      <x:c r="P240" t="n">
        <x:f>IFERROR(INDEX(Assumptions!$B$9:$B$13,MATCH(F240,Assumptions!$A$9:$A$13,0)),0.15)</x:f>
        <x:v>0.28</x:v>
      </x:c>
      <x:c r="Q240" t="n">
        <x:f>ROUND(O240*(1-P240),0)</x:f>
        <x:v>762</x:v>
      </x:c>
      <x:c r="R240" t="n">
        <x:f>ROUND(O240*P240,0)</x:f>
        <x:v>296</x:v>
      </x:c>
      <x:c r="S240" t="n">
        <x:f>ROUND(O240*IFERROR(INDEX(Assumptions!$C$9:$C$13,MATCH(F240,Assumptions!$A$9:$A$13,0)),0.55),0)</x:f>
        <x:v>529</x:v>
      </x:c>
      <x:c r="T240" t="n">
        <x:f>ROUND(O240*IFERROR(INDEX(Assumptions!$D$9:$D$13,MATCH(F240,Assumptions!$A$9:$A$13,0)),0.06),0)</x:f>
        <x:v>53</x:v>
      </x:c>
      <x:c r="U240" t="n">
        <x:f>ROUND(O240*IFERROR(INDEX(Assumptions!$E$9:$E$13,MATCH(F240,Assumptions!$A$9:$A$13,0)),0.15),0)</x:f>
        <x:v>116</x:v>
      </x:c>
      <x:c r="V240" t="n">
        <x:f>MAX(0,O240-SUM(R240:U240))</x:f>
        <x:v>64.00999999999999</x:v>
      </x:c>
      <x:c r="W240" t="n">
        <x:f>MIN(100,40+IF(O240&gt;0,20,0)+IF(M240&lt;&gt;"",20,0)+IF(AF240&lt;&gt;"",20,0))</x:f>
        <x:v>100</x:v>
      </x:c>
      <x:c r="X240" t="str">
        <x:v>Placed on exact national road host link</x:v>
      </x:c>
      <x:c r="Y240" t="str">
        <x:v>Unpaved</x:v>
      </x:c>
      <x:c r="Z240" t="str">
        <x:v>C</x:v>
      </x:c>
      <x:c r="AA240" t="str">
        <x:v>Not available in governed source</x:v>
      </x:c>
      <x:c r="AB240" t="str">
        <x:v>Not available in governed source</x:v>
      </x:c>
      <x:c r="AC240" t="str">
        <x:v>FY2025/26</x:v>
      </x:c>
      <x:c r="AD240" t="str">
        <x:v>Modelled</x:v>
      </x:c>
      <x:c r="AE240" t="str">
        <x:v>2026 bridge AADT rebuilt from host-link traffic history, annual collection-link history, same-road corridor history and spatial count-station influence. Vehicle-class values are assigned from functional-class shares.</x:v>
      </x:c>
      <x:c r="AF240" t="str">
        <x:v>Placed on exact national road host link</x:v>
      </x:c>
    </x:row>
    <x:row r="241" ht="15" hidden="0" customHeight="1">
      <x:c r="A241" t="str">
        <x:v>bridge-240</x:v>
      </x:c>
      <x:c r="B241" t="str">
        <x:v>B229</x:v>
      </x:c>
      <x:c r="C241" t="str">
        <x:v>KYONYO</x:v>
      </x:c>
      <x:c r="D241" t="str">
        <x:v>C416_Link02</x:v>
      </x:c>
      <x:c r="E241" t="str">
        <x:v>Nsiika - Bihanga -Katerera(Ishaka T/C)</x:v>
      </x:c>
      <x:c r="F241" t="str">
        <x:v>C</x:v>
      </x:c>
      <x:c r="G241" t="str">
        <x:v>Southern</x:v>
      </x:c>
      <x:c r="H241" t="str">
        <x:v>Ibanda</x:v>
      </x:c>
      <x:c r="I241" t="str">
        <x:v>KYONYO</x:v>
      </x:c>
      <x:c r="J241" t="str">
        <x:v>Critical</x:v>
      </x:c>
      <x:c r="K241" t="n">
        <x:v>30.326916</x:v>
      </x:c>
      <x:c r="L241" t="n">
        <x:v>-0.263133</x:v>
      </x:c>
      <x:c r="M241" t="n">
        <x:v>30.385658</x:v>
      </x:c>
      <x:c r="N241" t="n">
        <x:v>-0.276937</x:v>
      </x:c>
      <x:c r="O241" t="n">
        <x:v>1048.7</x:v>
      </x:c>
      <x:c r="P241" t="n">
        <x:f>IFERROR(INDEX(Assumptions!$B$9:$B$13,MATCH(F241,Assumptions!$A$9:$A$13,0)),0.15)</x:f>
        <x:v>0.28</x:v>
      </x:c>
      <x:c r="Q241" t="n">
        <x:f>ROUND(O241*(1-P241),0)</x:f>
        <x:v>755</x:v>
      </x:c>
      <x:c r="R241" t="n">
        <x:f>ROUND(O241*P241,0)</x:f>
        <x:v>294</x:v>
      </x:c>
      <x:c r="S241" t="n">
        <x:f>ROUND(O241*IFERROR(INDEX(Assumptions!$C$9:$C$13,MATCH(F241,Assumptions!$A$9:$A$13,0)),0.55),0)</x:f>
        <x:v>524</x:v>
      </x:c>
      <x:c r="T241" t="n">
        <x:f>ROUND(O241*IFERROR(INDEX(Assumptions!$D$9:$D$13,MATCH(F241,Assumptions!$A$9:$A$13,0)),0.06),0)</x:f>
        <x:v>52</x:v>
      </x:c>
      <x:c r="U241" t="n">
        <x:f>ROUND(O241*IFERROR(INDEX(Assumptions!$E$9:$E$13,MATCH(F241,Assumptions!$A$9:$A$13,0)),0.15),0)</x:f>
        <x:v>115</x:v>
      </x:c>
      <x:c r="V241" t="n">
        <x:f>MAX(0,O241-SUM(R241:U241))</x:f>
        <x:v>63.700000000000045</x:v>
      </x:c>
      <x:c r="W241" t="n">
        <x:f>MIN(100,40+IF(O241&gt;0,20,0)+IF(M241&lt;&gt;"",20,0)+IF(AF241&lt;&gt;"",20,0))</x:f>
        <x:v>100</x:v>
      </x:c>
      <x:c r="X241" t="str">
        <x:v>Placed on exact national road host link</x:v>
      </x:c>
      <x:c r="Y241" t="str">
        <x:v>Unpaved</x:v>
      </x:c>
      <x:c r="Z241" t="str">
        <x:v>C</x:v>
      </x:c>
      <x:c r="AA241" t="str">
        <x:v>Not available in governed source</x:v>
      </x:c>
      <x:c r="AB241" t="str">
        <x:v>Not available in governed source</x:v>
      </x:c>
      <x:c r="AC241" t="str">
        <x:v>FY2025/26</x:v>
      </x:c>
      <x:c r="AD241" t="str">
        <x:v>Modelled</x:v>
      </x:c>
      <x:c r="AE241" t="str">
        <x:v>2026 bridge AADT rebuilt from host-link traffic history, annual collection-link history, same-road corridor history and spatial count-station influence. Vehicle-class values are assigned from functional-class shares.</x:v>
      </x:c>
      <x:c r="AF241" t="str">
        <x:v>Placed on exact national road host link</x:v>
      </x:c>
    </x:row>
    <x:row r="242" ht="15" hidden="0" customHeight="1">
      <x:c r="A242" t="str">
        <x:v>bridge-241</x:v>
      </x:c>
      <x:c r="B242" t="str">
        <x:v>B230</x:v>
      </x:c>
      <x:c r="C242" t="str">
        <x:v>Maziba Bridge</x:v>
      </x:c>
      <x:c r="D242" t="str">
        <x:v>C424_Link01</x:v>
      </x:c>
      <x:c r="E242" t="str">
        <x:v>Old Kabale Road (Kigata - Kabunyonyi - N</x:v>
      </x:c>
      <x:c r="F242" t="str">
        <x:v>C</x:v>
      </x:c>
      <x:c r="G242" t="str">
        <x:v>Southern</x:v>
      </x:c>
      <x:c r="H242" t="str">
        <x:v>Kabale</x:v>
      </x:c>
      <x:c r="I242" t="str">
        <x:v>Kacwamahembe</x:v>
      </x:c>
      <x:c r="J242" t="str">
        <x:v>Marginal</x:v>
      </x:c>
      <x:c r="K242" t="n">
        <x:v>30.098591</x:v>
      </x:c>
      <x:c r="L242" t="n">
        <x:v>-1.31133</x:v>
      </x:c>
      <x:c r="M242" t="n">
        <x:v>30.068232</x:v>
      </x:c>
      <x:c r="N242" t="n">
        <x:v>-1.304579</x:v>
      </x:c>
      <x:c r="O242" t="n">
        <x:v>716.71</x:v>
      </x:c>
      <x:c r="P242" t="n">
        <x:f>IFERROR(INDEX(Assumptions!$B$9:$B$13,MATCH(F242,Assumptions!$A$9:$A$13,0)),0.15)</x:f>
        <x:v>0.28</x:v>
      </x:c>
      <x:c r="Q242" t="n">
        <x:f>ROUND(O242*(1-P242),0)</x:f>
        <x:v>516</x:v>
      </x:c>
      <x:c r="R242" t="n">
        <x:f>ROUND(O242*P242,0)</x:f>
        <x:v>201</x:v>
      </x:c>
      <x:c r="S242" t="n">
        <x:f>ROUND(O242*IFERROR(INDEX(Assumptions!$C$9:$C$13,MATCH(F242,Assumptions!$A$9:$A$13,0)),0.55),0)</x:f>
        <x:v>358</x:v>
      </x:c>
      <x:c r="T242" t="n">
        <x:f>ROUND(O242*IFERROR(INDEX(Assumptions!$D$9:$D$13,MATCH(F242,Assumptions!$A$9:$A$13,0)),0.06),0)</x:f>
        <x:v>36</x:v>
      </x:c>
      <x:c r="U242" t="n">
        <x:f>ROUND(O242*IFERROR(INDEX(Assumptions!$E$9:$E$13,MATCH(F242,Assumptions!$A$9:$A$13,0)),0.15),0)</x:f>
        <x:v>79</x:v>
      </x:c>
      <x:c r="V242" t="n">
        <x:f>MAX(0,O242-SUM(R242:U242))</x:f>
        <x:v>42.710000000000036</x:v>
      </x:c>
      <x:c r="W242" t="n">
        <x:f>MIN(100,40+IF(O242&gt;0,20,0)+IF(M242&lt;&gt;"",20,0)+IF(AF242&lt;&gt;"",20,0))</x:f>
        <x:v>100</x:v>
      </x:c>
      <x:c r="X242" t="str">
        <x:v>Placed on exact national road host link</x:v>
      </x:c>
      <x:c r="Y242" t="str">
        <x:v>Unpaved</x:v>
      </x:c>
      <x:c r="Z242" t="str">
        <x:v>C</x:v>
      </x:c>
      <x:c r="AA242" t="str">
        <x:v>Not available in governed source</x:v>
      </x:c>
      <x:c r="AB242" t="str">
        <x:v>Not available in governed source</x:v>
      </x:c>
      <x:c r="AC242" t="str">
        <x:v>FY2025/26</x:v>
      </x:c>
      <x:c r="AD242" t="str">
        <x:v>Modelled</x:v>
      </x:c>
      <x:c r="AE242" t="str">
        <x:v>2026 bridge AADT rebuilt from host-link traffic history, annual collection-link history, same-road corridor history and spatial count-station influence. Vehicle-class values are assigned from functional-class shares.</x:v>
      </x:c>
      <x:c r="AF242" t="str">
        <x:v>Placed on exact national road host link</x:v>
      </x:c>
    </x:row>
    <x:row r="243" ht="15" hidden="0" customHeight="1">
      <x:c r="A243" t="str">
        <x:v>bridge-242</x:v>
      </x:c>
      <x:c r="B243" t="str">
        <x:v>B231</x:v>
      </x:c>
      <x:c r="C243" t="str">
        <x:v>MPUNGU BRIDGE</x:v>
      </x:c>
      <x:c r="D243" t="str">
        <x:v>C434_Link01</x:v>
      </x:c>
      <x:c r="E243" t="str">
        <x:v>Ikumba - Nfasha - Ruhija - Mpungu - Hama</x:v>
      </x:c>
      <x:c r="F243" t="str">
        <x:v>C</x:v>
      </x:c>
      <x:c r="G243" t="str">
        <x:v>Southern</x:v>
      </x:c>
      <x:c r="H243" t="str">
        <x:v>Kabale</x:v>
      </x:c>
      <x:c r="I243" t="str">
        <x:v>MPUNGU RIVER</x:v>
      </x:c>
      <x:c r="J243" t="str">
        <x:v>Marginal</x:v>
      </x:c>
      <x:c r="K243" t="n">
        <x:v>29.691502</x:v>
      </x:c>
      <x:c r="L243" t="n">
        <x:v>-0.979269</x:v>
      </x:c>
      <x:c r="M243" t="n">
        <x:v>29.690617</x:v>
      </x:c>
      <x:c r="N243" t="n">
        <x:v>-0.987963</x:v>
      </x:c>
      <x:c r="O243" t="n">
        <x:v>183.06</x:v>
      </x:c>
      <x:c r="P243" t="n">
        <x:f>IFERROR(INDEX(Assumptions!$B$9:$B$13,MATCH(F243,Assumptions!$A$9:$A$13,0)),0.15)</x:f>
        <x:v>0.28</x:v>
      </x:c>
      <x:c r="Q243" t="n">
        <x:f>ROUND(O243*(1-P243),0)</x:f>
        <x:v>132</x:v>
      </x:c>
      <x:c r="R243" t="n">
        <x:f>ROUND(O243*P243,0)</x:f>
        <x:v>51</x:v>
      </x:c>
      <x:c r="S243" t="n">
        <x:f>ROUND(O243*IFERROR(INDEX(Assumptions!$C$9:$C$13,MATCH(F243,Assumptions!$A$9:$A$13,0)),0.55),0)</x:f>
        <x:v>92</x:v>
      </x:c>
      <x:c r="T243" t="n">
        <x:f>ROUND(O243*IFERROR(INDEX(Assumptions!$D$9:$D$13,MATCH(F243,Assumptions!$A$9:$A$13,0)),0.06),0)</x:f>
        <x:v>9</x:v>
      </x:c>
      <x:c r="U243" t="n">
        <x:f>ROUND(O243*IFERROR(INDEX(Assumptions!$E$9:$E$13,MATCH(F243,Assumptions!$A$9:$A$13,0)),0.15),0)</x:f>
        <x:v>20</x:v>
      </x:c>
      <x:c r="V243" t="n">
        <x:f>MAX(0,O243-SUM(R243:U243))</x:f>
        <x:v>11.060000000000002</x:v>
      </x:c>
      <x:c r="W243" t="n">
        <x:f>MIN(100,40+IF(O243&gt;0,20,0)+IF(M243&lt;&gt;"",20,0)+IF(AF243&lt;&gt;"",20,0))</x:f>
        <x:v>100</x:v>
      </x:c>
      <x:c r="X243" t="str">
        <x:v>Placed on exact national road host link</x:v>
      </x:c>
      <x:c r="Y243" t="str">
        <x:v>Unpaved</x:v>
      </x:c>
      <x:c r="Z243" t="str">
        <x:v>C</x:v>
      </x:c>
      <x:c r="AA243" t="str">
        <x:v>Not available in governed source</x:v>
      </x:c>
      <x:c r="AB243" t="str">
        <x:v>Not available in governed source</x:v>
      </x:c>
      <x:c r="AC243" t="str">
        <x:v>FY2025/26</x:v>
      </x:c>
      <x:c r="AD243" t="str">
        <x:v>Modelled</x:v>
      </x:c>
      <x:c r="AE243" t="str">
        <x:v>2026 bridge AADT rebuilt from host-link traffic history, annual collection-link history, same-road corridor history and spatial count-station influence. Vehicle-class values are assigned from functional-class shares.</x:v>
      </x:c>
      <x:c r="AF243" t="str">
        <x:v>Placed on exact national road host link</x:v>
      </x:c>
    </x:row>
    <x:row r="244" ht="15" hidden="0" customHeight="1">
      <x:c r="A244" t="str">
        <x:v>bridge-243</x:v>
      </x:c>
      <x:c r="B244" t="str">
        <x:v>B232</x:v>
      </x:c>
      <x:c r="C244" t="str">
        <x:v>MUCHA BRIDGE</x:v>
      </x:c>
      <x:c r="D244" t="str">
        <x:v>C436_Link01</x:v>
      </x:c>
      <x:c r="E244" t="str">
        <x:v>Kisoro - Nyabwishenya</x:v>
      </x:c>
      <x:c r="F244" t="str">
        <x:v>C</x:v>
      </x:c>
      <x:c r="G244" t="str">
        <x:v>Southern</x:v>
      </x:c>
      <x:c r="H244" t="str">
        <x:v>Kabale</x:v>
      </x:c>
      <x:c r="I244" t="str">
        <x:v>MUCHA RIVER</x:v>
      </x:c>
      <x:c r="J244" t="str">
        <x:v>Marginal</x:v>
      </x:c>
      <x:c r="K244" t="n">
        <x:v>29.715969</x:v>
      </x:c>
      <x:c r="L244" t="n">
        <x:v>-1.22407</x:v>
      </x:c>
      <x:c r="M244" t="n">
        <x:v>29.70794</x:v>
      </x:c>
      <x:c r="N244" t="n">
        <x:v>-1.27031</x:v>
      </x:c>
      <x:c r="O244" t="n">
        <x:v>780.32</x:v>
      </x:c>
      <x:c r="P244" t="n">
        <x:f>IFERROR(INDEX(Assumptions!$B$9:$B$13,MATCH(F244,Assumptions!$A$9:$A$13,0)),0.15)</x:f>
        <x:v>0.28</x:v>
      </x:c>
      <x:c r="Q244" t="n">
        <x:f>ROUND(O244*(1-P244),0)</x:f>
        <x:v>562</x:v>
      </x:c>
      <x:c r="R244" t="n">
        <x:f>ROUND(O244*P244,0)</x:f>
        <x:v>218</x:v>
      </x:c>
      <x:c r="S244" t="n">
        <x:f>ROUND(O244*IFERROR(INDEX(Assumptions!$C$9:$C$13,MATCH(F244,Assumptions!$A$9:$A$13,0)),0.55),0)</x:f>
        <x:v>390</x:v>
      </x:c>
      <x:c r="T244" t="n">
        <x:f>ROUND(O244*IFERROR(INDEX(Assumptions!$D$9:$D$13,MATCH(F244,Assumptions!$A$9:$A$13,0)),0.06),0)</x:f>
        <x:v>39</x:v>
      </x:c>
      <x:c r="U244" t="n">
        <x:f>ROUND(O244*IFERROR(INDEX(Assumptions!$E$9:$E$13,MATCH(F244,Assumptions!$A$9:$A$13,0)),0.15),0)</x:f>
        <x:v>86</x:v>
      </x:c>
      <x:c r="V244" t="n">
        <x:f>MAX(0,O244-SUM(R244:U244))</x:f>
        <x:v>47.32000000000005</x:v>
      </x:c>
      <x:c r="W244" t="n">
        <x:f>MIN(100,40+IF(O244&gt;0,20,0)+IF(M244&lt;&gt;"",20,0)+IF(AF244&lt;&gt;"",20,0))</x:f>
        <x:v>100</x:v>
      </x:c>
      <x:c r="X244" t="str">
        <x:v>Placed on exact national road host link</x:v>
      </x:c>
      <x:c r="Y244" t="str">
        <x:v>Unpaved</x:v>
      </x:c>
      <x:c r="Z244" t="str">
        <x:v>C</x:v>
      </x:c>
      <x:c r="AA244" t="str">
        <x:v>Not available in governed source</x:v>
      </x:c>
      <x:c r="AB244" t="str">
        <x:v>Not available in governed source</x:v>
      </x:c>
      <x:c r="AC244" t="str">
        <x:v>FY2025/26</x:v>
      </x:c>
      <x:c r="AD244" t="str">
        <x:v>Modelled</x:v>
      </x:c>
      <x:c r="AE244" t="str">
        <x:v>2026 bridge AADT rebuilt from host-link traffic history, annual collection-link history, same-road corridor history and spatial count-station influence. Vehicle-class values are assigned from functional-class shares.</x:v>
      </x:c>
      <x:c r="AF244" t="str">
        <x:v>Placed on exact national road host link</x:v>
      </x:c>
    </x:row>
    <x:row r="245" ht="15" hidden="0" customHeight="1">
      <x:c r="A245" t="str">
        <x:v>bridge-244</x:v>
      </x:c>
      <x:c r="B245" t="str">
        <x:v>B233</x:v>
      </x:c>
      <x:c r="C245" t="str">
        <x:v>KAKU BRIDGE</x:v>
      </x:c>
      <x:c r="D245" t="str">
        <x:v>C439_Link01</x:v>
      </x:c>
      <x:c r="E245" t="str">
        <x:v>Natete - Busanza - Mpaka</x:v>
      </x:c>
      <x:c r="F245" t="str">
        <x:v>C</x:v>
      </x:c>
      <x:c r="G245" t="str">
        <x:v>Southern</x:v>
      </x:c>
      <x:c r="H245" t="str">
        <x:v>Kabale</x:v>
      </x:c>
      <x:c r="I245" t="str">
        <x:v>KAKU RIVER</x:v>
      </x:c>
      <x:c r="J245" t="str">
        <x:v>Good</x:v>
      </x:c>
      <x:c r="K245" t="n">
        <x:v>29.611555</x:v>
      </x:c>
      <x:c r="L245" t="n">
        <x:v>-1.197372</x:v>
      </x:c>
      <x:c r="M245" t="n">
        <x:v>29.611802</x:v>
      </x:c>
      <x:c r="N245" t="n">
        <x:v>-1.19903</x:v>
      </x:c>
      <x:c r="O245" t="n">
        <x:v>780.32</x:v>
      </x:c>
      <x:c r="P245" t="n">
        <x:f>IFERROR(INDEX(Assumptions!$B$9:$B$13,MATCH(F245,Assumptions!$A$9:$A$13,0)),0.15)</x:f>
        <x:v>0.28</x:v>
      </x:c>
      <x:c r="Q245" t="n">
        <x:f>ROUND(O245*(1-P245),0)</x:f>
        <x:v>562</x:v>
      </x:c>
      <x:c r="R245" t="n">
        <x:f>ROUND(O245*P245,0)</x:f>
        <x:v>218</x:v>
      </x:c>
      <x:c r="S245" t="n">
        <x:f>ROUND(O245*IFERROR(INDEX(Assumptions!$C$9:$C$13,MATCH(F245,Assumptions!$A$9:$A$13,0)),0.55),0)</x:f>
        <x:v>390</x:v>
      </x:c>
      <x:c r="T245" t="n">
        <x:f>ROUND(O245*IFERROR(INDEX(Assumptions!$D$9:$D$13,MATCH(F245,Assumptions!$A$9:$A$13,0)),0.06),0)</x:f>
        <x:v>39</x:v>
      </x:c>
      <x:c r="U245" t="n">
        <x:f>ROUND(O245*IFERROR(INDEX(Assumptions!$E$9:$E$13,MATCH(F245,Assumptions!$A$9:$A$13,0)),0.15),0)</x:f>
        <x:v>86</x:v>
      </x:c>
      <x:c r="V245" t="n">
        <x:f>MAX(0,O245-SUM(R245:U245))</x:f>
        <x:v>47.32000000000005</x:v>
      </x:c>
      <x:c r="W245" t="n">
        <x:f>MIN(100,40+IF(O245&gt;0,20,0)+IF(M245&lt;&gt;"",20,0)+IF(AF245&lt;&gt;"",20,0))</x:f>
        <x:v>100</x:v>
      </x:c>
      <x:c r="X245" t="str">
        <x:v>Placed on exact national road host link</x:v>
      </x:c>
      <x:c r="Y245" t="str">
        <x:v>Unpaved</x:v>
      </x:c>
      <x:c r="Z245" t="str">
        <x:v>C</x:v>
      </x:c>
      <x:c r="AA245" t="str">
        <x:v>Not available in governed source</x:v>
      </x:c>
      <x:c r="AB245" t="str">
        <x:v>Not available in governed source</x:v>
      </x:c>
      <x:c r="AC245" t="str">
        <x:v>FY2025/26</x:v>
      </x:c>
      <x:c r="AD245" t="str">
        <x:v>Modelled</x:v>
      </x:c>
      <x:c r="AE245" t="str">
        <x:v>2026 bridge AADT rebuilt from host-link traffic history, annual collection-link history, same-road corridor history and spatial count-station influence. Vehicle-class values are assigned from functional-class shares.</x:v>
      </x:c>
      <x:c r="AF245" t="str">
        <x:v>Placed on exact national road host link</x:v>
      </x:c>
    </x:row>
    <x:row r="246" ht="15" hidden="0" customHeight="1">
      <x:c r="A246" t="str">
        <x:v>bridge-245</x:v>
      </x:c>
      <x:c r="B246" t="str">
        <x:v>B234</x:v>
      </x:c>
      <x:c r="C246" t="str">
        <x:v>ISHASHA BRIDGE</x:v>
      </x:c>
      <x:c r="D246" t="str">
        <x:v>C440_Link01</x:v>
      </x:c>
      <x:c r="E246" t="str">
        <x:v>Kanyantorogo - Butogota</x:v>
      </x:c>
      <x:c r="F246" t="str">
        <x:v>C</x:v>
      </x:c>
      <x:c r="G246" t="str">
        <x:v>Southern</x:v>
      </x:c>
      <x:c r="H246" t="str">
        <x:v>Kabale</x:v>
      </x:c>
      <x:c r="I246" t="str">
        <x:v>ISHASHA RIVER</x:v>
      </x:c>
      <x:c r="J246" t="str">
        <x:v>Satisfactory</x:v>
      </x:c>
      <x:c r="K246" t="n">
        <x:v>29.640989</x:v>
      </x:c>
      <x:c r="L246" t="n">
        <x:v>-0.83906</x:v>
      </x:c>
      <x:c r="M246" t="n">
        <x:v>29.640392</x:v>
      </x:c>
      <x:c r="N246" t="n">
        <x:v>-0.841272</x:v>
      </x:c>
      <x:c r="O246" t="n">
        <x:v>1255.02</x:v>
      </x:c>
      <x:c r="P246" t="n">
        <x:f>IFERROR(INDEX(Assumptions!$B$9:$B$13,MATCH(F246,Assumptions!$A$9:$A$13,0)),0.15)</x:f>
        <x:v>0.28</x:v>
      </x:c>
      <x:c r="Q246" t="n">
        <x:f>ROUND(O246*(1-P246),0)</x:f>
        <x:v>904</x:v>
      </x:c>
      <x:c r="R246" t="n">
        <x:f>ROUND(O246*P246,0)</x:f>
        <x:v>351</x:v>
      </x:c>
      <x:c r="S246" t="n">
        <x:f>ROUND(O246*IFERROR(INDEX(Assumptions!$C$9:$C$13,MATCH(F246,Assumptions!$A$9:$A$13,0)),0.55),0)</x:f>
        <x:v>628</x:v>
      </x:c>
      <x:c r="T246" t="n">
        <x:f>ROUND(O246*IFERROR(INDEX(Assumptions!$D$9:$D$13,MATCH(F246,Assumptions!$A$9:$A$13,0)),0.06),0)</x:f>
        <x:v>63</x:v>
      </x:c>
      <x:c r="U246" t="n">
        <x:f>ROUND(O246*IFERROR(INDEX(Assumptions!$E$9:$E$13,MATCH(F246,Assumptions!$A$9:$A$13,0)),0.15),0)</x:f>
        <x:v>138</x:v>
      </x:c>
      <x:c r="V246" t="n">
        <x:f>MAX(0,O246-SUM(R246:U246))</x:f>
        <x:v>75.01999999999998</x:v>
      </x:c>
      <x:c r="W246" t="n">
        <x:f>MIN(100,40+IF(O246&gt;0,20,0)+IF(M246&lt;&gt;"",20,0)+IF(AF246&lt;&gt;"",20,0))</x:f>
        <x:v>100</x:v>
      </x:c>
      <x:c r="X246" t="str">
        <x:v>Placed on exact national road host link</x:v>
      </x:c>
      <x:c r="Y246" t="str">
        <x:v>Unpaved</x:v>
      </x:c>
      <x:c r="Z246" t="str">
        <x:v>C</x:v>
      </x:c>
      <x:c r="AA246" t="str">
        <x:v>Not available in governed source</x:v>
      </x:c>
      <x:c r="AB246" t="str">
        <x:v>Not available in governed source</x:v>
      </x:c>
      <x:c r="AC246" t="str">
        <x:v>FY2025/26</x:v>
      </x:c>
      <x:c r="AD246" t="str">
        <x:v>Modelled</x:v>
      </x:c>
      <x:c r="AE246" t="str">
        <x:v>2026 bridge AADT rebuilt from host-link traffic history, annual collection-link history, same-road corridor history and spatial count-station influence. Vehicle-class values are assigned from functional-class shares.</x:v>
      </x:c>
      <x:c r="AF246" t="str">
        <x:v>Placed on exact national road host link</x:v>
      </x:c>
    </x:row>
    <x:row r="247" ht="15" hidden="0" customHeight="1">
      <x:c r="A247" t="str">
        <x:v>bridge-246</x:v>
      </x:c>
      <x:c r="B247" t="str">
        <x:v>B235</x:v>
      </x:c>
      <x:c r="C247" t="str">
        <x:v>MUYAGA BRIDGE</x:v>
      </x:c>
      <x:c r="D247" t="str">
        <x:v>C440_Link02</x:v>
      </x:c>
      <x:c r="E247" t="str">
        <x:v>Butogota - Kyeshero-Buhom</x:v>
      </x:c>
      <x:c r="F247" t="str">
        <x:v>C</x:v>
      </x:c>
      <x:c r="G247" t="str">
        <x:v>Southern</x:v>
      </x:c>
      <x:c r="H247" t="str">
        <x:v>Kabale</x:v>
      </x:c>
      <x:c r="I247" t="str">
        <x:v>MUYAGA RIVER</x:v>
      </x:c>
      <x:c r="J247" t="str">
        <x:v>Satisfactory</x:v>
      </x:c>
      <x:c r="K247" t="n">
        <x:v>29.6374</x:v>
      </x:c>
      <x:c r="L247" t="n">
        <x:v>-0.90849</x:v>
      </x:c>
      <x:c r="M247" t="n">
        <x:v>29.636593</x:v>
      </x:c>
      <x:c r="N247" t="n">
        <x:v>-0.908522</x:v>
      </x:c>
      <x:c r="O247" t="n">
        <x:v>1255.02</x:v>
      </x:c>
      <x:c r="P247" t="n">
        <x:f>IFERROR(INDEX(Assumptions!$B$9:$B$13,MATCH(F247,Assumptions!$A$9:$A$13,0)),0.15)</x:f>
        <x:v>0.28</x:v>
      </x:c>
      <x:c r="Q247" t="n">
        <x:f>ROUND(O247*(1-P247),0)</x:f>
        <x:v>904</x:v>
      </x:c>
      <x:c r="R247" t="n">
        <x:f>ROUND(O247*P247,0)</x:f>
        <x:v>351</x:v>
      </x:c>
      <x:c r="S247" t="n">
        <x:f>ROUND(O247*IFERROR(INDEX(Assumptions!$C$9:$C$13,MATCH(F247,Assumptions!$A$9:$A$13,0)),0.55),0)</x:f>
        <x:v>628</x:v>
      </x:c>
      <x:c r="T247" t="n">
        <x:f>ROUND(O247*IFERROR(INDEX(Assumptions!$D$9:$D$13,MATCH(F247,Assumptions!$A$9:$A$13,0)),0.06),0)</x:f>
        <x:v>63</x:v>
      </x:c>
      <x:c r="U247" t="n">
        <x:f>ROUND(O247*IFERROR(INDEX(Assumptions!$E$9:$E$13,MATCH(F247,Assumptions!$A$9:$A$13,0)),0.15),0)</x:f>
        <x:v>138</x:v>
      </x:c>
      <x:c r="V247" t="n">
        <x:f>MAX(0,O247-SUM(R247:U247))</x:f>
        <x:v>75.01999999999998</x:v>
      </x:c>
      <x:c r="W247" t="n">
        <x:f>MIN(100,40+IF(O247&gt;0,20,0)+IF(M247&lt;&gt;"",20,0)+IF(AF247&lt;&gt;"",20,0))</x:f>
        <x:v>100</x:v>
      </x:c>
      <x:c r="X247" t="str">
        <x:v>Placed on exact national road host link</x:v>
      </x:c>
      <x:c r="Y247" t="str">
        <x:v>Unpaved</x:v>
      </x:c>
      <x:c r="Z247" t="str">
        <x:v>C</x:v>
      </x:c>
      <x:c r="AA247" t="str">
        <x:v>Not available in governed source</x:v>
      </x:c>
      <x:c r="AB247" t="str">
        <x:v>Not available in governed source</x:v>
      </x:c>
      <x:c r="AC247" t="str">
        <x:v>FY2025/26</x:v>
      </x:c>
      <x:c r="AD247" t="str">
        <x:v>Modelled</x:v>
      </x:c>
      <x:c r="AE247" t="str">
        <x:v>2026 bridge AADT rebuilt from host-link traffic history, annual collection-link history, same-road corridor history and spatial count-station influence. Vehicle-class values are assigned from functional-class shares.</x:v>
      </x:c>
      <x:c r="AF247" t="str">
        <x:v>Placed on exact national road host link</x:v>
      </x:c>
    </x:row>
    <x:row r="248" ht="15" hidden="0" customHeight="1">
      <x:c r="A248" t="str">
        <x:v>bridge-247</x:v>
      </x:c>
      <x:c r="B248" t="str">
        <x:v>B236</x:v>
      </x:c>
      <x:c r="C248" t="str">
        <x:v>KIRURUMA BRIDGE</x:v>
      </x:c>
      <x:c r="D248" t="str">
        <x:v>C441_Link01</x:v>
      </x:c>
      <x:c r="E248" t="str">
        <x:v>Katojo - Kihihi</x:v>
      </x:c>
      <x:c r="F248" t="str">
        <x:v>C</x:v>
      </x:c>
      <x:c r="G248" t="str">
        <x:v>Southern</x:v>
      </x:c>
      <x:c r="H248" t="str">
        <x:v>Kabale</x:v>
      </x:c>
      <x:c r="I248" t="str">
        <x:v>KIRURUMA</x:v>
      </x:c>
      <x:c r="J248" t="str">
        <x:v>Good</x:v>
      </x:c>
      <x:c r="K248" t="n">
        <x:v>29.72121</x:v>
      </x:c>
      <x:c r="L248" t="n">
        <x:v>-0.76536</x:v>
      </x:c>
      <x:c r="M248" t="n">
        <x:v>29.722196</x:v>
      </x:c>
      <x:c r="N248" t="n">
        <x:v>-0.765182</x:v>
      </x:c>
      <x:c r="O248" t="n">
        <x:v>1255.02</x:v>
      </x:c>
      <x:c r="P248" t="n">
        <x:f>IFERROR(INDEX(Assumptions!$B$9:$B$13,MATCH(F248,Assumptions!$A$9:$A$13,0)),0.15)</x:f>
        <x:v>0.28</x:v>
      </x:c>
      <x:c r="Q248" t="n">
        <x:f>ROUND(O248*(1-P248),0)</x:f>
        <x:v>904</x:v>
      </x:c>
      <x:c r="R248" t="n">
        <x:f>ROUND(O248*P248,0)</x:f>
        <x:v>351</x:v>
      </x:c>
      <x:c r="S248" t="n">
        <x:f>ROUND(O248*IFERROR(INDEX(Assumptions!$C$9:$C$13,MATCH(F248,Assumptions!$A$9:$A$13,0)),0.55),0)</x:f>
        <x:v>628</x:v>
      </x:c>
      <x:c r="T248" t="n">
        <x:f>ROUND(O248*IFERROR(INDEX(Assumptions!$D$9:$D$13,MATCH(F248,Assumptions!$A$9:$A$13,0)),0.06),0)</x:f>
        <x:v>63</x:v>
      </x:c>
      <x:c r="U248" t="n">
        <x:f>ROUND(O248*IFERROR(INDEX(Assumptions!$E$9:$E$13,MATCH(F248,Assumptions!$A$9:$A$13,0)),0.15),0)</x:f>
        <x:v>138</x:v>
      </x:c>
      <x:c r="V248" t="n">
        <x:f>MAX(0,O248-SUM(R248:U248))</x:f>
        <x:v>75.01999999999998</x:v>
      </x:c>
      <x:c r="W248" t="n">
        <x:f>MIN(100,40+IF(O248&gt;0,20,0)+IF(M248&lt;&gt;"",20,0)+IF(AF248&lt;&gt;"",20,0))</x:f>
        <x:v>100</x:v>
      </x:c>
      <x:c r="X248" t="str">
        <x:v>Placed on exact national road host link</x:v>
      </x:c>
      <x:c r="Y248" t="str">
        <x:v>Unpaved</x:v>
      </x:c>
      <x:c r="Z248" t="str">
        <x:v>C</x:v>
      </x:c>
      <x:c r="AA248" t="str">
        <x:v>Not available in governed source</x:v>
      </x:c>
      <x:c r="AB248" t="str">
        <x:v>Not available in governed source</x:v>
      </x:c>
      <x:c r="AC248" t="str">
        <x:v>FY2025/26</x:v>
      </x:c>
      <x:c r="AD248" t="str">
        <x:v>Modelled</x:v>
      </x:c>
      <x:c r="AE248" t="str">
        <x:v>2026 bridge AADT rebuilt from host-link traffic history, annual collection-link history, same-road corridor history and spatial count-station influence. Vehicle-class values are assigned from functional-class shares.</x:v>
      </x:c>
      <x:c r="AF248" t="str">
        <x:v>Placed on exact national road host link</x:v>
      </x:c>
    </x:row>
    <x:row r="249" ht="15" hidden="0" customHeight="1">
      <x:c r="A249" t="str">
        <x:v>bridge-248</x:v>
      </x:c>
      <x:c r="B249" t="str">
        <x:v>B237</x:v>
      </x:c>
      <x:c r="C249" t="str">
        <x:v>MITANO 01</x:v>
      </x:c>
      <x:c r="D249" t="str">
        <x:v>C442_Link02</x:v>
      </x:c>
      <x:c r="E249" t="str">
        <x:v>Ruerere - Mitaano</x:v>
      </x:c>
      <x:c r="F249" t="str">
        <x:v>C</x:v>
      </x:c>
      <x:c r="G249" t="str">
        <x:v>Southern</x:v>
      </x:c>
      <x:c r="H249" t="str">
        <x:v>Kabale</x:v>
      </x:c>
      <x:c r="I249" t="str">
        <x:v>MITANO RIVER</x:v>
      </x:c>
      <x:c r="J249" t="str">
        <x:v>Good</x:v>
      </x:c>
      <x:c r="K249" t="n">
        <x:v>29.82247</x:v>
      </x:c>
      <x:c r="L249" t="n">
        <x:v>-0.78366</x:v>
      </x:c>
      <x:c r="M249" t="n">
        <x:v>29.786006</x:v>
      </x:c>
      <x:c r="N249" t="n">
        <x:v>-0.827071</x:v>
      </x:c>
      <x:c r="O249" t="n">
        <x:v>1255.02</x:v>
      </x:c>
      <x:c r="P249" t="n">
        <x:f>IFERROR(INDEX(Assumptions!$B$9:$B$13,MATCH(F249,Assumptions!$A$9:$A$13,0)),0.15)</x:f>
        <x:v>0.28</x:v>
      </x:c>
      <x:c r="Q249" t="n">
        <x:f>ROUND(O249*(1-P249),0)</x:f>
        <x:v>904</x:v>
      </x:c>
      <x:c r="R249" t="n">
        <x:f>ROUND(O249*P249,0)</x:f>
        <x:v>351</x:v>
      </x:c>
      <x:c r="S249" t="n">
        <x:f>ROUND(O249*IFERROR(INDEX(Assumptions!$C$9:$C$13,MATCH(F249,Assumptions!$A$9:$A$13,0)),0.55),0)</x:f>
        <x:v>628</x:v>
      </x:c>
      <x:c r="T249" t="n">
        <x:f>ROUND(O249*IFERROR(INDEX(Assumptions!$D$9:$D$13,MATCH(F249,Assumptions!$A$9:$A$13,0)),0.06),0)</x:f>
        <x:v>63</x:v>
      </x:c>
      <x:c r="U249" t="n">
        <x:f>ROUND(O249*IFERROR(INDEX(Assumptions!$E$9:$E$13,MATCH(F249,Assumptions!$A$9:$A$13,0)),0.15),0)</x:f>
        <x:v>138</x:v>
      </x:c>
      <x:c r="V249" t="n">
        <x:f>MAX(0,O249-SUM(R249:U249))</x:f>
        <x:v>75.01999999999998</x:v>
      </x:c>
      <x:c r="W249" t="n">
        <x:f>MIN(100,40+IF(O249&gt;0,20,0)+IF(M249&lt;&gt;"",20,0)+IF(AF249&lt;&gt;"",20,0))</x:f>
        <x:v>100</x:v>
      </x:c>
      <x:c r="X249" t="str">
        <x:v>Placed on exact national road host link</x:v>
      </x:c>
      <x:c r="Y249" t="str">
        <x:v>Unpaved</x:v>
      </x:c>
      <x:c r="Z249" t="str">
        <x:v>C</x:v>
      </x:c>
      <x:c r="AA249" t="str">
        <x:v>Not available in governed source</x:v>
      </x:c>
      <x:c r="AB249" t="str">
        <x:v>Not available in governed source</x:v>
      </x:c>
      <x:c r="AC249" t="str">
        <x:v>FY2025/26</x:v>
      </x:c>
      <x:c r="AD249" t="str">
        <x:v>Modelled</x:v>
      </x:c>
      <x:c r="AE249" t="str">
        <x:v>2026 bridge AADT rebuilt from host-link traffic history, annual collection-link history, same-road corridor history and spatial count-station influence. Vehicle-class values are assigned from functional-class shares.</x:v>
      </x:c>
      <x:c r="AF249" t="str">
        <x:v>Placed on exact national road host link</x:v>
      </x:c>
    </x:row>
    <x:row r="250" ht="15" hidden="0" customHeight="1">
      <x:c r="A250" t="str">
        <x:v>bridge-249</x:v>
      </x:c>
      <x:c r="B250" t="str">
        <x:v>B238</x:v>
      </x:c>
      <x:c r="C250" t="str">
        <x:v>KABAALE BRIDGE</x:v>
      </x:c>
      <x:c r="D250" t="str">
        <x:v>C442_Link01</x:v>
      </x:c>
      <x:c r="E250" t="str">
        <x:v>Rukungiri - Ruerere</x:v>
      </x:c>
      <x:c r="F250" t="str">
        <x:v>C</x:v>
      </x:c>
      <x:c r="G250" t="str">
        <x:v>Southern</x:v>
      </x:c>
      <x:c r="H250" t="str">
        <x:v>Kabale</x:v>
      </x:c>
      <x:c r="I250" t="str">
        <x:v>KABALE RIVER</x:v>
      </x:c>
      <x:c r="J250" t="str">
        <x:v>Marginal</x:v>
      </x:c>
      <x:c r="K250" t="n">
        <x:v>29.84602</x:v>
      </x:c>
      <x:c r="L250" t="n">
        <x:v>-0.7807</x:v>
      </x:c>
      <x:c r="M250" t="n">
        <x:v>29.913584</x:v>
      </x:c>
      <x:c r="N250" t="n">
        <x:v>-0.797383</x:v>
      </x:c>
      <x:c r="O250" t="n">
        <x:v>820.65</x:v>
      </x:c>
      <x:c r="P250" t="n">
        <x:f>IFERROR(INDEX(Assumptions!$B$9:$B$13,MATCH(F250,Assumptions!$A$9:$A$13,0)),0.15)</x:f>
        <x:v>0.28</x:v>
      </x:c>
      <x:c r="Q250" t="n">
        <x:f>ROUND(O250*(1-P250),0)</x:f>
        <x:v>591</x:v>
      </x:c>
      <x:c r="R250" t="n">
        <x:f>ROUND(O250*P250,0)</x:f>
        <x:v>230</x:v>
      </x:c>
      <x:c r="S250" t="n">
        <x:f>ROUND(O250*IFERROR(INDEX(Assumptions!$C$9:$C$13,MATCH(F250,Assumptions!$A$9:$A$13,0)),0.55),0)</x:f>
        <x:v>410</x:v>
      </x:c>
      <x:c r="T250" t="n">
        <x:f>ROUND(O250*IFERROR(INDEX(Assumptions!$D$9:$D$13,MATCH(F250,Assumptions!$A$9:$A$13,0)),0.06),0)</x:f>
        <x:v>41</x:v>
      </x:c>
      <x:c r="U250" t="n">
        <x:f>ROUND(O250*IFERROR(INDEX(Assumptions!$E$9:$E$13,MATCH(F250,Assumptions!$A$9:$A$13,0)),0.15),0)</x:f>
        <x:v>90</x:v>
      </x:c>
      <x:c r="V250" t="n">
        <x:f>MAX(0,O250-SUM(R250:U250))</x:f>
        <x:v>49.64999999999998</x:v>
      </x:c>
      <x:c r="W250" t="n">
        <x:f>MIN(100,40+IF(O250&gt;0,20,0)+IF(M250&lt;&gt;"",20,0)+IF(AF250&lt;&gt;"",20,0))</x:f>
        <x:v>100</x:v>
      </x:c>
      <x:c r="X250" t="str">
        <x:v>Placed on exact national road host link</x:v>
      </x:c>
      <x:c r="Y250" t="str">
        <x:v>Unpaved</x:v>
      </x:c>
      <x:c r="Z250" t="str">
        <x:v>C</x:v>
      </x:c>
      <x:c r="AA250" t="str">
        <x:v>Not available in governed source</x:v>
      </x:c>
      <x:c r="AB250" t="str">
        <x:v>Not available in governed source</x:v>
      </x:c>
      <x:c r="AC250" t="str">
        <x:v>FY2025/26</x:v>
      </x:c>
      <x:c r="AD250" t="str">
        <x:v>Modelled</x:v>
      </x:c>
      <x:c r="AE250" t="str">
        <x:v>2026 bridge AADT rebuilt from host-link traffic history, annual collection-link history, same-road corridor history and spatial count-station influence. Vehicle-class values are assigned from functional-class shares.</x:v>
      </x:c>
      <x:c r="AF250" t="str">
        <x:v>Placed on exact national road host link</x:v>
      </x:c>
    </x:row>
    <x:row r="251" ht="15" hidden="0" customHeight="1">
      <x:c r="A251" t="str">
        <x:v>bridge-250</x:v>
      </x:c>
      <x:c r="B251" t="str">
        <x:v>B239</x:v>
      </x:c>
      <x:c r="C251" t="str">
        <x:v>KAKINGO BRIDGE</x:v>
      </x:c>
      <x:c r="D251" t="str">
        <x:v>C445_Link02</x:v>
      </x:c>
      <x:c r="E251" t="str">
        <x:v>Bugangari - Campbell</x:v>
      </x:c>
      <x:c r="F251" t="str">
        <x:v>C</x:v>
      </x:c>
      <x:c r="G251" t="str">
        <x:v>Southern</x:v>
      </x:c>
      <x:c r="H251" t="str">
        <x:v>Kabale</x:v>
      </x:c>
      <x:c r="I251" t="str">
        <x:v>KAKINDO RIVER</x:v>
      </x:c>
      <x:c r="J251" t="str">
        <x:v>Marginal</x:v>
      </x:c>
      <x:c r="K251" t="n">
        <x:v>29.86307</x:v>
      </x:c>
      <x:c r="L251" t="n">
        <x:v>-0.67665</x:v>
      </x:c>
      <x:c r="M251" t="n">
        <x:v>29.8585</x:v>
      </x:c>
      <x:c r="N251" t="n">
        <x:v>-0.68783</x:v>
      </x:c>
      <x:c r="O251" t="n">
        <x:v>1644.41</x:v>
      </x:c>
      <x:c r="P251" t="n">
        <x:f>IFERROR(INDEX(Assumptions!$B$9:$B$13,MATCH(F251,Assumptions!$A$9:$A$13,0)),0.15)</x:f>
        <x:v>0.28</x:v>
      </x:c>
      <x:c r="Q251" t="n">
        <x:f>ROUND(O251*(1-P251),0)</x:f>
        <x:v>1184</x:v>
      </x:c>
      <x:c r="R251" t="n">
        <x:f>ROUND(O251*P251,0)</x:f>
        <x:v>460</x:v>
      </x:c>
      <x:c r="S251" t="n">
        <x:f>ROUND(O251*IFERROR(INDEX(Assumptions!$C$9:$C$13,MATCH(F251,Assumptions!$A$9:$A$13,0)),0.55),0)</x:f>
        <x:v>822</x:v>
      </x:c>
      <x:c r="T251" t="n">
        <x:f>ROUND(O251*IFERROR(INDEX(Assumptions!$D$9:$D$13,MATCH(F251,Assumptions!$A$9:$A$13,0)),0.06),0)</x:f>
        <x:v>82</x:v>
      </x:c>
      <x:c r="U251" t="n">
        <x:f>ROUND(O251*IFERROR(INDEX(Assumptions!$E$9:$E$13,MATCH(F251,Assumptions!$A$9:$A$13,0)),0.15),0)</x:f>
        <x:v>181</x:v>
      </x:c>
      <x:c r="V251" t="n">
        <x:f>MAX(0,O251-SUM(R251:U251))</x:f>
        <x:v>99.41000000000008</x:v>
      </x:c>
      <x:c r="W251" t="n">
        <x:f>MIN(100,40+IF(O251&gt;0,20,0)+IF(M251&lt;&gt;"",20,0)+IF(AF251&lt;&gt;"",20,0))</x:f>
        <x:v>100</x:v>
      </x:c>
      <x:c r="X251" t="str">
        <x:v>Placed on exact national road host link</x:v>
      </x:c>
      <x:c r="Y251" t="str">
        <x:v>Unpaved</x:v>
      </x:c>
      <x:c r="Z251" t="str">
        <x:v>C</x:v>
      </x:c>
      <x:c r="AA251" t="str">
        <x:v>Not available in governed source</x:v>
      </x:c>
      <x:c r="AB251" t="str">
        <x:v>Not available in governed source</x:v>
      </x:c>
      <x:c r="AC251" t="str">
        <x:v>FY2025/26</x:v>
      </x:c>
      <x:c r="AD251" t="str">
        <x:v>Modelled</x:v>
      </x:c>
      <x:c r="AE251" t="str">
        <x:v>2026 bridge AADT rebuilt from host-link traffic history, annual collection-link history, same-road corridor history and spatial count-station influence. Vehicle-class values are assigned from functional-class shares.</x:v>
      </x:c>
      <x:c r="AF251" t="str">
        <x:v>Placed on exact national road host link</x:v>
      </x:c>
    </x:row>
    <x:row r="252" ht="15" hidden="0" customHeight="1">
      <x:c r="A252" t="str">
        <x:v>bridge-251</x:v>
      </x:c>
      <x:c r="B252" t="str">
        <x:v>B240</x:v>
      </x:c>
      <x:c r="C252" t="str">
        <x:v>RUSHAYA BRIDGE</x:v>
      </x:c>
      <x:c r="D252" t="str">
        <x:v>C445_Link02</x:v>
      </x:c>
      <x:c r="E252" t="str">
        <x:v>Bugangari - Campbell</x:v>
      </x:c>
      <x:c r="F252" t="str">
        <x:v>C</x:v>
      </x:c>
      <x:c r="G252" t="str">
        <x:v>Southern</x:v>
      </x:c>
      <x:c r="H252" t="str">
        <x:v>Kabale</x:v>
      </x:c>
      <x:c r="I252" t="str">
        <x:v>RUSHAYA RIVER</x:v>
      </x:c>
      <x:c r="J252" t="str">
        <x:v>Good</x:v>
      </x:c>
      <x:c r="K252" t="n">
        <x:v>29.793762</x:v>
      </x:c>
      <x:c r="L252" t="n">
        <x:v>-0.583351</x:v>
      </x:c>
      <x:c r="M252" t="n">
        <x:v>29.8585</x:v>
      </x:c>
      <x:c r="N252" t="n">
        <x:v>-0.68783</x:v>
      </x:c>
      <x:c r="O252" t="n">
        <x:v>1644.41</x:v>
      </x:c>
      <x:c r="P252" t="n">
        <x:f>IFERROR(INDEX(Assumptions!$B$9:$B$13,MATCH(F252,Assumptions!$A$9:$A$13,0)),0.15)</x:f>
        <x:v>0.28</x:v>
      </x:c>
      <x:c r="Q252" t="n">
        <x:f>ROUND(O252*(1-P252),0)</x:f>
        <x:v>1184</x:v>
      </x:c>
      <x:c r="R252" t="n">
        <x:f>ROUND(O252*P252,0)</x:f>
        <x:v>460</x:v>
      </x:c>
      <x:c r="S252" t="n">
        <x:f>ROUND(O252*IFERROR(INDEX(Assumptions!$C$9:$C$13,MATCH(F252,Assumptions!$A$9:$A$13,0)),0.55),0)</x:f>
        <x:v>822</x:v>
      </x:c>
      <x:c r="T252" t="n">
        <x:f>ROUND(O252*IFERROR(INDEX(Assumptions!$D$9:$D$13,MATCH(F252,Assumptions!$A$9:$A$13,0)),0.06),0)</x:f>
        <x:v>82</x:v>
      </x:c>
      <x:c r="U252" t="n">
        <x:f>ROUND(O252*IFERROR(INDEX(Assumptions!$E$9:$E$13,MATCH(F252,Assumptions!$A$9:$A$13,0)),0.15),0)</x:f>
        <x:v>181</x:v>
      </x:c>
      <x:c r="V252" t="n">
        <x:f>MAX(0,O252-SUM(R252:U252))</x:f>
        <x:v>99.41000000000008</x:v>
      </x:c>
      <x:c r="W252" t="n">
        <x:f>MIN(100,40+IF(O252&gt;0,20,0)+IF(M252&lt;&gt;"",20,0)+IF(AF252&lt;&gt;"",20,0))</x:f>
        <x:v>100</x:v>
      </x:c>
      <x:c r="X252" t="str">
        <x:v>Placed on exact national road host link</x:v>
      </x:c>
      <x:c r="Y252" t="str">
        <x:v>Unpaved</x:v>
      </x:c>
      <x:c r="Z252" t="str">
        <x:v>C</x:v>
      </x:c>
      <x:c r="AA252" t="str">
        <x:v>Not available in governed source</x:v>
      </x:c>
      <x:c r="AB252" t="str">
        <x:v>Not available in governed source</x:v>
      </x:c>
      <x:c r="AC252" t="str">
        <x:v>FY2025/26</x:v>
      </x:c>
      <x:c r="AD252" t="str">
        <x:v>Modelled</x:v>
      </x:c>
      <x:c r="AE252" t="str">
        <x:v>2026 bridge AADT rebuilt from host-link traffic history, annual collection-link history, same-road corridor history and spatial count-station influence. Vehicle-class values are assigned from functional-class shares.</x:v>
      </x:c>
      <x:c r="AF252" t="str">
        <x:v>Placed on exact national road host link</x:v>
      </x:c>
    </x:row>
    <x:row r="253" ht="15" hidden="0" customHeight="1">
      <x:c r="A253" t="str">
        <x:v>bridge-252</x:v>
      </x:c>
      <x:c r="B253" t="str">
        <x:v>B241</x:v>
      </x:c>
      <x:c r="C253" t="str">
        <x:v>MITANO 02 BRIDGE</x:v>
      </x:c>
      <x:c r="D253" t="str">
        <x:v>C446_Link01</x:v>
      </x:c>
      <x:c r="E253" t="str">
        <x:v>Bukurungu - Nyamirama</x:v>
      </x:c>
      <x:c r="F253" t="str">
        <x:v>C</x:v>
      </x:c>
      <x:c r="G253" t="str">
        <x:v>Southern</x:v>
      </x:c>
      <x:c r="H253" t="str">
        <x:v>Kabale</x:v>
      </x:c>
      <x:c r="I253" t="str">
        <x:v>MITANO RIVER</x:v>
      </x:c>
      <x:c r="J253" t="str">
        <x:v>Marginal</x:v>
      </x:c>
      <x:c r="K253" t="n">
        <x:v>29.799648</x:v>
      </x:c>
      <x:c r="L253" t="n">
        <x:v>-0.683095</x:v>
      </x:c>
      <x:c r="M253" t="n">
        <x:v>29.748611</x:v>
      </x:c>
      <x:c r="N253" t="n">
        <x:v>-0.693549</x:v>
      </x:c>
      <x:c r="O253" t="n">
        <x:v>2246.32</x:v>
      </x:c>
      <x:c r="P253" t="n">
        <x:f>IFERROR(INDEX(Assumptions!$B$9:$B$13,MATCH(F253,Assumptions!$A$9:$A$13,0)),0.15)</x:f>
        <x:v>0.28</x:v>
      </x:c>
      <x:c r="Q253" t="n">
        <x:f>ROUND(O253*(1-P253),0)</x:f>
        <x:v>1617</x:v>
      </x:c>
      <x:c r="R253" t="n">
        <x:f>ROUND(O253*P253,0)</x:f>
        <x:v>629</x:v>
      </x:c>
      <x:c r="S253" t="n">
        <x:f>ROUND(O253*IFERROR(INDEX(Assumptions!$C$9:$C$13,MATCH(F253,Assumptions!$A$9:$A$13,0)),0.55),0)</x:f>
        <x:v>1123</x:v>
      </x:c>
      <x:c r="T253" t="n">
        <x:f>ROUND(O253*IFERROR(INDEX(Assumptions!$D$9:$D$13,MATCH(F253,Assumptions!$A$9:$A$13,0)),0.06),0)</x:f>
        <x:v>112</x:v>
      </x:c>
      <x:c r="U253" t="n">
        <x:f>ROUND(O253*IFERROR(INDEX(Assumptions!$E$9:$E$13,MATCH(F253,Assumptions!$A$9:$A$13,0)),0.15),0)</x:f>
        <x:v>247</x:v>
      </x:c>
      <x:c r="V253" t="n">
        <x:f>MAX(0,O253-SUM(R253:U253))</x:f>
        <x:v>135.32000000000016</x:v>
      </x:c>
      <x:c r="W253" t="n">
        <x:f>MIN(100,40+IF(O253&gt;0,20,0)+IF(M253&lt;&gt;"",20,0)+IF(AF253&lt;&gt;"",20,0))</x:f>
        <x:v>100</x:v>
      </x:c>
      <x:c r="X253" t="str">
        <x:v>Placed on exact national road host link</x:v>
      </x:c>
      <x:c r="Y253" t="str">
        <x:v>Paved</x:v>
      </x:c>
      <x:c r="Z253" t="str">
        <x:v>C</x:v>
      </x:c>
      <x:c r="AA253" t="str">
        <x:v>Not available in governed source</x:v>
      </x:c>
      <x:c r="AB253" t="str">
        <x:v>Not available in governed source</x:v>
      </x:c>
      <x:c r="AC253" t="str">
        <x:v>FY2025/26</x:v>
      </x:c>
      <x:c r="AD253" t="str">
        <x:v>Modelled</x:v>
      </x:c>
      <x:c r="AE253" t="str">
        <x:v>2026 bridge AADT rebuilt from host-link traffic history, annual collection-link history, same-road corridor history and spatial count-station influence. Vehicle-class values are assigned from functional-class shares.</x:v>
      </x:c>
      <x:c r="AF253" t="str">
        <x:v>Placed on exact national road host link</x:v>
      </x:c>
    </x:row>
    <x:row r="254" ht="15" hidden="0" customHeight="1">
      <x:c r="A254" t="str">
        <x:v>bridge-253</x:v>
      </x:c>
      <x:c r="B254" t="str">
        <x:v>B243</x:v>
      </x:c>
      <x:c r="C254" t="str">
        <x:v>RWAMUGANGA BRIDGE</x:v>
      </x:c>
      <x:c r="D254" t="str">
        <x:v>C447_Link01</x:v>
      </x:c>
      <x:c r="E254" t="str">
        <x:v>Kabwohe - Kitagata - Kabira(Mitooma)</x:v>
      </x:c>
      <x:c r="F254" t="str">
        <x:v>C</x:v>
      </x:c>
      <x:c r="G254" t="str">
        <x:v>Southern</x:v>
      </x:c>
      <x:c r="H254" t="str">
        <x:v>Mbarara</x:v>
      </x:c>
      <x:c r="I254" t="str">
        <x:v>RWAMUGANGA RIVER</x:v>
      </x:c>
      <x:c r="J254" t="str">
        <x:v>Poor</x:v>
      </x:c>
      <x:c r="K254" t="n">
        <x:v>30.289885</x:v>
      </x:c>
      <x:c r="L254" t="n">
        <x:v>-0.623411</x:v>
      </x:c>
      <x:c r="M254" t="n">
        <x:v>29.98664</x:v>
      </x:c>
      <x:c r="N254" t="n">
        <x:v>-0.71509</x:v>
      </x:c>
      <x:c r="O254" t="n">
        <x:v>698.1</x:v>
      </x:c>
      <x:c r="P254" t="n">
        <x:f>IFERROR(INDEX(Assumptions!$B$9:$B$13,MATCH(F254,Assumptions!$A$9:$A$13,0)),0.15)</x:f>
        <x:v>0.28</x:v>
      </x:c>
      <x:c r="Q254" t="n">
        <x:f>ROUND(O254*(1-P254),0)</x:f>
        <x:v>503</x:v>
      </x:c>
      <x:c r="R254" t="n">
        <x:f>ROUND(O254*P254,0)</x:f>
        <x:v>195</x:v>
      </x:c>
      <x:c r="S254" t="n">
        <x:f>ROUND(O254*IFERROR(INDEX(Assumptions!$C$9:$C$13,MATCH(F254,Assumptions!$A$9:$A$13,0)),0.55),0)</x:f>
        <x:v>349</x:v>
      </x:c>
      <x:c r="T254" t="n">
        <x:f>ROUND(O254*IFERROR(INDEX(Assumptions!$D$9:$D$13,MATCH(F254,Assumptions!$A$9:$A$13,0)),0.06),0)</x:f>
        <x:v>35</x:v>
      </x:c>
      <x:c r="U254" t="n">
        <x:f>ROUND(O254*IFERROR(INDEX(Assumptions!$E$9:$E$13,MATCH(F254,Assumptions!$A$9:$A$13,0)),0.15),0)</x:f>
        <x:v>77</x:v>
      </x:c>
      <x:c r="V254" t="n">
        <x:f>MAX(0,O254-SUM(R254:U254))</x:f>
        <x:v>42.10000000000002</x:v>
      </x:c>
      <x:c r="W254" t="n">
        <x:f>MIN(100,40+IF(O254&gt;0,20,0)+IF(M254&lt;&gt;"",20,0)+IF(AF254&lt;&gt;"",20,0))</x:f>
        <x:v>100</x:v>
      </x:c>
      <x:c r="X254" t="str">
        <x:v>Placed on exact national road host link</x:v>
      </x:c>
      <x:c r="Y254" t="str">
        <x:v>Unpaved</x:v>
      </x:c>
      <x:c r="Z254" t="str">
        <x:v>C</x:v>
      </x:c>
      <x:c r="AA254" t="str">
        <x:v>Not available in governed source</x:v>
      </x:c>
      <x:c r="AB254" t="str">
        <x:v>Not available in governed source</x:v>
      </x:c>
      <x:c r="AC254" t="str">
        <x:v>FY2025/26</x:v>
      </x:c>
      <x:c r="AD254" t="str">
        <x:v>Modelled</x:v>
      </x:c>
      <x:c r="AE254" t="str">
        <x:v>2026 bridge AADT rebuilt from host-link traffic history, annual collection-link history, same-road corridor history and spatial count-station influence. Vehicle-class values are assigned from functional-class shares.</x:v>
      </x:c>
      <x:c r="AF254" t="str">
        <x:v>Placed on exact national road host link</x:v>
      </x:c>
    </x:row>
    <x:row r="255" ht="15" hidden="0" customHeight="1">
      <x:c r="A255" t="str">
        <x:v>bridge-254</x:v>
      </x:c>
      <x:c r="B255" t="str">
        <x:v>B246</x:v>
      </x:c>
      <x:c r="C255" t="str">
        <x:v>NDURUMO BRIDGE</x:v>
      </x:c>
      <x:c r="D255" t="str">
        <x:v>C447_Link01</x:v>
      </x:c>
      <x:c r="E255" t="str">
        <x:v>Kabwohe - Kitagata - Kabira(Mitooma)</x:v>
      </x:c>
      <x:c r="F255" t="str">
        <x:v>C</x:v>
      </x:c>
      <x:c r="G255" t="str">
        <x:v>Southern</x:v>
      </x:c>
      <x:c r="H255" t="str">
        <x:v>Mbarara</x:v>
      </x:c>
      <x:c r="I255" t="str">
        <x:v>NDURUMO</x:v>
      </x:c>
      <x:c r="J255" t="str">
        <x:v>Poor</x:v>
      </x:c>
      <x:c r="K255" t="n">
        <x:v>30.163153</x:v>
      </x:c>
      <x:c r="L255" t="n">
        <x:v>-0.661432</x:v>
      </x:c>
      <x:c r="M255" t="n">
        <x:v>29.98664</x:v>
      </x:c>
      <x:c r="N255" t="n">
        <x:v>-0.71509</x:v>
      </x:c>
      <x:c r="O255" t="n">
        <x:v>698.1</x:v>
      </x:c>
      <x:c r="P255" t="n">
        <x:f>IFERROR(INDEX(Assumptions!$B$9:$B$13,MATCH(F255,Assumptions!$A$9:$A$13,0)),0.15)</x:f>
        <x:v>0.28</x:v>
      </x:c>
      <x:c r="Q255" t="n">
        <x:f>ROUND(O255*(1-P255),0)</x:f>
        <x:v>503</x:v>
      </x:c>
      <x:c r="R255" t="n">
        <x:f>ROUND(O255*P255,0)</x:f>
        <x:v>195</x:v>
      </x:c>
      <x:c r="S255" t="n">
        <x:f>ROUND(O255*IFERROR(INDEX(Assumptions!$C$9:$C$13,MATCH(F255,Assumptions!$A$9:$A$13,0)),0.55),0)</x:f>
        <x:v>349</x:v>
      </x:c>
      <x:c r="T255" t="n">
        <x:f>ROUND(O255*IFERROR(INDEX(Assumptions!$D$9:$D$13,MATCH(F255,Assumptions!$A$9:$A$13,0)),0.06),0)</x:f>
        <x:v>35</x:v>
      </x:c>
      <x:c r="U255" t="n">
        <x:f>ROUND(O255*IFERROR(INDEX(Assumptions!$E$9:$E$13,MATCH(F255,Assumptions!$A$9:$A$13,0)),0.15),0)</x:f>
        <x:v>77</x:v>
      </x:c>
      <x:c r="V255" t="n">
        <x:f>MAX(0,O255-SUM(R255:U255))</x:f>
        <x:v>42.10000000000002</x:v>
      </x:c>
      <x:c r="W255" t="n">
        <x:f>MIN(100,40+IF(O255&gt;0,20,0)+IF(M255&lt;&gt;"",20,0)+IF(AF255&lt;&gt;"",20,0))</x:f>
        <x:v>100</x:v>
      </x:c>
      <x:c r="X255" t="str">
        <x:v>Placed on exact national road host link</x:v>
      </x:c>
      <x:c r="Y255" t="str">
        <x:v>Unpaved</x:v>
      </x:c>
      <x:c r="Z255" t="str">
        <x:v>C</x:v>
      </x:c>
      <x:c r="AA255" t="str">
        <x:v>Not available in governed source</x:v>
      </x:c>
      <x:c r="AB255" t="str">
        <x:v>Not available in governed source</x:v>
      </x:c>
      <x:c r="AC255" t="str">
        <x:v>FY2025/26</x:v>
      </x:c>
      <x:c r="AD255" t="str">
        <x:v>Modelled</x:v>
      </x:c>
      <x:c r="AE255" t="str">
        <x:v>2026 bridge AADT rebuilt from host-link traffic history, annual collection-link history, same-road corridor history and spatial count-station influence. Vehicle-class values are assigned from functional-class shares.</x:v>
      </x:c>
      <x:c r="AF255" t="str">
        <x:v>Placed on exact national road host link</x:v>
      </x:c>
    </x:row>
    <x:row r="256" ht="15" hidden="0" customHeight="1">
      <x:c r="A256" t="str">
        <x:v>bridge-255</x:v>
      </x:c>
      <x:c r="B256" t="str">
        <x:v>B248</x:v>
      </x:c>
      <x:c r="C256" t="str">
        <x:v>KATIZI BRIDGE</x:v>
      </x:c>
      <x:c r="D256" t="str">
        <x:v>C447_Link02</x:v>
      </x:c>
      <x:c r="E256" t="str">
        <x:v>Kabira - Rukungiri</x:v>
      </x:c>
      <x:c r="F256" t="str">
        <x:v>C</x:v>
      </x:c>
      <x:c r="G256" t="str">
        <x:v>Southern</x:v>
      </x:c>
      <x:c r="H256" t="str">
        <x:v>Kabale</x:v>
      </x:c>
      <x:c r="I256" t="str">
        <x:v>KABIRA-RUKUNGIRI</x:v>
      </x:c>
      <x:c r="J256" t="str">
        <x:v>Marginal</x:v>
      </x:c>
      <x:c r="K256" t="n">
        <x:v>30.059286</x:v>
      </x:c>
      <x:c r="L256" t="n">
        <x:v>-0.685226</x:v>
      </x:c>
      <x:c r="M256" t="n">
        <x:v>29.982513</x:v>
      </x:c>
      <x:c r="N256" t="n">
        <x:v>-0.722342</x:v>
      </x:c>
      <x:c r="O256" t="n">
        <x:v>698.1</x:v>
      </x:c>
      <x:c r="P256" t="n">
        <x:f>IFERROR(INDEX(Assumptions!$B$9:$B$13,MATCH(F256,Assumptions!$A$9:$A$13,0)),0.15)</x:f>
        <x:v>0.28</x:v>
      </x:c>
      <x:c r="Q256" t="n">
        <x:f>ROUND(O256*(1-P256),0)</x:f>
        <x:v>503</x:v>
      </x:c>
      <x:c r="R256" t="n">
        <x:f>ROUND(O256*P256,0)</x:f>
        <x:v>195</x:v>
      </x:c>
      <x:c r="S256" t="n">
        <x:f>ROUND(O256*IFERROR(INDEX(Assumptions!$C$9:$C$13,MATCH(F256,Assumptions!$A$9:$A$13,0)),0.55),0)</x:f>
        <x:v>349</x:v>
      </x:c>
      <x:c r="T256" t="n">
        <x:f>ROUND(O256*IFERROR(INDEX(Assumptions!$D$9:$D$13,MATCH(F256,Assumptions!$A$9:$A$13,0)),0.06),0)</x:f>
        <x:v>35</x:v>
      </x:c>
      <x:c r="U256" t="n">
        <x:f>ROUND(O256*IFERROR(INDEX(Assumptions!$E$9:$E$13,MATCH(F256,Assumptions!$A$9:$A$13,0)),0.15),0)</x:f>
        <x:v>77</x:v>
      </x:c>
      <x:c r="V256" t="n">
        <x:f>MAX(0,O256-SUM(R256:U256))</x:f>
        <x:v>42.10000000000002</x:v>
      </x:c>
      <x:c r="W256" t="n">
        <x:f>MIN(100,40+IF(O256&gt;0,20,0)+IF(M256&lt;&gt;"",20,0)+IF(AF256&lt;&gt;"",20,0))</x:f>
        <x:v>100</x:v>
      </x:c>
      <x:c r="X256" t="str">
        <x:v>Placed on exact national road host link</x:v>
      </x:c>
      <x:c r="Y256" t="str">
        <x:v>Unpaved</x:v>
      </x:c>
      <x:c r="Z256" t="str">
        <x:v>C</x:v>
      </x:c>
      <x:c r="AA256" t="str">
        <x:v>Not available in governed source</x:v>
      </x:c>
      <x:c r="AB256" t="str">
        <x:v>Not available in governed source</x:v>
      </x:c>
      <x:c r="AC256" t="str">
        <x:v>FY2025/26</x:v>
      </x:c>
      <x:c r="AD256" t="str">
        <x:v>Modelled</x:v>
      </x:c>
      <x:c r="AE256" t="str">
        <x:v>2026 bridge AADT rebuilt from host-link traffic history, annual collection-link history, same-road corridor history and spatial count-station influence. Vehicle-class values are assigned from functional-class shares.</x:v>
      </x:c>
      <x:c r="AF256" t="str">
        <x:v>Placed on exact national road host link</x:v>
      </x:c>
    </x:row>
    <x:row r="257" ht="15" hidden="0" customHeight="1">
      <x:c r="A257" t="str">
        <x:v>bridge-256</x:v>
      </x:c>
      <x:c r="B257" t="str">
        <x:v>B249</x:v>
      </x:c>
      <x:c r="C257" t="str">
        <x:v>KYAMBURA BRIDGE</x:v>
      </x:c>
      <x:c r="D257" t="str">
        <x:v>C450_Link01</x:v>
      </x:c>
      <x:c r="E257" t="str">
        <x:v>Kyambura - Katerera</x:v>
      </x:c>
      <x:c r="F257" t="str">
        <x:v>C</x:v>
      </x:c>
      <x:c r="G257" t="str">
        <x:v>Southern</x:v>
      </x:c>
      <x:c r="H257" t="str">
        <x:v>Mbarara</x:v>
      </x:c>
      <x:c r="I257" t="str">
        <x:v>KYAMBURA</x:v>
      </x:c>
      <x:c r="J257" t="str">
        <x:v>Marginal</x:v>
      </x:c>
      <x:c r="K257" t="n">
        <x:v>30.10671</x:v>
      </x:c>
      <x:c r="L257" t="n">
        <x:v>-0.20655</x:v>
      </x:c>
      <x:c r="M257" t="n">
        <x:v>30.105952</x:v>
      </x:c>
      <x:c r="N257" t="n">
        <x:v>-0.20598</x:v>
      </x:c>
      <x:c r="O257" t="n">
        <x:v>1234.86</x:v>
      </x:c>
      <x:c r="P257" t="n">
        <x:f>IFERROR(INDEX(Assumptions!$B$9:$B$13,MATCH(F257,Assumptions!$A$9:$A$13,0)),0.15)</x:f>
        <x:v>0.28</x:v>
      </x:c>
      <x:c r="Q257" t="n">
        <x:f>ROUND(O257*(1-P257),0)</x:f>
        <x:v>889</x:v>
      </x:c>
      <x:c r="R257" t="n">
        <x:f>ROUND(O257*P257,0)</x:f>
        <x:v>346</x:v>
      </x:c>
      <x:c r="S257" t="n">
        <x:f>ROUND(O257*IFERROR(INDEX(Assumptions!$C$9:$C$13,MATCH(F257,Assumptions!$A$9:$A$13,0)),0.55),0)</x:f>
        <x:v>617</x:v>
      </x:c>
      <x:c r="T257" t="n">
        <x:f>ROUND(O257*IFERROR(INDEX(Assumptions!$D$9:$D$13,MATCH(F257,Assumptions!$A$9:$A$13,0)),0.06),0)</x:f>
        <x:v>62</x:v>
      </x:c>
      <x:c r="U257" t="n">
        <x:f>ROUND(O257*IFERROR(INDEX(Assumptions!$E$9:$E$13,MATCH(F257,Assumptions!$A$9:$A$13,0)),0.15),0)</x:f>
        <x:v>136</x:v>
      </x:c>
      <x:c r="V257" t="n">
        <x:f>MAX(0,O257-SUM(R257:U257))</x:f>
        <x:v>73.8599999999999</x:v>
      </x:c>
      <x:c r="W257" t="n">
        <x:f>MIN(100,40+IF(O257&gt;0,20,0)+IF(M257&lt;&gt;"",20,0)+IF(AF257&lt;&gt;"",20,0))</x:f>
        <x:v>100</x:v>
      </x:c>
      <x:c r="X257" t="str">
        <x:v>Placed on exact national road host link</x:v>
      </x:c>
      <x:c r="Y257" t="str">
        <x:v>Unpaved</x:v>
      </x:c>
      <x:c r="Z257" t="str">
        <x:v>C</x:v>
      </x:c>
      <x:c r="AA257" t="str">
        <x:v>Not available in governed source</x:v>
      </x:c>
      <x:c r="AB257" t="str">
        <x:v>Not available in governed source</x:v>
      </x:c>
      <x:c r="AC257" t="str">
        <x:v>FY2025/26</x:v>
      </x:c>
      <x:c r="AD257" t="str">
        <x:v>Modelled</x:v>
      </x:c>
      <x:c r="AE257" t="str">
        <x:v>2026 bridge AADT rebuilt from host-link traffic history, annual collection-link history, same-road corridor history and spatial count-station influence. Vehicle-class values are assigned from functional-class shares.</x:v>
      </x:c>
      <x:c r="AF257" t="str">
        <x:v>Placed on exact national road host link</x:v>
      </x:c>
    </x:row>
    <x:row r="258" ht="15" hidden="0" customHeight="1">
      <x:c r="A258" t="str">
        <x:v>bridge-257</x:v>
      </x:c>
      <x:c r="B258" t="str">
        <x:v>B251</x:v>
      </x:c>
      <x:c r="C258" t="str">
        <x:v>ENSHYA BRIDGE</x:v>
      </x:c>
      <x:c r="D258" t="str">
        <x:v>C519_Link01</x:v>
      </x:c>
      <x:c r="E258" t="str">
        <x:v>Nkenda - Bugoye</x:v>
      </x:c>
      <x:c r="F258" t="str">
        <x:v>C</x:v>
      </x:c>
      <x:c r="G258" t="str">
        <x:v>Southern</x:v>
      </x:c>
      <x:c r="H258" t="str">
        <x:v>Kasese</x:v>
      </x:c>
      <x:c r="I258" t="str">
        <x:v>ENSHYA</x:v>
      </x:c>
      <x:c r="J258" t="str">
        <x:v>Marginal</x:v>
      </x:c>
      <x:c r="K258" t="n">
        <x:v>30.0877</x:v>
      </x:c>
      <x:c r="L258" t="n">
        <x:v>0.3203</x:v>
      </x:c>
      <x:c r="M258" t="n">
        <x:v>30.087621</x:v>
      </x:c>
      <x:c r="N258" t="n">
        <x:v>0.319838</x:v>
      </x:c>
      <x:c r="O258" t="n">
        <x:v>1934.51</x:v>
      </x:c>
      <x:c r="P258" t="n">
        <x:f>IFERROR(INDEX(Assumptions!$B$9:$B$13,MATCH(F258,Assumptions!$A$9:$A$13,0)),0.15)</x:f>
        <x:v>0.28</x:v>
      </x:c>
      <x:c r="Q258" t="n">
        <x:f>ROUND(O258*(1-P258),0)</x:f>
        <x:v>1393</x:v>
      </x:c>
      <x:c r="R258" t="n">
        <x:f>ROUND(O258*P258,0)</x:f>
        <x:v>542</x:v>
      </x:c>
      <x:c r="S258" t="n">
        <x:f>ROUND(O258*IFERROR(INDEX(Assumptions!$C$9:$C$13,MATCH(F258,Assumptions!$A$9:$A$13,0)),0.55),0)</x:f>
        <x:v>967</x:v>
      </x:c>
      <x:c r="T258" t="n">
        <x:f>ROUND(O258*IFERROR(INDEX(Assumptions!$D$9:$D$13,MATCH(F258,Assumptions!$A$9:$A$13,0)),0.06),0)</x:f>
        <x:v>97</x:v>
      </x:c>
      <x:c r="U258" t="n">
        <x:f>ROUND(O258*IFERROR(INDEX(Assumptions!$E$9:$E$13,MATCH(F258,Assumptions!$A$9:$A$13,0)),0.15),0)</x:f>
        <x:v>213</x:v>
      </x:c>
      <x:c r="V258" t="n">
        <x:f>MAX(0,O258-SUM(R258:U258))</x:f>
        <x:v>115.50999999999999</x:v>
      </x:c>
      <x:c r="W258" t="n">
        <x:f>MIN(100,40+IF(O258&gt;0,20,0)+IF(M258&lt;&gt;"",20,0)+IF(AF258&lt;&gt;"",20,0))</x:f>
        <x:v>100</x:v>
      </x:c>
      <x:c r="X258" t="str">
        <x:v>Placed on exact national road host link</x:v>
      </x:c>
      <x:c r="Y258" t="str">
        <x:v>Unpaved</x:v>
      </x:c>
      <x:c r="Z258" t="str">
        <x:v>C</x:v>
      </x:c>
      <x:c r="AA258" t="str">
        <x:v>Not available in governed source</x:v>
      </x:c>
      <x:c r="AB258" t="str">
        <x:v>Not available in governed source</x:v>
      </x:c>
      <x:c r="AC258" t="str">
        <x:v>FY2025/26</x:v>
      </x:c>
      <x:c r="AD258" t="str">
        <x:v>Modelled</x:v>
      </x:c>
      <x:c r="AE258" t="str">
        <x:v>2026 bridge AADT rebuilt from host-link traffic history, annual collection-link history, same-road corridor history and spatial count-station influence. Vehicle-class values are assigned from functional-class shares.</x:v>
      </x:c>
      <x:c r="AF258" t="str">
        <x:v>Placed on exact national road host link</x:v>
      </x:c>
    </x:row>
    <x:row r="259" ht="15" hidden="0" customHeight="1">
      <x:c r="A259" t="str">
        <x:v>bridge-258</x:v>
      </x:c>
      <x:c r="B259" t="str">
        <x:v>B252</x:v>
      </x:c>
      <x:c r="C259" t="str">
        <x:v>RUBIRIHA</x:v>
      </x:c>
      <x:c r="D259" t="str">
        <x:v>C520_Link02</x:v>
      </x:c>
      <x:c r="E259" t="str">
        <x:v>Kithoma - Kiraro</x:v>
      </x:c>
      <x:c r="F259" t="str">
        <x:v>C</x:v>
      </x:c>
      <x:c r="G259" t="str">
        <x:v>Southern</x:v>
      </x:c>
      <x:c r="H259" t="str">
        <x:v>Kasese</x:v>
      </x:c>
      <x:c r="I259" t="str">
        <x:v>RUBIRIHA RIVER</x:v>
      </x:c>
      <x:c r="J259" t="str">
        <x:v>Marginal</x:v>
      </x:c>
      <x:c r="K259" t="n">
        <x:v>29.74876</x:v>
      </x:c>
      <x:c r="L259" t="n">
        <x:v>0.08089</x:v>
      </x:c>
      <x:c r="M259" t="n">
        <x:v>29.749138</x:v>
      </x:c>
      <x:c r="N259" t="n">
        <x:v>0.081074</x:v>
      </x:c>
      <x:c r="O259" t="n">
        <x:v>1287.6</x:v>
      </x:c>
      <x:c r="P259" t="n">
        <x:f>IFERROR(INDEX(Assumptions!$B$9:$B$13,MATCH(F259,Assumptions!$A$9:$A$13,0)),0.15)</x:f>
        <x:v>0.28</x:v>
      </x:c>
      <x:c r="Q259" t="n">
        <x:f>ROUND(O259*(1-P259),0)</x:f>
        <x:v>927</x:v>
      </x:c>
      <x:c r="R259" t="n">
        <x:f>ROUND(O259*P259,0)</x:f>
        <x:v>361</x:v>
      </x:c>
      <x:c r="S259" t="n">
        <x:f>ROUND(O259*IFERROR(INDEX(Assumptions!$C$9:$C$13,MATCH(F259,Assumptions!$A$9:$A$13,0)),0.55),0)</x:f>
        <x:v>644</x:v>
      </x:c>
      <x:c r="T259" t="n">
        <x:f>ROUND(O259*IFERROR(INDEX(Assumptions!$D$9:$D$13,MATCH(F259,Assumptions!$A$9:$A$13,0)),0.06),0)</x:f>
        <x:v>64</x:v>
      </x:c>
      <x:c r="U259" t="n">
        <x:f>ROUND(O259*IFERROR(INDEX(Assumptions!$E$9:$E$13,MATCH(F259,Assumptions!$A$9:$A$13,0)),0.15),0)</x:f>
        <x:v>142</x:v>
      </x:c>
      <x:c r="V259" t="n">
        <x:f>MAX(0,O259-SUM(R259:U259))</x:f>
        <x:v>76.59999999999991</x:v>
      </x:c>
      <x:c r="W259" t="n">
        <x:f>MIN(100,40+IF(O259&gt;0,20,0)+IF(M259&lt;&gt;"",20,0)+IF(AF259&lt;&gt;"",20,0))</x:f>
        <x:v>100</x:v>
      </x:c>
      <x:c r="X259" t="str">
        <x:v>Placed on exact national road host link</x:v>
      </x:c>
      <x:c r="Y259" t="str">
        <x:v>Unpaved</x:v>
      </x:c>
      <x:c r="Z259" t="str">
        <x:v>C</x:v>
      </x:c>
      <x:c r="AA259" t="str">
        <x:v>Not available in governed source</x:v>
      </x:c>
      <x:c r="AB259" t="str">
        <x:v>Not available in governed source</x:v>
      </x:c>
      <x:c r="AC259" t="str">
        <x:v>FY2025/26</x:v>
      </x:c>
      <x:c r="AD259" t="str">
        <x:v>Modelled</x:v>
      </x:c>
      <x:c r="AE259" t="str">
        <x:v>2026 bridge AADT rebuilt from host-link traffic history, annual collection-link history, same-road corridor history and spatial count-station influence. Vehicle-class values are assigned from functional-class shares.</x:v>
      </x:c>
      <x:c r="AF259" t="str">
        <x:v>Placed on exact national road host link</x:v>
      </x:c>
    </x:row>
    <x:row r="260" ht="15" hidden="0" customHeight="1">
      <x:c r="A260" t="str">
        <x:v>bridge-259</x:v>
      </x:c>
      <x:c r="B260" t="str">
        <x:v>B253</x:v>
      </x:c>
      <x:c r="C260" t="str">
        <x:v>KABIRA BRIDGE</x:v>
      </x:c>
      <x:c r="D260" t="str">
        <x:v>C520_Link02</x:v>
      </x:c>
      <x:c r="E260" t="str">
        <x:v>Kithoma - Kiraro</x:v>
      </x:c>
      <x:c r="F260" t="str">
        <x:v>C</x:v>
      </x:c>
      <x:c r="G260" t="str">
        <x:v>Southern</x:v>
      </x:c>
      <x:c r="H260" t="str">
        <x:v>Kasese</x:v>
      </x:c>
      <x:c r="I260" t="str">
        <x:v>KABIRA RIVER</x:v>
      </x:c>
      <x:c r="J260" t="str">
        <x:v>Poor</x:v>
      </x:c>
      <x:c r="K260" t="n">
        <x:v>29.7407</x:v>
      </x:c>
      <x:c r="L260" t="n">
        <x:v>0.09594</x:v>
      </x:c>
      <x:c r="M260" t="n">
        <x:v>29.7408</x:v>
      </x:c>
      <x:c r="N260" t="n">
        <x:v>0.100971</x:v>
      </x:c>
      <x:c r="O260" t="n">
        <x:v>1287.6</x:v>
      </x:c>
      <x:c r="P260" t="n">
        <x:f>IFERROR(INDEX(Assumptions!$B$9:$B$13,MATCH(F260,Assumptions!$A$9:$A$13,0)),0.15)</x:f>
        <x:v>0.28</x:v>
      </x:c>
      <x:c r="Q260" t="n">
        <x:f>ROUND(O260*(1-P260),0)</x:f>
        <x:v>927</x:v>
      </x:c>
      <x:c r="R260" t="n">
        <x:f>ROUND(O260*P260,0)</x:f>
        <x:v>361</x:v>
      </x:c>
      <x:c r="S260" t="n">
        <x:f>ROUND(O260*IFERROR(INDEX(Assumptions!$C$9:$C$13,MATCH(F260,Assumptions!$A$9:$A$13,0)),0.55),0)</x:f>
        <x:v>644</x:v>
      </x:c>
      <x:c r="T260" t="n">
        <x:f>ROUND(O260*IFERROR(INDEX(Assumptions!$D$9:$D$13,MATCH(F260,Assumptions!$A$9:$A$13,0)),0.06),0)</x:f>
        <x:v>64</x:v>
      </x:c>
      <x:c r="U260" t="n">
        <x:f>ROUND(O260*IFERROR(INDEX(Assumptions!$E$9:$E$13,MATCH(F260,Assumptions!$A$9:$A$13,0)),0.15),0)</x:f>
        <x:v>142</x:v>
      </x:c>
      <x:c r="V260" t="n">
        <x:f>MAX(0,O260-SUM(R260:U260))</x:f>
        <x:v>76.59999999999991</x:v>
      </x:c>
      <x:c r="W260" t="n">
        <x:f>MIN(100,40+IF(O260&gt;0,20,0)+IF(M260&lt;&gt;"",20,0)+IF(AF260&lt;&gt;"",20,0))</x:f>
        <x:v>100</x:v>
      </x:c>
      <x:c r="X260" t="str">
        <x:v>Placed on exact national road host link</x:v>
      </x:c>
      <x:c r="Y260" t="str">
        <x:v>Unpaved</x:v>
      </x:c>
      <x:c r="Z260" t="str">
        <x:v>C</x:v>
      </x:c>
      <x:c r="AA260" t="str">
        <x:v>Not available in governed source</x:v>
      </x:c>
      <x:c r="AB260" t="str">
        <x:v>Not available in governed source</x:v>
      </x:c>
      <x:c r="AC260" t="str">
        <x:v>FY2025/26</x:v>
      </x:c>
      <x:c r="AD260" t="str">
        <x:v>Modelled</x:v>
      </x:c>
      <x:c r="AE260" t="str">
        <x:v>2026 bridge AADT rebuilt from host-link traffic history, annual collection-link history, same-road corridor history and spatial count-station influence. Vehicle-class values are assigned from functional-class shares.</x:v>
      </x:c>
      <x:c r="AF260" t="str">
        <x:v>Placed on exact national road host link</x:v>
      </x:c>
    </x:row>
    <x:row r="261" ht="15" hidden="0" customHeight="1">
      <x:c r="A261" t="str">
        <x:v>bridge-260</x:v>
      </x:c>
      <x:c r="B261" t="str">
        <x:v>B255</x:v>
      </x:c>
      <x:c r="C261" t="str">
        <x:v>RUZAIRWE</x:v>
      </x:c>
      <x:c r="D261" t="str">
        <x:v>C553_Link01</x:v>
      </x:c>
      <x:c r="E261" t="str">
        <x:v>Kibaale-Kyebando - Pacwa</x:v>
      </x:c>
      <x:c r="F261" t="str">
        <x:v>C</x:v>
      </x:c>
      <x:c r="G261" t="str">
        <x:v>Western</x:v>
      </x:c>
      <x:c r="H261" t="str">
        <x:v>Hoima</x:v>
      </x:c>
      <x:c r="I261" t="str">
        <x:v>RUZAIRWE</x:v>
      </x:c>
      <x:c r="J261" t="str">
        <x:v>Satisfactory</x:v>
      </x:c>
      <x:c r="K261" t="n">
        <x:v>31.00355</x:v>
      </x:c>
      <x:c r="L261" t="n">
        <x:v>1.11092</x:v>
      </x:c>
      <x:c r="M261" t="n">
        <x:v>31.015373</x:v>
      </x:c>
      <x:c r="N261" t="n">
        <x:v>1.107453</x:v>
      </x:c>
      <x:c r="O261" t="n">
        <x:v>1054.9</x:v>
      </x:c>
      <x:c r="P261" t="n">
        <x:f>IFERROR(INDEX(Assumptions!$B$9:$B$13,MATCH(F261,Assumptions!$A$9:$A$13,0)),0.15)</x:f>
        <x:v>0.28</x:v>
      </x:c>
      <x:c r="Q261" t="n">
        <x:f>ROUND(O261*(1-P261),0)</x:f>
        <x:v>760</x:v>
      </x:c>
      <x:c r="R261" t="n">
        <x:f>ROUND(O261*P261,0)</x:f>
        <x:v>295</x:v>
      </x:c>
      <x:c r="S261" t="n">
        <x:f>ROUND(O261*IFERROR(INDEX(Assumptions!$C$9:$C$13,MATCH(F261,Assumptions!$A$9:$A$13,0)),0.55),0)</x:f>
        <x:v>527</x:v>
      </x:c>
      <x:c r="T261" t="n">
        <x:f>ROUND(O261*IFERROR(INDEX(Assumptions!$D$9:$D$13,MATCH(F261,Assumptions!$A$9:$A$13,0)),0.06),0)</x:f>
        <x:v>53</x:v>
      </x:c>
      <x:c r="U261" t="n">
        <x:f>ROUND(O261*IFERROR(INDEX(Assumptions!$E$9:$E$13,MATCH(F261,Assumptions!$A$9:$A$13,0)),0.15),0)</x:f>
        <x:v>116</x:v>
      </x:c>
      <x:c r="V261" t="n">
        <x:f>MAX(0,O261-SUM(R261:U261))</x:f>
        <x:v>63.90000000000009</x:v>
      </x:c>
      <x:c r="W261" t="n">
        <x:f>MIN(100,40+IF(O261&gt;0,20,0)+IF(M261&lt;&gt;"",20,0)+IF(AF261&lt;&gt;"",20,0))</x:f>
        <x:v>100</x:v>
      </x:c>
      <x:c r="X261" t="str">
        <x:v>Placed on exact national road host link</x:v>
      </x:c>
      <x:c r="Y261" t="str">
        <x:v>Unpaved</x:v>
      </x:c>
      <x:c r="Z261" t="str">
        <x:v>C</x:v>
      </x:c>
      <x:c r="AA261" t="str">
        <x:v>Not available in governed source</x:v>
      </x:c>
      <x:c r="AB261" t="str">
        <x:v>Not available in governed source</x:v>
      </x:c>
      <x:c r="AC261" t="str">
        <x:v>FY2025/26</x:v>
      </x:c>
      <x:c r="AD261" t="str">
        <x:v>Modelled</x:v>
      </x:c>
      <x:c r="AE261" t="str">
        <x:v>2026 bridge AADT rebuilt from host-link traffic history, annual collection-link history, same-road corridor history and spatial count-station influence. Vehicle-class values are assigned from functional-class shares.</x:v>
      </x:c>
      <x:c r="AF261" t="str">
        <x:v>Placed on exact national road host link</x:v>
      </x:c>
    </x:row>
    <x:row r="262" ht="15" hidden="0" customHeight="1">
      <x:c r="A262" t="str">
        <x:v>bridge-261</x:v>
      </x:c>
      <x:c r="B262" t="str">
        <x:v>B256</x:v>
      </x:c>
      <x:c r="C262" t="str">
        <x:v>PEREPA</x:v>
      </x:c>
      <x:c r="D262" t="str">
        <x:v>C556_Link01</x:v>
      </x:c>
      <x:c r="E262" t="str">
        <x:v>Bukuku - Rubona</x:v>
      </x:c>
      <x:c r="F262" t="str">
        <x:v>C</x:v>
      </x:c>
      <x:c r="G262" t="str">
        <x:v>Western</x:v>
      </x:c>
      <x:c r="H262" t="str">
        <x:v>Fort Portal</x:v>
      </x:c>
      <x:c r="I262" t="str">
        <x:v>PERIDA</x:v>
      </x:c>
      <x:c r="J262" t="str">
        <x:v>Marginal</x:v>
      </x:c>
      <x:c r="K262" t="n">
        <x:v>30.15575</x:v>
      </x:c>
      <x:c r="L262" t="n">
        <x:v>0.566563</x:v>
      </x:c>
      <x:c r="M262" t="n">
        <x:v>30.15682</x:v>
      </x:c>
      <x:c r="N262" t="n">
        <x:v>0.565936</x:v>
      </x:c>
      <x:c r="O262" t="n">
        <x:v>2801.7</x:v>
      </x:c>
      <x:c r="P262" t="n">
        <x:f>IFERROR(INDEX(Assumptions!$B$9:$B$13,MATCH(F262,Assumptions!$A$9:$A$13,0)),0.15)</x:f>
        <x:v>0.28</x:v>
      </x:c>
      <x:c r="Q262" t="n">
        <x:f>ROUND(O262*(1-P262),0)</x:f>
        <x:v>2017</x:v>
      </x:c>
      <x:c r="R262" t="n">
        <x:f>ROUND(O262*P262,0)</x:f>
        <x:v>784</x:v>
      </x:c>
      <x:c r="S262" t="n">
        <x:f>ROUND(O262*IFERROR(INDEX(Assumptions!$C$9:$C$13,MATCH(F262,Assumptions!$A$9:$A$13,0)),0.55),0)</x:f>
        <x:v>1401</x:v>
      </x:c>
      <x:c r="T262" t="n">
        <x:f>ROUND(O262*IFERROR(INDEX(Assumptions!$D$9:$D$13,MATCH(F262,Assumptions!$A$9:$A$13,0)),0.06),0)</x:f>
        <x:v>140</x:v>
      </x:c>
      <x:c r="U262" t="n">
        <x:f>ROUND(O262*IFERROR(INDEX(Assumptions!$E$9:$E$13,MATCH(F262,Assumptions!$A$9:$A$13,0)),0.15),0)</x:f>
        <x:v>308</x:v>
      </x:c>
      <x:c r="V262" t="n">
        <x:f>MAX(0,O262-SUM(R262:U262))</x:f>
        <x:v>168.69999999999982</x:v>
      </x:c>
      <x:c r="W262" t="n">
        <x:f>MIN(100,40+IF(O262&gt;0,20,0)+IF(M262&lt;&gt;"",20,0)+IF(AF262&lt;&gt;"",20,0))</x:f>
        <x:v>100</x:v>
      </x:c>
      <x:c r="X262" t="str">
        <x:v>Placed on exact national road host link</x:v>
      </x:c>
      <x:c r="Y262" t="str">
        <x:v>Unpaved</x:v>
      </x:c>
      <x:c r="Z262" t="str">
        <x:v>C</x:v>
      </x:c>
      <x:c r="AA262" t="str">
        <x:v>Not available in governed source</x:v>
      </x:c>
      <x:c r="AB262" t="str">
        <x:v>Not available in governed source</x:v>
      </x:c>
      <x:c r="AC262" t="str">
        <x:v>FY2025/26</x:v>
      </x:c>
      <x:c r="AD262" t="str">
        <x:v>Modelled</x:v>
      </x:c>
      <x:c r="AE262" t="str">
        <x:v>2026 bridge AADT rebuilt from host-link traffic history, annual collection-link history, same-road corridor history and spatial count-station influence. Vehicle-class values are assigned from functional-class shares.</x:v>
      </x:c>
      <x:c r="AF262" t="str">
        <x:v>Placed on exact national road host link</x:v>
      </x:c>
    </x:row>
    <x:row r="263" ht="15" hidden="0" customHeight="1">
      <x:c r="A263" t="str">
        <x:v>bridge-262</x:v>
      </x:c>
      <x:c r="B263" t="str">
        <x:v>B258</x:v>
      </x:c>
      <x:c r="C263" t="str">
        <x:v>MAHOMA</x:v>
      </x:c>
      <x:c r="D263" t="str">
        <x:v>C556_Link01</x:v>
      </x:c>
      <x:c r="E263" t="str">
        <x:v>Bukuku - Rubona</x:v>
      </x:c>
      <x:c r="F263" t="str">
        <x:v>C</x:v>
      </x:c>
      <x:c r="G263" t="str">
        <x:v>Western</x:v>
      </x:c>
      <x:c r="H263" t="str">
        <x:v>Fort Portal</x:v>
      </x:c>
      <x:c r="I263" t="str">
        <x:v>Mahoma River</x:v>
      </x:c>
      <x:c r="J263" t="str">
        <x:v>Poor</x:v>
      </x:c>
      <x:c r="K263" t="n">
        <x:v>30.15962</x:v>
      </x:c>
      <x:c r="L263" t="n">
        <x:v>0.599673</x:v>
      </x:c>
      <x:c r="M263" t="n">
        <x:v>30.159904</x:v>
      </x:c>
      <x:c r="N263" t="n">
        <x:v>0.598037</x:v>
      </x:c>
      <x:c r="O263" t="n">
        <x:v>2801.7</x:v>
      </x:c>
      <x:c r="P263" t="n">
        <x:f>IFERROR(INDEX(Assumptions!$B$9:$B$13,MATCH(F263,Assumptions!$A$9:$A$13,0)),0.15)</x:f>
        <x:v>0.28</x:v>
      </x:c>
      <x:c r="Q263" t="n">
        <x:f>ROUND(O263*(1-P263),0)</x:f>
        <x:v>2017</x:v>
      </x:c>
      <x:c r="R263" t="n">
        <x:f>ROUND(O263*P263,0)</x:f>
        <x:v>784</x:v>
      </x:c>
      <x:c r="S263" t="n">
        <x:f>ROUND(O263*IFERROR(INDEX(Assumptions!$C$9:$C$13,MATCH(F263,Assumptions!$A$9:$A$13,0)),0.55),0)</x:f>
        <x:v>1401</x:v>
      </x:c>
      <x:c r="T263" t="n">
        <x:f>ROUND(O263*IFERROR(INDEX(Assumptions!$D$9:$D$13,MATCH(F263,Assumptions!$A$9:$A$13,0)),0.06),0)</x:f>
        <x:v>140</x:v>
      </x:c>
      <x:c r="U263" t="n">
        <x:f>ROUND(O263*IFERROR(INDEX(Assumptions!$E$9:$E$13,MATCH(F263,Assumptions!$A$9:$A$13,0)),0.15),0)</x:f>
        <x:v>308</x:v>
      </x:c>
      <x:c r="V263" t="n">
        <x:f>MAX(0,O263-SUM(R263:U263))</x:f>
        <x:v>168.69999999999982</x:v>
      </x:c>
      <x:c r="W263" t="n">
        <x:f>MIN(100,40+IF(O263&gt;0,20,0)+IF(M263&lt;&gt;"",20,0)+IF(AF263&lt;&gt;"",20,0))</x:f>
        <x:v>100</x:v>
      </x:c>
      <x:c r="X263" t="str">
        <x:v>Placed on exact national road host link</x:v>
      </x:c>
      <x:c r="Y263" t="str">
        <x:v>Unpaved</x:v>
      </x:c>
      <x:c r="Z263" t="str">
        <x:v>C</x:v>
      </x:c>
      <x:c r="AA263" t="str">
        <x:v>Not available in governed source</x:v>
      </x:c>
      <x:c r="AB263" t="str">
        <x:v>Not available in governed source</x:v>
      </x:c>
      <x:c r="AC263" t="str">
        <x:v>FY2025/26</x:v>
      </x:c>
      <x:c r="AD263" t="str">
        <x:v>Modelled</x:v>
      </x:c>
      <x:c r="AE263" t="str">
        <x:v>2026 bridge AADT rebuilt from host-link traffic history, annual collection-link history, same-road corridor history and spatial count-station influence. Vehicle-class values are assigned from functional-class shares.</x:v>
      </x:c>
      <x:c r="AF263" t="str">
        <x:v>Placed on exact national road host link</x:v>
      </x:c>
    </x:row>
    <x:row r="264" ht="15" hidden="0" customHeight="1">
      <x:c r="A264" t="str">
        <x:v>bridge-263</x:v>
      </x:c>
      <x:c r="B264" t="str">
        <x:v>B259</x:v>
      </x:c>
      <x:c r="C264" t="str">
        <x:v>DUNGA</x:v>
      </x:c>
      <x:c r="D264" t="str">
        <x:v>C556_Link01</x:v>
      </x:c>
      <x:c r="E264" t="str">
        <x:v>Bukuku - Rubona</x:v>
      </x:c>
      <x:c r="F264" t="str">
        <x:v>C</x:v>
      </x:c>
      <x:c r="G264" t="str">
        <x:v>Western</x:v>
      </x:c>
      <x:c r="H264" t="str">
        <x:v>Fort Portal</x:v>
      </x:c>
      <x:c r="I264" t="str">
        <x:v>DUNGA</x:v>
      </x:c>
      <x:c r="J264" t="str">
        <x:v>Marginal</x:v>
      </x:c>
      <x:c r="K264" t="n">
        <x:v>30.1583</x:v>
      </x:c>
      <x:c r="L264" t="n">
        <x:v>0.619995</x:v>
      </x:c>
      <x:c r="M264" t="n">
        <x:v>30.158229</x:v>
      </x:c>
      <x:c r="N264" t="n">
        <x:v>0.620029</x:v>
      </x:c>
      <x:c r="O264" t="n">
        <x:v>2801.7</x:v>
      </x:c>
      <x:c r="P264" t="n">
        <x:f>IFERROR(INDEX(Assumptions!$B$9:$B$13,MATCH(F264,Assumptions!$A$9:$A$13,0)),0.15)</x:f>
        <x:v>0.28</x:v>
      </x:c>
      <x:c r="Q264" t="n">
        <x:f>ROUND(O264*(1-P264),0)</x:f>
        <x:v>2017</x:v>
      </x:c>
      <x:c r="R264" t="n">
        <x:f>ROUND(O264*P264,0)</x:f>
        <x:v>784</x:v>
      </x:c>
      <x:c r="S264" t="n">
        <x:f>ROUND(O264*IFERROR(INDEX(Assumptions!$C$9:$C$13,MATCH(F264,Assumptions!$A$9:$A$13,0)),0.55),0)</x:f>
        <x:v>1401</x:v>
      </x:c>
      <x:c r="T264" t="n">
        <x:f>ROUND(O264*IFERROR(INDEX(Assumptions!$D$9:$D$13,MATCH(F264,Assumptions!$A$9:$A$13,0)),0.06),0)</x:f>
        <x:v>140</x:v>
      </x:c>
      <x:c r="U264" t="n">
        <x:f>ROUND(O264*IFERROR(INDEX(Assumptions!$E$9:$E$13,MATCH(F264,Assumptions!$A$9:$A$13,0)),0.15),0)</x:f>
        <x:v>308</x:v>
      </x:c>
      <x:c r="V264" t="n">
        <x:f>MAX(0,O264-SUM(R264:U264))</x:f>
        <x:v>168.69999999999982</x:v>
      </x:c>
      <x:c r="W264" t="n">
        <x:f>MIN(100,40+IF(O264&gt;0,20,0)+IF(M264&lt;&gt;"",20,0)+IF(AF264&lt;&gt;"",20,0))</x:f>
        <x:v>100</x:v>
      </x:c>
      <x:c r="X264" t="str">
        <x:v>Placed on exact national road host link</x:v>
      </x:c>
      <x:c r="Y264" t="str">
        <x:v>Unpaved</x:v>
      </x:c>
      <x:c r="Z264" t="str">
        <x:v>C</x:v>
      </x:c>
      <x:c r="AA264" t="str">
        <x:v>Not available in governed source</x:v>
      </x:c>
      <x:c r="AB264" t="str">
        <x:v>Not available in governed source</x:v>
      </x:c>
      <x:c r="AC264" t="str">
        <x:v>FY2025/26</x:v>
      </x:c>
      <x:c r="AD264" t="str">
        <x:v>Modelled</x:v>
      </x:c>
      <x:c r="AE264" t="str">
        <x:v>2026 bridge AADT rebuilt from host-link traffic history, annual collection-link history, same-road corridor history and spatial count-station influence. Vehicle-class values are assigned from functional-class shares.</x:v>
      </x:c>
      <x:c r="AF264" t="str">
        <x:v>Placed on exact national road host link</x:v>
      </x:c>
    </x:row>
    <x:row r="265" ht="15" hidden="0" customHeight="1">
      <x:c r="A265" t="str">
        <x:v>bridge-264</x:v>
      </x:c>
      <x:c r="B265" t="str">
        <x:v>B260</x:v>
      </x:c>
      <x:c r="C265" t="str">
        <x:v>NYABUSWA</x:v>
      </x:c>
      <x:c r="D265" t="str">
        <x:v>C556_Link01</x:v>
      </x:c>
      <x:c r="E265" t="str">
        <x:v>Bukuku - Rubona</x:v>
      </x:c>
      <x:c r="F265" t="str">
        <x:v>C</x:v>
      </x:c>
      <x:c r="G265" t="str">
        <x:v>Western</x:v>
      </x:c>
      <x:c r="H265" t="str">
        <x:v>Fort Portal</x:v>
      </x:c>
      <x:c r="I265" t="str">
        <x:v>Nyabuswa River</x:v>
      </x:c>
      <x:c r="J265" t="str">
        <x:v>Poor</x:v>
      </x:c>
      <x:c r="K265" t="n">
        <x:v>30.158581</x:v>
      </x:c>
      <x:c r="L265" t="n">
        <x:v>0.628507</x:v>
      </x:c>
      <x:c r="M265" t="n">
        <x:v>30.158456</x:v>
      </x:c>
      <x:c r="N265" t="n">
        <x:v>0.628505</x:v>
      </x:c>
      <x:c r="O265" t="n">
        <x:v>2801.7</x:v>
      </x:c>
      <x:c r="P265" t="n">
        <x:f>IFERROR(INDEX(Assumptions!$B$9:$B$13,MATCH(F265,Assumptions!$A$9:$A$13,0)),0.15)</x:f>
        <x:v>0.28</x:v>
      </x:c>
      <x:c r="Q265" t="n">
        <x:f>ROUND(O265*(1-P265),0)</x:f>
        <x:v>2017</x:v>
      </x:c>
      <x:c r="R265" t="n">
        <x:f>ROUND(O265*P265,0)</x:f>
        <x:v>784</x:v>
      </x:c>
      <x:c r="S265" t="n">
        <x:f>ROUND(O265*IFERROR(INDEX(Assumptions!$C$9:$C$13,MATCH(F265,Assumptions!$A$9:$A$13,0)),0.55),0)</x:f>
        <x:v>1401</x:v>
      </x:c>
      <x:c r="T265" t="n">
        <x:f>ROUND(O265*IFERROR(INDEX(Assumptions!$D$9:$D$13,MATCH(F265,Assumptions!$A$9:$A$13,0)),0.06),0)</x:f>
        <x:v>140</x:v>
      </x:c>
      <x:c r="U265" t="n">
        <x:f>ROUND(O265*IFERROR(INDEX(Assumptions!$E$9:$E$13,MATCH(F265,Assumptions!$A$9:$A$13,0)),0.15),0)</x:f>
        <x:v>308</x:v>
      </x:c>
      <x:c r="V265" t="n">
        <x:f>MAX(0,O265-SUM(R265:U265))</x:f>
        <x:v>168.69999999999982</x:v>
      </x:c>
      <x:c r="W265" t="n">
        <x:f>MIN(100,40+IF(O265&gt;0,20,0)+IF(M265&lt;&gt;"",20,0)+IF(AF265&lt;&gt;"",20,0))</x:f>
        <x:v>100</x:v>
      </x:c>
      <x:c r="X265" t="str">
        <x:v>Placed on exact national road host link</x:v>
      </x:c>
      <x:c r="Y265" t="str">
        <x:v>Unpaved</x:v>
      </x:c>
      <x:c r="Z265" t="str">
        <x:v>C</x:v>
      </x:c>
      <x:c r="AA265" t="str">
        <x:v>Not available in governed source</x:v>
      </x:c>
      <x:c r="AB265" t="str">
        <x:v>Not available in governed source</x:v>
      </x:c>
      <x:c r="AC265" t="str">
        <x:v>FY2025/26</x:v>
      </x:c>
      <x:c r="AD265" t="str">
        <x:v>Modelled</x:v>
      </x:c>
      <x:c r="AE265" t="str">
        <x:v>2026 bridge AADT rebuilt from host-link traffic history, annual collection-link history, same-road corridor history and spatial count-station influence. Vehicle-class values are assigned from functional-class shares.</x:v>
      </x:c>
      <x:c r="AF265" t="str">
        <x:v>Placed on exact national road host link</x:v>
      </x:c>
    </x:row>
    <x:row r="266" ht="15" hidden="0" customHeight="1">
      <x:c r="A266" t="str">
        <x:v>bridge-265</x:v>
      </x:c>
      <x:c r="B266" t="str">
        <x:v>B261</x:v>
      </x:c>
      <x:c r="C266" t="str">
        <x:v>MPANGA</x:v>
      </x:c>
      <x:c r="D266" t="str">
        <x:v>C556_Link01</x:v>
      </x:c>
      <x:c r="E266" t="str">
        <x:v>Bukuku - Rubona</x:v>
      </x:c>
      <x:c r="F266" t="str">
        <x:v>C</x:v>
      </x:c>
      <x:c r="G266" t="str">
        <x:v>Western</x:v>
      </x:c>
      <x:c r="H266" t="str">
        <x:v>Fort Portal</x:v>
      </x:c>
      <x:c r="I266" t="str">
        <x:v>Mpanga River</x:v>
      </x:c>
      <x:c r="J266" t="str">
        <x:v>Marginal</x:v>
      </x:c>
      <x:c r="K266" t="n">
        <x:v>30.172859</x:v>
      </x:c>
      <x:c r="L266" t="n">
        <x:v>0.656084</x:v>
      </x:c>
      <x:c r="M266" t="n">
        <x:v>30.172581</x:v>
      </x:c>
      <x:c r="N266" t="n">
        <x:v>0.656246</x:v>
      </x:c>
      <x:c r="O266" t="n">
        <x:v>2801.7</x:v>
      </x:c>
      <x:c r="P266" t="n">
        <x:f>IFERROR(INDEX(Assumptions!$B$9:$B$13,MATCH(F266,Assumptions!$A$9:$A$13,0)),0.15)</x:f>
        <x:v>0.28</x:v>
      </x:c>
      <x:c r="Q266" t="n">
        <x:f>ROUND(O266*(1-P266),0)</x:f>
        <x:v>2017</x:v>
      </x:c>
      <x:c r="R266" t="n">
        <x:f>ROUND(O266*P266,0)</x:f>
        <x:v>784</x:v>
      </x:c>
      <x:c r="S266" t="n">
        <x:f>ROUND(O266*IFERROR(INDEX(Assumptions!$C$9:$C$13,MATCH(F266,Assumptions!$A$9:$A$13,0)),0.55),0)</x:f>
        <x:v>1401</x:v>
      </x:c>
      <x:c r="T266" t="n">
        <x:f>ROUND(O266*IFERROR(INDEX(Assumptions!$D$9:$D$13,MATCH(F266,Assumptions!$A$9:$A$13,0)),0.06),0)</x:f>
        <x:v>140</x:v>
      </x:c>
      <x:c r="U266" t="n">
        <x:f>ROUND(O266*IFERROR(INDEX(Assumptions!$E$9:$E$13,MATCH(F266,Assumptions!$A$9:$A$13,0)),0.15),0)</x:f>
        <x:v>308</x:v>
      </x:c>
      <x:c r="V266" t="n">
        <x:f>MAX(0,O266-SUM(R266:U266))</x:f>
        <x:v>168.69999999999982</x:v>
      </x:c>
      <x:c r="W266" t="n">
        <x:f>MIN(100,40+IF(O266&gt;0,20,0)+IF(M266&lt;&gt;"",20,0)+IF(AF266&lt;&gt;"",20,0))</x:f>
        <x:v>100</x:v>
      </x:c>
      <x:c r="X266" t="str">
        <x:v>Placed on exact national road host link</x:v>
      </x:c>
      <x:c r="Y266" t="str">
        <x:v>Unpaved</x:v>
      </x:c>
      <x:c r="Z266" t="str">
        <x:v>C</x:v>
      </x:c>
      <x:c r="AA266" t="str">
        <x:v>Not available in governed source</x:v>
      </x:c>
      <x:c r="AB266" t="str">
        <x:v>Not available in governed source</x:v>
      </x:c>
      <x:c r="AC266" t="str">
        <x:v>FY2025/26</x:v>
      </x:c>
      <x:c r="AD266" t="str">
        <x:v>Modelled</x:v>
      </x:c>
      <x:c r="AE266" t="str">
        <x:v>2026 bridge AADT rebuilt from host-link traffic history, annual collection-link history, same-road corridor history and spatial count-station influence. Vehicle-class values are assigned from functional-class shares.</x:v>
      </x:c>
      <x:c r="AF266" t="str">
        <x:v>Placed on exact national road host link</x:v>
      </x:c>
    </x:row>
    <x:row r="267" ht="15" hidden="0" customHeight="1">
      <x:c r="A267" t="str">
        <x:v>bridge-266</x:v>
      </x:c>
      <x:c r="B267" t="str">
        <x:v>B263</x:v>
      </x:c>
      <x:c r="C267" t="str">
        <x:v>Satisfactory</x:v>
      </x:c>
      <x:c r="D267" t="str">
        <x:v>C575_Link01</x:v>
      </x:c>
      <x:c r="E267" t="str">
        <x:v>Kibuku - Nyabushozi</x:v>
      </x:c>
      <x:c r="F267" t="str">
        <x:v>C</x:v>
      </x:c>
      <x:c r="G267" t="str">
        <x:v>Western</x:v>
      </x:c>
      <x:c r="H267" t="str">
        <x:v>Fort Portal</x:v>
      </x:c>
      <x:c r="I267" t="str">
        <x:v>Satisfactory River</x:v>
      </x:c>
      <x:c r="J267" t="str">
        <x:v>Marginal</x:v>
      </x:c>
      <x:c r="K267" t="n">
        <x:v>30.237967</x:v>
      </x:c>
      <x:c r="L267" t="n">
        <x:v>0.929418</x:v>
      </x:c>
      <x:c r="M267" t="n">
        <x:v>30.238161</x:v>
      </x:c>
      <x:c r="N267" t="n">
        <x:v>0.929352</x:v>
      </x:c>
      <x:c r="O267" t="n">
        <x:v>4005.53</x:v>
      </x:c>
      <x:c r="P267" t="n">
        <x:f>IFERROR(INDEX(Assumptions!$B$9:$B$13,MATCH(F267,Assumptions!$A$9:$A$13,0)),0.15)</x:f>
        <x:v>0.28</x:v>
      </x:c>
      <x:c r="Q267" t="n">
        <x:f>ROUND(O267*(1-P267),0)</x:f>
        <x:v>2884</x:v>
      </x:c>
      <x:c r="R267" t="n">
        <x:f>ROUND(O267*P267,0)</x:f>
        <x:v>1122</x:v>
      </x:c>
      <x:c r="S267" t="n">
        <x:f>ROUND(O267*IFERROR(INDEX(Assumptions!$C$9:$C$13,MATCH(F267,Assumptions!$A$9:$A$13,0)),0.55),0)</x:f>
        <x:v>2003</x:v>
      </x:c>
      <x:c r="T267" t="n">
        <x:f>ROUND(O267*IFERROR(INDEX(Assumptions!$D$9:$D$13,MATCH(F267,Assumptions!$A$9:$A$13,0)),0.06),0)</x:f>
        <x:v>200</x:v>
      </x:c>
      <x:c r="U267" t="n">
        <x:f>ROUND(O267*IFERROR(INDEX(Assumptions!$E$9:$E$13,MATCH(F267,Assumptions!$A$9:$A$13,0)),0.15),0)</x:f>
        <x:v>441</x:v>
      </x:c>
      <x:c r="V267" t="n">
        <x:f>MAX(0,O267-SUM(R267:U267))</x:f>
        <x:v>239.5300000000002</x:v>
      </x:c>
      <x:c r="W267" t="n">
        <x:f>MIN(100,40+IF(O267&gt;0,20,0)+IF(M267&lt;&gt;"",20,0)+IF(AF267&lt;&gt;"",20,0))</x:f>
        <x:v>100</x:v>
      </x:c>
      <x:c r="X267" t="str">
        <x:v>Placed on exact national road host link</x:v>
      </x:c>
      <x:c r="Y267" t="str">
        <x:v>Unpaved</x:v>
      </x:c>
      <x:c r="Z267" t="str">
        <x:v>C</x:v>
      </x:c>
      <x:c r="AA267" t="str">
        <x:v>Not available in governed source</x:v>
      </x:c>
      <x:c r="AB267" t="str">
        <x:v>Not available in governed source</x:v>
      </x:c>
      <x:c r="AC267" t="str">
        <x:v>FY2025/26</x:v>
      </x:c>
      <x:c r="AD267" t="str">
        <x:v>Modelled</x:v>
      </x:c>
      <x:c r="AE267" t="str">
        <x:v>2026 bridge AADT rebuilt from host-link traffic history, annual collection-link history, same-road corridor history and spatial count-station influence. Vehicle-class values are assigned from functional-class shares.</x:v>
      </x:c>
      <x:c r="AF267" t="str">
        <x:v>Placed on exact national road host link</x:v>
      </x:c>
    </x:row>
    <x:row r="268" ht="15" hidden="0" customHeight="1">
      <x:c r="A268" t="str">
        <x:v>bridge-267</x:v>
      </x:c>
      <x:c r="B268" t="str">
        <x:v>B264</x:v>
      </x:c>
      <x:c r="C268" t="str">
        <x:v>MURUNGU</x:v>
      </x:c>
      <x:c r="D268" t="str">
        <x:v>C677_Link02</x:v>
      </x:c>
      <x:c r="E268" t="str">
        <x:v>Kalongo - Kitgum Matidi</x:v>
      </x:c>
      <x:c r="F268" t="str">
        <x:v>C</x:v>
      </x:c>
      <x:c r="G268" t="str">
        <x:v>Northern</x:v>
      </x:c>
      <x:c r="H268" t="str">
        <x:v>Kitgum</x:v>
      </x:c>
      <x:c r="I268" t="str">
        <x:v>MURUNGU</x:v>
      </x:c>
      <x:c r="J268" t="str">
        <x:v>Poor</x:v>
      </x:c>
      <x:c r="K268" t="n">
        <x:v>30.82284</x:v>
      </x:c>
      <x:c r="L268" t="n">
        <x:v>1.06575</x:v>
      </x:c>
      <x:c r="M268" t="n">
        <x:v>30.823398</x:v>
      </x:c>
      <x:c r="N268" t="n">
        <x:v>1.065947</x:v>
      </x:c>
      <x:c r="O268" t="n">
        <x:v>1054.9</x:v>
      </x:c>
      <x:c r="P268" t="n">
        <x:f>IFERROR(INDEX(Assumptions!$B$9:$B$13,MATCH(F268,Assumptions!$A$9:$A$13,0)),0.15)</x:f>
        <x:v>0.28</x:v>
      </x:c>
      <x:c r="Q268" t="n">
        <x:f>ROUND(O268*(1-P268),0)</x:f>
        <x:v>760</x:v>
      </x:c>
      <x:c r="R268" t="n">
        <x:f>ROUND(O268*P268,0)</x:f>
        <x:v>295</x:v>
      </x:c>
      <x:c r="S268" t="n">
        <x:f>ROUND(O268*IFERROR(INDEX(Assumptions!$C$9:$C$13,MATCH(F268,Assumptions!$A$9:$A$13,0)),0.55),0)</x:f>
        <x:v>527</x:v>
      </x:c>
      <x:c r="T268" t="n">
        <x:f>ROUND(O268*IFERROR(INDEX(Assumptions!$D$9:$D$13,MATCH(F268,Assumptions!$A$9:$A$13,0)),0.06),0)</x:f>
        <x:v>53</x:v>
      </x:c>
      <x:c r="U268" t="n">
        <x:f>ROUND(O268*IFERROR(INDEX(Assumptions!$E$9:$E$13,MATCH(F268,Assumptions!$A$9:$A$13,0)),0.15),0)</x:f>
        <x:v>116</x:v>
      </x:c>
      <x:c r="V268" t="n">
        <x:f>MAX(0,O268-SUM(R268:U268))</x:f>
        <x:v>63.90000000000009</x:v>
      </x:c>
      <x:c r="W268" t="n">
        <x:f>MIN(100,40+IF(O268&gt;0,20,0)+IF(M268&lt;&gt;"",20,0)+IF(AF268&lt;&gt;"",20,0))</x:f>
        <x:v>100</x:v>
      </x:c>
      <x:c r="X268" t="str">
        <x:v>Placed on exact national road host link</x:v>
      </x:c>
      <x:c r="Y268" t="str">
        <x:v>Unpaved</x:v>
      </x:c>
      <x:c r="Z268" t="str">
        <x:v>C</x:v>
      </x:c>
      <x:c r="AA268" t="str">
        <x:v>Not available in governed source</x:v>
      </x:c>
      <x:c r="AB268" t="str">
        <x:v>Not available in governed source</x:v>
      </x:c>
      <x:c r="AC268" t="str">
        <x:v>FY2025/26</x:v>
      </x:c>
      <x:c r="AD268" t="str">
        <x:v>Modelled</x:v>
      </x:c>
      <x:c r="AE268" t="str">
        <x:v>2026 bridge AADT rebuilt from host-link traffic history, annual collection-link history, same-road corridor history and spatial count-station influence. Vehicle-class values are assigned from functional-class shares.</x:v>
      </x:c>
      <x:c r="AF268" t="str">
        <x:v>Placed on exact national road host link</x:v>
      </x:c>
    </x:row>
    <x:row r="269" ht="15" hidden="0" customHeight="1">
      <x:c r="A269" t="str">
        <x:v>bridge-268</x:v>
      </x:c>
      <x:c r="B269" t="str">
        <x:v>B265</x:v>
      </x:c>
      <x:c r="C269" t="str">
        <x:v>NGUSE</x:v>
      </x:c>
      <x:c r="D269" t="str">
        <x:v>C677_Link02</x:v>
      </x:c>
      <x:c r="E269" t="str">
        <x:v>Kalongo - Kitgum Matidi</x:v>
      </x:c>
      <x:c r="F269" t="str">
        <x:v>C</x:v>
      </x:c>
      <x:c r="G269" t="str">
        <x:v>Northern</x:v>
      </x:c>
      <x:c r="H269" t="str">
        <x:v>Kitgum</x:v>
      </x:c>
      <x:c r="I269" t="str">
        <x:v>NGUSE</x:v>
      </x:c>
      <x:c r="J269" t="str">
        <x:v>Marginal</x:v>
      </x:c>
      <x:c r="K269" t="n">
        <x:v>31.122629</x:v>
      </x:c>
      <x:c r="L269" t="n">
        <x:v>1.02426</x:v>
      </x:c>
      <x:c r="M269" t="n">
        <x:v>31.122624</x:v>
      </x:c>
      <x:c r="N269" t="n">
        <x:v>1.024254</x:v>
      </x:c>
      <x:c r="O269" t="n">
        <x:v>1456.7</x:v>
      </x:c>
      <x:c r="P269" t="n">
        <x:f>IFERROR(INDEX(Assumptions!$B$9:$B$13,MATCH(F269,Assumptions!$A$9:$A$13,0)),0.15)</x:f>
        <x:v>0.28</x:v>
      </x:c>
      <x:c r="Q269" t="n">
        <x:f>ROUND(O269*(1-P269),0)</x:f>
        <x:v>1049</x:v>
      </x:c>
      <x:c r="R269" t="n">
        <x:f>ROUND(O269*P269,0)</x:f>
        <x:v>408</x:v>
      </x:c>
      <x:c r="S269" t="n">
        <x:f>ROUND(O269*IFERROR(INDEX(Assumptions!$C$9:$C$13,MATCH(F269,Assumptions!$A$9:$A$13,0)),0.55),0)</x:f>
        <x:v>728</x:v>
      </x:c>
      <x:c r="T269" t="n">
        <x:f>ROUND(O269*IFERROR(INDEX(Assumptions!$D$9:$D$13,MATCH(F269,Assumptions!$A$9:$A$13,0)),0.06),0)</x:f>
        <x:v>73</x:v>
      </x:c>
      <x:c r="U269" t="n">
        <x:f>ROUND(O269*IFERROR(INDEX(Assumptions!$E$9:$E$13,MATCH(F269,Assumptions!$A$9:$A$13,0)),0.15),0)</x:f>
        <x:v>160</x:v>
      </x:c>
      <x:c r="V269" t="n">
        <x:f>MAX(0,O269-SUM(R269:U269))</x:f>
        <x:v>87.70000000000005</x:v>
      </x:c>
      <x:c r="W269" t="n">
        <x:f>MIN(100,40+IF(O269&gt;0,20,0)+IF(M269&lt;&gt;"",20,0)+IF(AF269&lt;&gt;"",20,0))</x:f>
        <x:v>100</x:v>
      </x:c>
      <x:c r="X269" t="str">
        <x:v>Placed on exact national road host link</x:v>
      </x:c>
      <x:c r="Y269" t="str">
        <x:v>Unpaved</x:v>
      </x:c>
      <x:c r="Z269" t="str">
        <x:v>C</x:v>
      </x:c>
      <x:c r="AA269" t="str">
        <x:v>Not available in governed source</x:v>
      </x:c>
      <x:c r="AB269" t="str">
        <x:v>Not available in governed source</x:v>
      </x:c>
      <x:c r="AC269" t="str">
        <x:v>FY2025/26</x:v>
      </x:c>
      <x:c r="AD269" t="str">
        <x:v>Modelled</x:v>
      </x:c>
      <x:c r="AE269" t="str">
        <x:v>2026 bridge AADT rebuilt from host-link traffic history, annual collection-link history, same-road corridor history and spatial count-station influence. Vehicle-class values are assigned from functional-class shares.</x:v>
      </x:c>
      <x:c r="AF269" t="str">
        <x:v>Placed on exact national road host link</x:v>
      </x:c>
    </x:row>
    <x:row r="270" ht="15" hidden="0" customHeight="1">
      <x:c r="A270" t="str">
        <x:v>bridge-269</x:v>
      </x:c>
      <x:c r="B270" t="str">
        <x:v>B266</x:v>
      </x:c>
      <x:c r="C270" t="str">
        <x:v>MPANGA</x:v>
      </x:c>
      <x:c r="D270" t="str">
        <x:v>C677_Link02</x:v>
      </x:c>
      <x:c r="E270" t="str">
        <x:v>Kalongo - Kitgum Matidi</x:v>
      </x:c>
      <x:c r="F270" t="str">
        <x:v>C</x:v>
      </x:c>
      <x:c r="G270" t="str">
        <x:v>Northern</x:v>
      </x:c>
      <x:c r="H270" t="str">
        <x:v>Kitgum</x:v>
      </x:c>
      <x:c r="I270" t="str">
        <x:v>MPANGA</x:v>
      </x:c>
      <x:c r="J270" t="str">
        <x:v>Marginal</x:v>
      </x:c>
      <x:c r="K270" t="n">
        <x:v>30.532631</x:v>
      </x:c>
      <x:c r="L270" t="n">
        <x:v>0.302793</x:v>
      </x:c>
      <x:c r="M270" t="n">
        <x:v>33.196484</x:v>
      </x:c>
      <x:c r="N270" t="n">
        <x:v>3.136152</x:v>
      </x:c>
      <x:c r="O270" t="n">
        <x:v>726.62</x:v>
      </x:c>
      <x:c r="P270" t="n">
        <x:f>IFERROR(INDEX(Assumptions!$B$9:$B$13,MATCH(F270,Assumptions!$A$9:$A$13,0)),0.15)</x:f>
        <x:v>0.28</x:v>
      </x:c>
      <x:c r="Q270" t="n">
        <x:f>ROUND(O270*(1-P270),0)</x:f>
        <x:v>523</x:v>
      </x:c>
      <x:c r="R270" t="n">
        <x:f>ROUND(O270*P270,0)</x:f>
        <x:v>203</x:v>
      </x:c>
      <x:c r="S270" t="n">
        <x:f>ROUND(O270*IFERROR(INDEX(Assumptions!$C$9:$C$13,MATCH(F270,Assumptions!$A$9:$A$13,0)),0.55),0)</x:f>
        <x:v>363</x:v>
      </x:c>
      <x:c r="T270" t="n">
        <x:f>ROUND(O270*IFERROR(INDEX(Assumptions!$D$9:$D$13,MATCH(F270,Assumptions!$A$9:$A$13,0)),0.06),0)</x:f>
        <x:v>36</x:v>
      </x:c>
      <x:c r="U270" t="n">
        <x:f>ROUND(O270*IFERROR(INDEX(Assumptions!$E$9:$E$13,MATCH(F270,Assumptions!$A$9:$A$13,0)),0.15),0)</x:f>
        <x:v>80</x:v>
      </x:c>
      <x:c r="V270" t="n">
        <x:f>MAX(0,O270-SUM(R270:U270))</x:f>
        <x:v>44.620000000000005</x:v>
      </x:c>
      <x:c r="W270" t="n">
        <x:f>MIN(100,40+IF(O270&gt;0,20,0)+IF(M270&lt;&gt;"",20,0)+IF(AF270&lt;&gt;"",20,0))</x:f>
        <x:v>100</x:v>
      </x:c>
      <x:c r="X270" t="str">
        <x:v>Placed on exact national road host link</x:v>
      </x:c>
      <x:c r="Y270" t="str">
        <x:v>Unpaved</x:v>
      </x:c>
      <x:c r="Z270" t="str">
        <x:v>C</x:v>
      </x:c>
      <x:c r="AA270" t="str">
        <x:v>Not available in governed source</x:v>
      </x:c>
      <x:c r="AB270" t="str">
        <x:v>Not available in governed source</x:v>
      </x:c>
      <x:c r="AC270" t="str">
        <x:v>FY2025/26</x:v>
      </x:c>
      <x:c r="AD270" t="str">
        <x:v>Modelled</x:v>
      </x:c>
      <x:c r="AE270" t="str">
        <x:v>2026 bridge AADT rebuilt from host-link traffic history, annual collection-link history, same-road corridor history and spatial count-station influence. Vehicle-class values are assigned from functional-class shares.</x:v>
      </x:c>
      <x:c r="AF270" t="str">
        <x:v>Placed on exact national road host link</x:v>
      </x:c>
    </x:row>
    <x:row r="271" ht="15" hidden="0" customHeight="1">
      <x:c r="A271" t="str">
        <x:v>bridge-270</x:v>
      </x:c>
      <x:c r="B271" t="str">
        <x:v>B267</x:v>
      </x:c>
      <x:c r="C271" t="str">
        <x:v>MPANGA</x:v>
      </x:c>
      <x:c r="D271" t="str">
        <x:v>C963_Link02</x:v>
      </x:c>
      <x:c r="E271" t="str">
        <x:v>Lokitanyara-Loro-Amudat</x:v>
      </x:c>
      <x:c r="F271" t="str">
        <x:v>C</x:v>
      </x:c>
      <x:c r="G271" t="str">
        <x:v>North Eastern</x:v>
      </x:c>
      <x:c r="H271" t="str">
        <x:v>Moroto</x:v>
      </x:c>
      <x:c r="I271" t="str">
        <x:v>MPANGA RIVER</x:v>
      </x:c>
      <x:c r="J271" t="str">
        <x:v>Good</x:v>
      </x:c>
      <x:c r="K271" t="n">
        <x:v>31.198521</x:v>
      </x:c>
      <x:c r="L271" t="n">
        <x:v>-0.46901</x:v>
      </x:c>
      <x:c r="M271" t="n">
        <x:v>31.198485</x:v>
      </x:c>
      <x:c r="N271" t="n">
        <x:v>-0.469054</x:v>
      </x:c>
      <x:c r="O271" t="n">
        <x:v>673.76</x:v>
      </x:c>
      <x:c r="P271" t="n">
        <x:f>IFERROR(INDEX(Assumptions!$B$9:$B$13,MATCH(F271,Assumptions!$A$9:$A$13,0)),0.15)</x:f>
        <x:v>0.28</x:v>
      </x:c>
      <x:c r="Q271" t="n">
        <x:f>ROUND(O271*(1-P271),0)</x:f>
        <x:v>485</x:v>
      </x:c>
      <x:c r="R271" t="n">
        <x:f>ROUND(O271*P271,0)</x:f>
        <x:v>189</x:v>
      </x:c>
      <x:c r="S271" t="n">
        <x:f>ROUND(O271*IFERROR(INDEX(Assumptions!$C$9:$C$13,MATCH(F271,Assumptions!$A$9:$A$13,0)),0.55),0)</x:f>
        <x:v>337</x:v>
      </x:c>
      <x:c r="T271" t="n">
        <x:f>ROUND(O271*IFERROR(INDEX(Assumptions!$D$9:$D$13,MATCH(F271,Assumptions!$A$9:$A$13,0)),0.06),0)</x:f>
        <x:v>34</x:v>
      </x:c>
      <x:c r="U271" t="n">
        <x:f>ROUND(O271*IFERROR(INDEX(Assumptions!$E$9:$E$13,MATCH(F271,Assumptions!$A$9:$A$13,0)),0.15),0)</x:f>
        <x:v>74</x:v>
      </x:c>
      <x:c r="V271" t="n">
        <x:f>MAX(0,O271-SUM(R271:U271))</x:f>
        <x:v>39.75999999999999</x:v>
      </x:c>
      <x:c r="W271" t="n">
        <x:f>MIN(100,40+IF(O271&gt;0,20,0)+IF(M271&lt;&gt;"",20,0)+IF(AF271&lt;&gt;"",20,0))</x:f>
        <x:v>100</x:v>
      </x:c>
      <x:c r="X271" t="str">
        <x:v>Placed on exact national road host link</x:v>
      </x:c>
      <x:c r="Y271" t="str">
        <x:v>Unpaved</x:v>
      </x:c>
      <x:c r="Z271" t="str">
        <x:v>C</x:v>
      </x:c>
      <x:c r="AA271" t="str">
        <x:v>Not available in governed source</x:v>
      </x:c>
      <x:c r="AB271" t="str">
        <x:v>Not available in governed source</x:v>
      </x:c>
      <x:c r="AC271" t="str">
        <x:v>FY2025/26</x:v>
      </x:c>
      <x:c r="AD271" t="str">
        <x:v>Modelled</x:v>
      </x:c>
      <x:c r="AE271" t="str">
        <x:v>2026 bridge AADT rebuilt from host-link traffic history, annual collection-link history, same-road corridor history and spatial count-station influence. Vehicle-class values are assigned from functional-class shares.</x:v>
      </x:c>
      <x:c r="AF271" t="str">
        <x:v>Placed on exact national road host link</x:v>
      </x:c>
    </x:row>
    <x:row r="272" ht="15" hidden="0" customHeight="1">
      <x:c r="A272" t="str">
        <x:v>bridge-271</x:v>
      </x:c>
      <x:c r="B272" t="str">
        <x:v>B268</x:v>
      </x:c>
      <x:c r="C272" t="str">
        <x:v>MPANGA BRIDGE</x:v>
      </x:c>
      <x:c r="D272" t="str">
        <x:v>C963_Link03</x:v>
      </x:c>
      <x:c r="E272" t="str">
        <x:v>Amudat-Alakasi-Kalita</x:v>
      </x:c>
      <x:c r="F272" t="str">
        <x:v>C</x:v>
      </x:c>
      <x:c r="G272" t="str">
        <x:v>North Eastern</x:v>
      </x:c>
      <x:c r="H272" t="str">
        <x:v>Moroto</x:v>
      </x:c>
      <x:c r="I272" t="str">
        <x:v>MPANGA RIVER</x:v>
      </x:c>
      <x:c r="J272" t="str">
        <x:v>Marginal</x:v>
      </x:c>
      <x:c r="K272" t="n">
        <x:v>30.413811</x:v>
      </x:c>
      <x:c r="L272" t="n">
        <x:v>-0.10868</x:v>
      </x:c>
      <x:c r="M272" t="n">
        <x:v>30.415326</x:v>
      </x:c>
      <x:c r="N272" t="n">
        <x:v>-0.099435</x:v>
      </x:c>
      <x:c r="O272" t="n">
        <x:v>1234.86</x:v>
      </x:c>
      <x:c r="P272" t="n">
        <x:f>IFERROR(INDEX(Assumptions!$B$9:$B$13,MATCH(F272,Assumptions!$A$9:$A$13,0)),0.15)</x:f>
        <x:v>0.28</x:v>
      </x:c>
      <x:c r="Q272" t="n">
        <x:f>ROUND(O272*(1-P272),0)</x:f>
        <x:v>889</x:v>
      </x:c>
      <x:c r="R272" t="n">
        <x:f>ROUND(O272*P272,0)</x:f>
        <x:v>346</x:v>
      </x:c>
      <x:c r="S272" t="n">
        <x:f>ROUND(O272*IFERROR(INDEX(Assumptions!$C$9:$C$13,MATCH(F272,Assumptions!$A$9:$A$13,0)),0.55),0)</x:f>
        <x:v>617</x:v>
      </x:c>
      <x:c r="T272" t="n">
        <x:f>ROUND(O272*IFERROR(INDEX(Assumptions!$D$9:$D$13,MATCH(F272,Assumptions!$A$9:$A$13,0)),0.06),0)</x:f>
        <x:v>62</x:v>
      </x:c>
      <x:c r="U272" t="n">
        <x:f>ROUND(O272*IFERROR(INDEX(Assumptions!$E$9:$E$13,MATCH(F272,Assumptions!$A$9:$A$13,0)),0.15),0)</x:f>
        <x:v>136</x:v>
      </x:c>
      <x:c r="V272" t="n">
        <x:f>MAX(0,O272-SUM(R272:U272))</x:f>
        <x:v>73.8599999999999</x:v>
      </x:c>
      <x:c r="W272" t="n">
        <x:f>MIN(100,40+IF(O272&gt;0,20,0)+IF(M272&lt;&gt;"",20,0)+IF(AF272&lt;&gt;"",20,0))</x:f>
        <x:v>100</x:v>
      </x:c>
      <x:c r="X272" t="str">
        <x:v>Placed on exact national road host link</x:v>
      </x:c>
      <x:c r="Y272" t="str">
        <x:v>Unpaved</x:v>
      </x:c>
      <x:c r="Z272" t="str">
        <x:v>C</x:v>
      </x:c>
      <x:c r="AA272" t="str">
        <x:v>Not available in governed source</x:v>
      </x:c>
      <x:c r="AB272" t="str">
        <x:v>Not available in governed source</x:v>
      </x:c>
      <x:c r="AC272" t="str">
        <x:v>FY2025/26</x:v>
      </x:c>
      <x:c r="AD272" t="str">
        <x:v>Modelled</x:v>
      </x:c>
      <x:c r="AE272" t="str">
        <x:v>2026 bridge AADT rebuilt from host-link traffic history, annual collection-link history, same-road corridor history and spatial count-station influence. Vehicle-class values are assigned from functional-class shares.</x:v>
      </x:c>
      <x:c r="AF272" t="str">
        <x:v>Placed on exact national road host link</x:v>
      </x:c>
    </x:row>
    <x:row r="273" ht="15" hidden="0" customHeight="1">
      <x:c r="A273" t="str">
        <x:v>bridge-272</x:v>
      </x:c>
      <x:c r="B273" t="str">
        <x:v>B269</x:v>
      </x:c>
      <x:c r="C273" t="str">
        <x:v>KISENGE</x:v>
      </x:c>
      <x:c r="D273" t="str">
        <x:v>C964_Link02</x:v>
      </x:c>
      <x:c r="E273" t="str">
        <x:v>Toroma-Magoro</x:v>
      </x:c>
      <x:c r="F273" t="str">
        <x:v>C</x:v>
      </x:c>
      <x:c r="G273" t="str">
        <x:v>North Eastern</x:v>
      </x:c>
      <x:c r="H273" t="str">
        <x:v>Soroti</x:v>
      </x:c>
      <x:c r="I273" t="str">
        <x:v>KISEGE</x:v>
      </x:c>
      <x:c r="J273" t="str">
        <x:v>Marginal</x:v>
      </x:c>
      <x:c r="K273" t="n">
        <x:v>30.23797</x:v>
      </x:c>
      <x:c r="L273" t="n">
        <x:v>0.92937</x:v>
      </x:c>
      <x:c r="M273" t="n">
        <x:v>30.238144</x:v>
      </x:c>
      <x:c r="N273" t="n">
        <x:v>0.929306</x:v>
      </x:c>
      <x:c r="O273" t="n">
        <x:v>4005.53</x:v>
      </x:c>
      <x:c r="P273" t="n">
        <x:f>IFERROR(INDEX(Assumptions!$B$9:$B$13,MATCH(F273,Assumptions!$A$9:$A$13,0)),0.15)</x:f>
        <x:v>0.28</x:v>
      </x:c>
      <x:c r="Q273" t="n">
        <x:f>ROUND(O273*(1-P273),0)</x:f>
        <x:v>2884</x:v>
      </x:c>
      <x:c r="R273" t="n">
        <x:f>ROUND(O273*P273,0)</x:f>
        <x:v>1122</x:v>
      </x:c>
      <x:c r="S273" t="n">
        <x:f>ROUND(O273*IFERROR(INDEX(Assumptions!$C$9:$C$13,MATCH(F273,Assumptions!$A$9:$A$13,0)),0.55),0)</x:f>
        <x:v>2003</x:v>
      </x:c>
      <x:c r="T273" t="n">
        <x:f>ROUND(O273*IFERROR(INDEX(Assumptions!$D$9:$D$13,MATCH(F273,Assumptions!$A$9:$A$13,0)),0.06),0)</x:f>
        <x:v>200</x:v>
      </x:c>
      <x:c r="U273" t="n">
        <x:f>ROUND(O273*IFERROR(INDEX(Assumptions!$E$9:$E$13,MATCH(F273,Assumptions!$A$9:$A$13,0)),0.15),0)</x:f>
        <x:v>441</x:v>
      </x:c>
      <x:c r="V273" t="n">
        <x:f>MAX(0,O273-SUM(R273:U273))</x:f>
        <x:v>239.5300000000002</x:v>
      </x:c>
      <x:c r="W273" t="n">
        <x:f>MIN(100,40+IF(O273&gt;0,20,0)+IF(M273&lt;&gt;"",20,0)+IF(AF273&lt;&gt;"",20,0))</x:f>
        <x:v>100</x:v>
      </x:c>
      <x:c r="X273" t="str">
        <x:v>Placed on exact national road host link</x:v>
      </x:c>
      <x:c r="Y273" t="str">
        <x:v>Unpaved</x:v>
      </x:c>
      <x:c r="Z273" t="str">
        <x:v>C</x:v>
      </x:c>
      <x:c r="AA273" t="str">
        <x:v>Not available in governed source</x:v>
      </x:c>
      <x:c r="AB273" t="str">
        <x:v>Not available in governed source</x:v>
      </x:c>
      <x:c r="AC273" t="str">
        <x:v>FY2025/26</x:v>
      </x:c>
      <x:c r="AD273" t="str">
        <x:v>Modelled</x:v>
      </x:c>
      <x:c r="AE273" t="str">
        <x:v>2026 bridge AADT rebuilt from host-link traffic history, annual collection-link history, same-road corridor history and spatial count-station influence. Vehicle-class values are assigned from functional-class shares.</x:v>
      </x:c>
      <x:c r="AF273" t="str">
        <x:v>Placed on exact national road host link</x:v>
      </x:c>
    </x:row>
    <x:row r="274" ht="15" hidden="0" customHeight="1">
      <x:c r="A274" t="str">
        <x:v>bridge-273</x:v>
      </x:c>
      <x:c r="B274" t="str">
        <x:v>B270</x:v>
      </x:c>
      <x:c r="C274" t="str">
        <x:v>WAMBABYA</x:v>
      </x:c>
      <x:c r="D274" t="str">
        <x:v>C967_Link01</x:v>
      </x:c>
      <x:c r="E274" t="str">
        <x:v>Kokeris - Lopei</x:v>
      </x:c>
      <x:c r="F274" t="str">
        <x:v>C</x:v>
      </x:c>
      <x:c r="G274" t="str">
        <x:v>North Eastern</x:v>
      </x:c>
      <x:c r="H274" t="str">
        <x:v>Moroto</x:v>
      </x:c>
      <x:c r="I274" t="str">
        <x:v>WAMBABYA</x:v>
      </x:c>
      <x:c r="J274" t="str">
        <x:v>Satisfactory</x:v>
      </x:c>
      <x:c r="K274" t="n">
        <x:v>31.11483</x:v>
      </x:c>
      <x:c r="L274" t="n">
        <x:v>1.529899</x:v>
      </x:c>
      <x:c r="M274" t="n">
        <x:v>31.114801</x:v>
      </x:c>
      <x:c r="N274" t="n">
        <x:v>1.529975</x:v>
      </x:c>
      <x:c r="O274" t="n">
        <x:v>2255.63</x:v>
      </x:c>
      <x:c r="P274" t="n">
        <x:f>IFERROR(INDEX(Assumptions!$B$9:$B$13,MATCH(F274,Assumptions!$A$9:$A$13,0)),0.15)</x:f>
        <x:v>0.28</x:v>
      </x:c>
      <x:c r="Q274" t="n">
        <x:f>ROUND(O274*(1-P274),0)</x:f>
        <x:v>1624</x:v>
      </x:c>
      <x:c r="R274" t="n">
        <x:f>ROUND(O274*P274,0)</x:f>
        <x:v>632</x:v>
      </x:c>
      <x:c r="S274" t="n">
        <x:f>ROUND(O274*IFERROR(INDEX(Assumptions!$C$9:$C$13,MATCH(F274,Assumptions!$A$9:$A$13,0)),0.55),0)</x:f>
        <x:v>1128</x:v>
      </x:c>
      <x:c r="T274" t="n">
        <x:f>ROUND(O274*IFERROR(INDEX(Assumptions!$D$9:$D$13,MATCH(F274,Assumptions!$A$9:$A$13,0)),0.06),0)</x:f>
        <x:v>113</x:v>
      </x:c>
      <x:c r="U274" t="n">
        <x:f>ROUND(O274*IFERROR(INDEX(Assumptions!$E$9:$E$13,MATCH(F274,Assumptions!$A$9:$A$13,0)),0.15),0)</x:f>
        <x:v>248</x:v>
      </x:c>
      <x:c r="V274" t="n">
        <x:f>MAX(0,O274-SUM(R274:U274))</x:f>
        <x:v>134.6300000000001</x:v>
      </x:c>
      <x:c r="W274" t="n">
        <x:f>MIN(100,40+IF(O274&gt;0,20,0)+IF(M274&lt;&gt;"",20,0)+IF(AF274&lt;&gt;"",20,0))</x:f>
        <x:v>100</x:v>
      </x:c>
      <x:c r="X274" t="str">
        <x:v>Placed on exact national road host link</x:v>
      </x:c>
      <x:c r="Y274" t="str">
        <x:v>Paved</x:v>
      </x:c>
      <x:c r="Z274" t="str">
        <x:v>C</x:v>
      </x:c>
      <x:c r="AA274" t="str">
        <x:v>Not available in governed source</x:v>
      </x:c>
      <x:c r="AB274" t="str">
        <x:v>Not available in governed source</x:v>
      </x:c>
      <x:c r="AC274" t="str">
        <x:v>FY2025/26</x:v>
      </x:c>
      <x:c r="AD274" t="str">
        <x:v>Modelled</x:v>
      </x:c>
      <x:c r="AE274" t="str">
        <x:v>2026 bridge AADT rebuilt from host-link traffic history, annual collection-link history, same-road corridor history and spatial count-station influence. Vehicle-class values are assigned from functional-class shares.</x:v>
      </x:c>
      <x:c r="AF274" t="str">
        <x:v>Placed on exact national road host link</x:v>
      </x:c>
    </x:row>
    <x:row r="275" ht="15" hidden="0" customHeight="1">
      <x:c r="A275" t="str">
        <x:v>bridge-274</x:v>
      </x:c>
      <x:c r="B275" t="str">
        <x:v>B271</x:v>
      </x:c>
      <x:c r="C275" t="str">
        <x:v>WAMBABYA</x:v>
      </x:c>
      <x:c r="D275" t="str">
        <x:v>C594_Link01</x:v>
      </x:c>
      <x:c r="E275" t="str">
        <x:v>Bugambe-Kidoma</x:v>
      </x:c>
      <x:c r="F275" t="str">
        <x:v>C</x:v>
      </x:c>
      <x:c r="G275" t="str">
        <x:v>Western</x:v>
      </x:c>
      <x:c r="H275" t="str">
        <x:v>Hoima</x:v>
      </x:c>
      <x:c r="I275" t="str">
        <x:v>WAMBABYA</x:v>
      </x:c>
      <x:c r="J275" t="str">
        <x:v>Poor</x:v>
      </x:c>
      <x:c r="K275" t="n">
        <x:v>31.182899</x:v>
      </x:c>
      <x:c r="L275" t="n">
        <x:v>1.37389</x:v>
      </x:c>
      <x:c r="M275" t="n">
        <x:v>31.182025</x:v>
      </x:c>
      <x:c r="N275" t="n">
        <x:v>1.375425</x:v>
      </x:c>
      <x:c r="O275" t="n">
        <x:v>1753</x:v>
      </x:c>
      <x:c r="P275" t="n">
        <x:f>IFERROR(INDEX(Assumptions!$B$9:$B$13,MATCH(F275,Assumptions!$A$9:$A$13,0)),0.15)</x:f>
        <x:v>0.28</x:v>
      </x:c>
      <x:c r="Q275" t="n">
        <x:f>ROUND(O275*(1-P275),0)</x:f>
        <x:v>1262</x:v>
      </x:c>
      <x:c r="R275" t="n">
        <x:f>ROUND(O275*P275,0)</x:f>
        <x:v>491</x:v>
      </x:c>
      <x:c r="S275" t="n">
        <x:f>ROUND(O275*IFERROR(INDEX(Assumptions!$C$9:$C$13,MATCH(F275,Assumptions!$A$9:$A$13,0)),0.55),0)</x:f>
        <x:v>877</x:v>
      </x:c>
      <x:c r="T275" t="n">
        <x:f>ROUND(O275*IFERROR(INDEX(Assumptions!$D$9:$D$13,MATCH(F275,Assumptions!$A$9:$A$13,0)),0.06),0)</x:f>
        <x:v>88</x:v>
      </x:c>
      <x:c r="U275" t="n">
        <x:f>ROUND(O275*IFERROR(INDEX(Assumptions!$E$9:$E$13,MATCH(F275,Assumptions!$A$9:$A$13,0)),0.15),0)</x:f>
        <x:v>193</x:v>
      </x:c>
      <x:c r="V275" t="n">
        <x:f>MAX(0,O275-SUM(R275:U275))</x:f>
        <x:v>104</x:v>
      </x:c>
      <x:c r="W275" t="n">
        <x:f>MIN(100,40+IF(O275&gt;0,20,0)+IF(M275&lt;&gt;"",20,0)+IF(AF275&lt;&gt;"",20,0))</x:f>
        <x:v>100</x:v>
      </x:c>
      <x:c r="X275" t="str">
        <x:v>Placed on exact national road host link</x:v>
      </x:c>
      <x:c r="Y275" t="str">
        <x:v>Unpaved</x:v>
      </x:c>
      <x:c r="Z275" t="str">
        <x:v>C</x:v>
      </x:c>
      <x:c r="AA275" t="str">
        <x:v>Not available in governed source</x:v>
      </x:c>
      <x:c r="AB275" t="str">
        <x:v>Not available in governed source</x:v>
      </x:c>
      <x:c r="AC275" t="str">
        <x:v>FY2025/26</x:v>
      </x:c>
      <x:c r="AD275" t="str">
        <x:v>Modelled</x:v>
      </x:c>
      <x:c r="AE275" t="str">
        <x:v>2026 bridge AADT rebuilt from host-link traffic history, annual collection-link history, same-road corridor history and spatial count-station influence. Vehicle-class values are assigned from functional-class shares.</x:v>
      </x:c>
      <x:c r="AF275" t="str">
        <x:v>Placed on exact national road host link</x:v>
      </x:c>
    </x:row>
    <x:row r="276" ht="15" hidden="0" customHeight="1">
      <x:c r="A276" t="str">
        <x:v>bridge-275</x:v>
      </x:c>
      <x:c r="B276" t="str">
        <x:v>B272</x:v>
      </x:c>
      <x:c r="C276" t="str">
        <x:v>WAMBABYA</x:v>
      </x:c>
      <x:c r="D276" t="str">
        <x:v>C595_Link01</x:v>
      </x:c>
      <x:c r="E276" t="str">
        <x:v>Mairirwe-Wambabya</x:v>
      </x:c>
      <x:c r="F276" t="str">
        <x:v>C</x:v>
      </x:c>
      <x:c r="G276" t="str">
        <x:v>Western</x:v>
      </x:c>
      <x:c r="H276" t="str">
        <x:v>Hoima</x:v>
      </x:c>
      <x:c r="I276" t="str">
        <x:v>MAIRIRWE</x:v>
      </x:c>
      <x:c r="J276" t="str">
        <x:v>Marginal</x:v>
      </x:c>
      <x:c r="K276" t="n">
        <x:v>31.24888</x:v>
      </x:c>
      <x:c r="L276" t="n">
        <x:v>1.381651</x:v>
      </x:c>
      <x:c r="M276" t="n">
        <x:v>31.248755</x:v>
      </x:c>
      <x:c r="N276" t="n">
        <x:v>1.381282</x:v>
      </x:c>
      <x:c r="O276" t="n">
        <x:v>1559.08</x:v>
      </x:c>
      <x:c r="P276" t="n">
        <x:f>IFERROR(INDEX(Assumptions!$B$9:$B$13,MATCH(F276,Assumptions!$A$9:$A$13,0)),0.15)</x:f>
        <x:v>0.28</x:v>
      </x:c>
      <x:c r="Q276" t="n">
        <x:f>ROUND(O276*(1-P276),0)</x:f>
        <x:v>1123</x:v>
      </x:c>
      <x:c r="R276" t="n">
        <x:f>ROUND(O276*P276,0)</x:f>
        <x:v>437</x:v>
      </x:c>
      <x:c r="S276" t="n">
        <x:f>ROUND(O276*IFERROR(INDEX(Assumptions!$C$9:$C$13,MATCH(F276,Assumptions!$A$9:$A$13,0)),0.55),0)</x:f>
        <x:v>780</x:v>
      </x:c>
      <x:c r="T276" t="n">
        <x:f>ROUND(O276*IFERROR(INDEX(Assumptions!$D$9:$D$13,MATCH(F276,Assumptions!$A$9:$A$13,0)),0.06),0)</x:f>
        <x:v>78</x:v>
      </x:c>
      <x:c r="U276" t="n">
        <x:f>ROUND(O276*IFERROR(INDEX(Assumptions!$E$9:$E$13,MATCH(F276,Assumptions!$A$9:$A$13,0)),0.15),0)</x:f>
        <x:v>171</x:v>
      </x:c>
      <x:c r="V276" t="n">
        <x:f>MAX(0,O276-SUM(R276:U276))</x:f>
        <x:v>93.07999999999993</x:v>
      </x:c>
      <x:c r="W276" t="n">
        <x:f>MIN(100,40+IF(O276&gt;0,20,0)+IF(M276&lt;&gt;"",20,0)+IF(AF276&lt;&gt;"",20,0))</x:f>
        <x:v>100</x:v>
      </x:c>
      <x:c r="X276" t="str">
        <x:v>Placed on exact national road host link</x:v>
      </x:c>
      <x:c r="Y276" t="str">
        <x:v>Unpaved</x:v>
      </x:c>
      <x:c r="Z276" t="str">
        <x:v>C</x:v>
      </x:c>
      <x:c r="AA276" t="str">
        <x:v>Not available in governed source</x:v>
      </x:c>
      <x:c r="AB276" t="str">
        <x:v>Not available in governed source</x:v>
      </x:c>
      <x:c r="AC276" t="str">
        <x:v>FY2025/26</x:v>
      </x:c>
      <x:c r="AD276" t="str">
        <x:v>Modelled</x:v>
      </x:c>
      <x:c r="AE276" t="str">
        <x:v>2026 bridge AADT rebuilt from host-link traffic history, annual collection-link history, same-road corridor history and spatial count-station influence. Vehicle-class values are assigned from functional-class shares.</x:v>
      </x:c>
      <x:c r="AF276" t="str">
        <x:v>Placed on exact national road host link</x:v>
      </x:c>
    </x:row>
    <x:row r="277" ht="15" hidden="0" customHeight="1">
      <x:c r="A277" t="str">
        <x:v>bridge-276</x:v>
      </x:c>
      <x:c r="B277" t="str">
        <x:v>B274</x:v>
      </x:c>
      <x:c r="C277" t="str">
        <x:v>Wambabya</x:v>
      </x:c>
      <x:c r="D277" t="str">
        <x:v>C601_Link01</x:v>
      </x:c>
      <x:c r="E277" t="str">
        <x:v>Buseruka-Kigorobya</x:v>
      </x:c>
      <x:c r="F277" t="str">
        <x:v>C</x:v>
      </x:c>
      <x:c r="G277" t="str">
        <x:v>Western</x:v>
      </x:c>
      <x:c r="H277" t="str">
        <x:v>Hoima</x:v>
      </x:c>
      <x:c r="I277" t="str">
        <x:v>Wambabya River</x:v>
      </x:c>
      <x:c r="J277" t="str">
        <x:v>Poor</x:v>
      </x:c>
      <x:c r="K277" t="n">
        <x:v>31.209574</x:v>
      </x:c>
      <x:c r="L277" t="n">
        <x:v>1.569413</x:v>
      </x:c>
      <x:c r="M277" t="n">
        <x:v>31.210389</x:v>
      </x:c>
      <x:c r="N277" t="n">
        <x:v>1.569822</x:v>
      </x:c>
      <x:c r="O277" t="n">
        <x:v>1559.08</x:v>
      </x:c>
      <x:c r="P277" t="n">
        <x:f>IFERROR(INDEX(Assumptions!$B$9:$B$13,MATCH(F277,Assumptions!$A$9:$A$13,0)),0.15)</x:f>
        <x:v>0.28</x:v>
      </x:c>
      <x:c r="Q277" t="n">
        <x:f>ROUND(O277*(1-P277),0)</x:f>
        <x:v>1123</x:v>
      </x:c>
      <x:c r="R277" t="n">
        <x:f>ROUND(O277*P277,0)</x:f>
        <x:v>437</x:v>
      </x:c>
      <x:c r="S277" t="n">
        <x:f>ROUND(O277*IFERROR(INDEX(Assumptions!$C$9:$C$13,MATCH(F277,Assumptions!$A$9:$A$13,0)),0.55),0)</x:f>
        <x:v>780</x:v>
      </x:c>
      <x:c r="T277" t="n">
        <x:f>ROUND(O277*IFERROR(INDEX(Assumptions!$D$9:$D$13,MATCH(F277,Assumptions!$A$9:$A$13,0)),0.06),0)</x:f>
        <x:v>78</x:v>
      </x:c>
      <x:c r="U277" t="n">
        <x:f>ROUND(O277*IFERROR(INDEX(Assumptions!$E$9:$E$13,MATCH(F277,Assumptions!$A$9:$A$13,0)),0.15),0)</x:f>
        <x:v>171</x:v>
      </x:c>
      <x:c r="V277" t="n">
        <x:f>MAX(0,O277-SUM(R277:U277))</x:f>
        <x:v>93.07999999999993</x:v>
      </x:c>
      <x:c r="W277" t="n">
        <x:f>MIN(100,40+IF(O277&gt;0,20,0)+IF(M277&lt;&gt;"",20,0)+IF(AF277&lt;&gt;"",20,0))</x:f>
        <x:v>100</x:v>
      </x:c>
      <x:c r="X277" t="str">
        <x:v>Placed on exact national road host link</x:v>
      </x:c>
      <x:c r="Y277" t="str">
        <x:v>Unpaved</x:v>
      </x:c>
      <x:c r="Z277" t="str">
        <x:v>C</x:v>
      </x:c>
      <x:c r="AA277" t="str">
        <x:v>Not available in governed source</x:v>
      </x:c>
      <x:c r="AB277" t="str">
        <x:v>Not available in governed source</x:v>
      </x:c>
      <x:c r="AC277" t="str">
        <x:v>FY2025/26</x:v>
      </x:c>
      <x:c r="AD277" t="str">
        <x:v>Modelled</x:v>
      </x:c>
      <x:c r="AE277" t="str">
        <x:v>2026 bridge AADT rebuilt from host-link traffic history, annual collection-link history, same-road corridor history and spatial count-station influence. Vehicle-class values are assigned from functional-class shares.</x:v>
      </x:c>
      <x:c r="AF277" t="str">
        <x:v>Placed on exact national road host link</x:v>
      </x:c>
    </x:row>
    <x:row r="278" ht="15" hidden="0" customHeight="1">
      <x:c r="A278" t="str">
        <x:v>bridge-277</x:v>
      </x:c>
      <x:c r="B278" t="str">
        <x:v>B275</x:v>
      </x:c>
      <x:c r="C278" t="str">
        <x:v>WAMBABYA</x:v>
      </x:c>
      <x:c r="D278" t="str">
        <x:v>M3_Link01</x:v>
      </x:c>
      <x:c r="E278" t="str">
        <x:v>Kampala - Entebbe Expressway</x:v>
      </x:c>
      <x:c r="F278" t="str">
        <x:v>M</x:v>
      </x:c>
      <x:c r="G278" t="str">
        <x:v>Central</x:v>
      </x:c>
      <x:c r="H278" t="str">
        <x:v>Kampala</x:v>
      </x:c>
      <x:c r="I278" t="str">
        <x:v>WAMBABYA</x:v>
      </x:c>
      <x:c r="J278" t="str">
        <x:v>Marginal</x:v>
      </x:c>
      <x:c r="K278" t="n">
        <x:v>31.103519</x:v>
      </x:c>
      <x:c r="L278" t="n">
        <x:v>1.558344</x:v>
      </x:c>
      <x:c r="M278" t="n">
        <x:v>32.512374</x:v>
      </x:c>
      <x:c r="N278" t="n">
        <x:v>0.300095</x:v>
      </x:c>
      <x:c r="O278" t="n">
        <x:v>20711.35</x:v>
      </x:c>
      <x:c r="P278" t="n">
        <x:f>IFERROR(INDEX(Assumptions!$B$9:$B$13,MATCH(F278,Assumptions!$A$9:$A$13,0)),0.15)</x:f>
        <x:v>0.08</x:v>
      </x:c>
      <x:c r="Q278" t="n">
        <x:f>ROUND(O278*(1-P278),0)</x:f>
        <x:v>19054</x:v>
      </x:c>
      <x:c r="R278" t="n">
        <x:f>ROUND(O278*P278,0)</x:f>
        <x:v>1657</x:v>
      </x:c>
      <x:c r="S278" t="n">
        <x:f>ROUND(O278*IFERROR(INDEX(Assumptions!$C$9:$C$13,MATCH(F278,Assumptions!$A$9:$A$13,0)),0.55),0)</x:f>
        <x:v>12841</x:v>
      </x:c>
      <x:c r="T278" t="n">
        <x:f>ROUND(O278*IFERROR(INDEX(Assumptions!$D$9:$D$13,MATCH(F278,Assumptions!$A$9:$A$13,0)),0.06),0)</x:f>
        <x:v>1657</x:v>
      </x:c>
      <x:c r="U278" t="n">
        <x:f>ROUND(O278*IFERROR(INDEX(Assumptions!$E$9:$E$13,MATCH(F278,Assumptions!$A$9:$A$13,0)),0.15),0)</x:f>
        <x:v>3728</x:v>
      </x:c>
      <x:c r="V278" t="n">
        <x:f>MAX(0,O278-SUM(R278:U278))</x:f>
        <x:v>828.3499999999985</x:v>
      </x:c>
      <x:c r="W278" t="n">
        <x:f>MIN(100,40+IF(O278&gt;0,20,0)+IF(M278&lt;&gt;"",20,0)+IF(AF278&lt;&gt;"",20,0))</x:f>
        <x:v>100</x:v>
      </x:c>
      <x:c r="X278" t="str">
        <x:v>Placed on exact national road host link</x:v>
      </x:c>
      <x:c r="Y278" t="str">
        <x:v>Paved</x:v>
      </x:c>
      <x:c r="Z278" t="str">
        <x:v>M</x:v>
      </x:c>
      <x:c r="AA278" t="str">
        <x:v>Not available in governed source</x:v>
      </x:c>
      <x:c r="AB278" t="str">
        <x:v>Not available in governed source</x:v>
      </x:c>
      <x:c r="AC278" t="str">
        <x:v>FY2025/26</x:v>
      </x:c>
      <x:c r="AD278" t="str">
        <x:v>Modelled</x:v>
      </x:c>
      <x:c r="AE278" t="str">
        <x:v>2026 bridge AADT rebuilt from host-link traffic history, annual collection-link history, same-road corridor history and spatial count-station influence. Vehicle-class values are assigned from functional-class shares.</x:v>
      </x:c>
      <x:c r="AF278" t="str">
        <x:v>Placed on exact national road host link</x:v>
      </x:c>
    </x:row>
    <x:row r="279" ht="15" hidden="0" customHeight="1">
      <x:c r="A279" t="str">
        <x:v>bridge-278</x:v>
      </x:c>
      <x:c r="B279" t="str">
        <x:v>B276</x:v>
      </x:c>
      <x:c r="C279" t="str">
        <x:v>Kanangalo</x:v>
      </x:c>
      <x:c r="D279" t="str">
        <x:v>C627_Link02</x:v>
      </x:c>
      <x:c r="E279" t="str">
        <x:v>Nkooko-Nalweyo</x:v>
      </x:c>
      <x:c r="F279" t="str">
        <x:v>C</x:v>
      </x:c>
      <x:c r="G279" t="str">
        <x:v>Western</x:v>
      </x:c>
      <x:c r="H279" t="str">
        <x:v>Hoima</x:v>
      </x:c>
      <x:c r="I279" t="str">
        <x:v>Kanangalo</x:v>
      </x:c>
      <x:c r="J279" t="str">
        <x:v>Poor</x:v>
      </x:c>
      <x:c r="K279" t="n">
        <x:v>31.44503</x:v>
      </x:c>
      <x:c r="L279" t="n">
        <x:v>0.95543</x:v>
      </x:c>
      <x:c r="M279" t="n">
        <x:v>31.446553</x:v>
      </x:c>
      <x:c r="N279" t="n">
        <x:v>0.954584</x:v>
      </x:c>
      <x:c r="O279" t="n">
        <x:v>1014.57</x:v>
      </x:c>
      <x:c r="P279" t="n">
        <x:f>IFERROR(INDEX(Assumptions!$B$9:$B$13,MATCH(F279,Assumptions!$A$9:$A$13,0)),0.15)</x:f>
        <x:v>0.28</x:v>
      </x:c>
      <x:c r="Q279" t="n">
        <x:f>ROUND(O279*(1-P279),0)</x:f>
        <x:v>730</x:v>
      </x:c>
      <x:c r="R279" t="n">
        <x:f>ROUND(O279*P279,0)</x:f>
        <x:v>284</x:v>
      </x:c>
      <x:c r="S279" t="n">
        <x:f>ROUND(O279*IFERROR(INDEX(Assumptions!$C$9:$C$13,MATCH(F279,Assumptions!$A$9:$A$13,0)),0.55),0)</x:f>
        <x:v>507</x:v>
      </x:c>
      <x:c r="T279" t="n">
        <x:f>ROUND(O279*IFERROR(INDEX(Assumptions!$D$9:$D$13,MATCH(F279,Assumptions!$A$9:$A$13,0)),0.06),0)</x:f>
        <x:v>51</x:v>
      </x:c>
      <x:c r="U279" t="n">
        <x:f>ROUND(O279*IFERROR(INDEX(Assumptions!$E$9:$E$13,MATCH(F279,Assumptions!$A$9:$A$13,0)),0.15),0)</x:f>
        <x:v>112</x:v>
      </x:c>
      <x:c r="V279" t="n">
        <x:f>MAX(0,O279-SUM(R279:U279))</x:f>
        <x:v>60.57000000000005</x:v>
      </x:c>
      <x:c r="W279" t="n">
        <x:f>MIN(100,40+IF(O279&gt;0,20,0)+IF(M279&lt;&gt;"",20,0)+IF(AF279&lt;&gt;"",20,0))</x:f>
        <x:v>100</x:v>
      </x:c>
      <x:c r="X279" t="str">
        <x:v>Placed on exact national road host link</x:v>
      </x:c>
      <x:c r="Y279" t="str">
        <x:v>Unpaved</x:v>
      </x:c>
      <x:c r="Z279" t="str">
        <x:v>C</x:v>
      </x:c>
      <x:c r="AA279" t="str">
        <x:v>Not available in governed source</x:v>
      </x:c>
      <x:c r="AB279" t="str">
        <x:v>Not available in governed source</x:v>
      </x:c>
      <x:c r="AC279" t="str">
        <x:v>FY2025/26</x:v>
      </x:c>
      <x:c r="AD279" t="str">
        <x:v>Modelled</x:v>
      </x:c>
      <x:c r="AE279" t="str">
        <x:v>2026 bridge AADT rebuilt from host-link traffic history, annual collection-link history, same-road corridor history and spatial count-station influence. Vehicle-class values are assigned from functional-class shares.</x:v>
      </x:c>
      <x:c r="AF279" t="str">
        <x:v>Placed on exact national road host link</x:v>
      </x:c>
    </x:row>
    <x:row r="280" ht="15" hidden="0" customHeight="1">
      <x:c r="A280" t="str">
        <x:v>bridge-279</x:v>
      </x:c>
      <x:c r="B280" t="str">
        <x:v>B277</x:v>
      </x:c>
      <x:c r="C280" t="str">
        <x:v>Okole Bridge 1</x:v>
      </x:c>
      <x:c r="D280" t="str">
        <x:v>M3_Link01</x:v>
      </x:c>
      <x:c r="E280" t="str">
        <x:v>Kampala - Entebbe Expressway</x:v>
      </x:c>
      <x:c r="F280" t="str">
        <x:v>M</x:v>
      </x:c>
      <x:c r="G280" t="str">
        <x:v>Central</x:v>
      </x:c>
      <x:c r="H280" t="str">
        <x:v>Kampala</x:v>
      </x:c>
      <x:c r="I280" t="str">
        <x:v>Okole River</x:v>
      </x:c>
      <x:c r="J280" t="str">
        <x:v>Under Construction</x:v>
      </x:c>
      <x:c r="K280" t="n">
        <x:v>32.571899</x:v>
      </x:c>
      <x:c r="L280" t="n">
        <x:v>2.20205</x:v>
      </x:c>
      <x:c r="M280" t="n">
        <x:v>32.572028</x:v>
      </x:c>
      <x:c r="N280" t="n">
        <x:v>2.202482</x:v>
      </x:c>
      <x:c r="O280" t="n">
        <x:v>1801</x:v>
      </x:c>
      <x:c r="P280" t="n">
        <x:f>IFERROR(INDEX(Assumptions!$B$9:$B$13,MATCH(F280,Assumptions!$A$9:$A$13,0)),0.15)</x:f>
        <x:v>0.08</x:v>
      </x:c>
      <x:c r="Q280" t="n">
        <x:f>ROUND(O280*(1-P280),0)</x:f>
        <x:v>1657</x:v>
      </x:c>
      <x:c r="R280" t="n">
        <x:f>ROUND(O280*P280,0)</x:f>
        <x:v>144</x:v>
      </x:c>
      <x:c r="S280" t="n">
        <x:f>ROUND(O280*IFERROR(INDEX(Assumptions!$C$9:$C$13,MATCH(F280,Assumptions!$A$9:$A$13,0)),0.55),0)</x:f>
        <x:v>1117</x:v>
      </x:c>
      <x:c r="T280" t="n">
        <x:f>ROUND(O280*IFERROR(INDEX(Assumptions!$D$9:$D$13,MATCH(F280,Assumptions!$A$9:$A$13,0)),0.06),0)</x:f>
        <x:v>144</x:v>
      </x:c>
      <x:c r="U280" t="n">
        <x:f>ROUND(O280*IFERROR(INDEX(Assumptions!$E$9:$E$13,MATCH(F280,Assumptions!$A$9:$A$13,0)),0.15),0)</x:f>
        <x:v>324</x:v>
      </x:c>
      <x:c r="V280" t="n">
        <x:f>MAX(0,O280-SUM(R280:U280))</x:f>
        <x:v>72</x:v>
      </x:c>
      <x:c r="W280" t="n">
        <x:f>MIN(100,40+IF(O280&gt;0,20,0)+IF(M280&lt;&gt;"",20,0)+IF(AF280&lt;&gt;"",20,0))</x:f>
        <x:v>100</x:v>
      </x:c>
      <x:c r="X280" t="str">
        <x:v>Placed on exact national road host link</x:v>
      </x:c>
      <x:c r="Y280" t="str">
        <x:v>Unpaved</x:v>
      </x:c>
      <x:c r="Z280" t="str">
        <x:v>M</x:v>
      </x:c>
      <x:c r="AA280" t="str">
        <x:v>Not available in governed source</x:v>
      </x:c>
      <x:c r="AB280" t="str">
        <x:v>Not available in governed source</x:v>
      </x:c>
      <x:c r="AC280" t="str">
        <x:v>FY2025/26</x:v>
      </x:c>
      <x:c r="AD280" t="str">
        <x:v>Modelled</x:v>
      </x:c>
      <x:c r="AE280" t="str">
        <x:v>2026 bridge AADT rebuilt from host-link traffic history, annual collection-link history, same-road corridor history and spatial count-station influence. Vehicle-class values are assigned from functional-class shares.</x:v>
      </x:c>
      <x:c r="AF280" t="str">
        <x:v>Placed on exact national road host link</x:v>
      </x:c>
    </x:row>
    <x:row r="281" ht="15" hidden="0" customHeight="1">
      <x:c r="A281" t="str">
        <x:v>bridge-280</x:v>
      </x:c>
      <x:c r="B281" t="str">
        <x:v>B278</x:v>
      </x:c>
      <x:c r="C281" t="str">
        <x:v>WALABAM</x:v>
      </x:c>
      <x:c r="D281" t="str">
        <x:v>M3_Link01</x:v>
      </x:c>
      <x:c r="E281" t="str">
        <x:v>Kampala - Entebbe Expressway</x:v>
      </x:c>
      <x:c r="F281" t="str">
        <x:v>M</x:v>
      </x:c>
      <x:c r="G281" t="str">
        <x:v>Central</x:v>
      </x:c>
      <x:c r="H281" t="str">
        <x:v>Kampala</x:v>
      </x:c>
      <x:c r="I281" t="str">
        <x:v>WALABAM</x:v>
      </x:c>
      <x:c r="J281" t="str">
        <x:v>Marginal</x:v>
      </x:c>
      <x:c r="K281" t="n">
        <x:v>32.433491</x:v>
      </x:c>
      <x:c r="L281" t="n">
        <x:v>2.408556</x:v>
      </x:c>
      <x:c r="M281" t="n">
        <x:v>32.522073</x:v>
      </x:c>
      <x:c r="N281" t="n">
        <x:v>0.249812</x:v>
      </x:c>
      <x:c r="O281" t="n">
        <x:v>20711.35</x:v>
      </x:c>
      <x:c r="P281" t="n">
        <x:f>IFERROR(INDEX(Assumptions!$B$9:$B$13,MATCH(F281,Assumptions!$A$9:$A$13,0)),0.15)</x:f>
        <x:v>0.08</x:v>
      </x:c>
      <x:c r="Q281" t="n">
        <x:f>ROUND(O281*(1-P281),0)</x:f>
        <x:v>19054</x:v>
      </x:c>
      <x:c r="R281" t="n">
        <x:f>ROUND(O281*P281,0)</x:f>
        <x:v>1657</x:v>
      </x:c>
      <x:c r="S281" t="n">
        <x:f>ROUND(O281*IFERROR(INDEX(Assumptions!$C$9:$C$13,MATCH(F281,Assumptions!$A$9:$A$13,0)),0.55),0)</x:f>
        <x:v>12841</x:v>
      </x:c>
      <x:c r="T281" t="n">
        <x:f>ROUND(O281*IFERROR(INDEX(Assumptions!$D$9:$D$13,MATCH(F281,Assumptions!$A$9:$A$13,0)),0.06),0)</x:f>
        <x:v>1657</x:v>
      </x:c>
      <x:c r="U281" t="n">
        <x:f>ROUND(O281*IFERROR(INDEX(Assumptions!$E$9:$E$13,MATCH(F281,Assumptions!$A$9:$A$13,0)),0.15),0)</x:f>
        <x:v>3728</x:v>
      </x:c>
      <x:c r="V281" t="n">
        <x:f>MAX(0,O281-SUM(R281:U281))</x:f>
        <x:v>828.3499999999985</x:v>
      </x:c>
      <x:c r="W281" t="n">
        <x:f>MIN(100,40+IF(O281&gt;0,20,0)+IF(M281&lt;&gt;"",20,0)+IF(AF281&lt;&gt;"",20,0))</x:f>
        <x:v>100</x:v>
      </x:c>
      <x:c r="X281" t="str">
        <x:v>Placed on exact national road host link</x:v>
      </x:c>
      <x:c r="Y281" t="str">
        <x:v>Paved</x:v>
      </x:c>
      <x:c r="Z281" t="str">
        <x:v>M</x:v>
      </x:c>
      <x:c r="AA281" t="str">
        <x:v>Not available in governed source</x:v>
      </x:c>
      <x:c r="AB281" t="str">
        <x:v>Not available in governed source</x:v>
      </x:c>
      <x:c r="AC281" t="str">
        <x:v>FY2025/26</x:v>
      </x:c>
      <x:c r="AD281" t="str">
        <x:v>Modelled</x:v>
      </x:c>
      <x:c r="AE281" t="str">
        <x:v>2026 bridge AADT rebuilt from host-link traffic history, annual collection-link history, same-road corridor history and spatial count-station influence. Vehicle-class values are assigned from functional-class shares.</x:v>
      </x:c>
      <x:c r="AF281" t="str">
        <x:v>Placed on exact national road host link</x:v>
      </x:c>
    </x:row>
    <x:row r="282" ht="15" hidden="0" customHeight="1">
      <x:c r="A282" t="str">
        <x:v>bridge-281</x:v>
      </x:c>
      <x:c r="B282" t="str">
        <x:v>B279</x:v>
      </x:c>
      <x:c r="C282" t="str">
        <x:v>TOCHI BRIDGE</x:v>
      </x:c>
      <x:c r="D282" t="str">
        <x:v>M3_Link01</x:v>
      </x:c>
      <x:c r="E282" t="str">
        <x:v>Kampala - Entebbe Expressway</x:v>
      </x:c>
      <x:c r="F282" t="str">
        <x:v>M</x:v>
      </x:c>
      <x:c r="G282" t="str">
        <x:v>Central</x:v>
      </x:c>
      <x:c r="H282" t="str">
        <x:v>Kampala</x:v>
      </x:c>
      <x:c r="I282" t="str">
        <x:v>TOCHI RIVER</x:v>
      </x:c>
      <x:c r="J282" t="str">
        <x:v>Marginal</x:v>
      </x:c>
      <x:c r="K282" t="n">
        <x:v>32.433483</x:v>
      </x:c>
      <x:c r="L282" t="n">
        <x:v>2.408602</x:v>
      </x:c>
      <x:c r="M282" t="n">
        <x:v>32.510721</x:v>
      </x:c>
      <x:c r="N282" t="n">
        <x:v>0.103762</x:v>
      </x:c>
      <x:c r="O282" t="n">
        <x:v>20711.35</x:v>
      </x:c>
      <x:c r="P282" t="n">
        <x:f>IFERROR(INDEX(Assumptions!$B$9:$B$13,MATCH(F282,Assumptions!$A$9:$A$13,0)),0.15)</x:f>
        <x:v>0.08</x:v>
      </x:c>
      <x:c r="Q282" t="n">
        <x:f>ROUND(O282*(1-P282),0)</x:f>
        <x:v>19054</x:v>
      </x:c>
      <x:c r="R282" t="n">
        <x:f>ROUND(O282*P282,0)</x:f>
        <x:v>1657</x:v>
      </x:c>
      <x:c r="S282" t="n">
        <x:f>ROUND(O282*IFERROR(INDEX(Assumptions!$C$9:$C$13,MATCH(F282,Assumptions!$A$9:$A$13,0)),0.55),0)</x:f>
        <x:v>12841</x:v>
      </x:c>
      <x:c r="T282" t="n">
        <x:f>ROUND(O282*IFERROR(INDEX(Assumptions!$D$9:$D$13,MATCH(F282,Assumptions!$A$9:$A$13,0)),0.06),0)</x:f>
        <x:v>1657</x:v>
      </x:c>
      <x:c r="U282" t="n">
        <x:f>ROUND(O282*IFERROR(INDEX(Assumptions!$E$9:$E$13,MATCH(F282,Assumptions!$A$9:$A$13,0)),0.15),0)</x:f>
        <x:v>3728</x:v>
      </x:c>
      <x:c r="V282" t="n">
        <x:f>MAX(0,O282-SUM(R282:U282))</x:f>
        <x:v>828.3499999999985</x:v>
      </x:c>
      <x:c r="W282" t="n">
        <x:f>MIN(100,40+IF(O282&gt;0,20,0)+IF(M282&lt;&gt;"",20,0)+IF(AF282&lt;&gt;"",20,0))</x:f>
        <x:v>100</x:v>
      </x:c>
      <x:c r="X282" t="str">
        <x:v>Placed on exact national road host link</x:v>
      </x:c>
      <x:c r="Y282" t="str">
        <x:v>Paved</x:v>
      </x:c>
      <x:c r="Z282" t="str">
        <x:v>M</x:v>
      </x:c>
      <x:c r="AA282" t="str">
        <x:v>Not available in governed source</x:v>
      </x:c>
      <x:c r="AB282" t="str">
        <x:v>Not available in governed source</x:v>
      </x:c>
      <x:c r="AC282" t="str">
        <x:v>FY2025/26</x:v>
      </x:c>
      <x:c r="AD282" t="str">
        <x:v>Modelled</x:v>
      </x:c>
      <x:c r="AE282" t="str">
        <x:v>2026 bridge AADT rebuilt from host-link traffic history, annual collection-link history, same-road corridor history and spatial count-station influence. Vehicle-class values are assigned from functional-class shares.</x:v>
      </x:c>
      <x:c r="AF282" t="str">
        <x:v>Placed on exact national road host link</x:v>
      </x:c>
    </x:row>
    <x:row r="283" ht="15" hidden="0" customHeight="1">
      <x:c r="A283" t="str">
        <x:v>bridge-282</x:v>
      </x:c>
      <x:c r="B283" t="str">
        <x:v>B281</x:v>
      </x:c>
      <x:c r="C283" t="str">
        <x:v>EYAMA BRIDGE</x:v>
      </x:c>
      <x:c r="D283" t="str">
        <x:v>M3_Link01</x:v>
      </x:c>
      <x:c r="E283" t="str">
        <x:v>Kampala - Entebbe Expressway</x:v>
      </x:c>
      <x:c r="F283" t="str">
        <x:v>M</x:v>
      </x:c>
      <x:c r="G283" t="str">
        <x:v>Central</x:v>
      </x:c>
      <x:c r="H283" t="str">
        <x:v>Kampala</x:v>
      </x:c>
      <x:c r="I283" t="str">
        <x:v>EYAMA RIVER</x:v>
      </x:c>
      <x:c r="J283" t="str">
        <x:v>Marginal</x:v>
      </x:c>
      <x:c r="K283" t="n">
        <x:v>33.28405</x:v>
      </x:c>
      <x:c r="L283" t="n">
        <x:v>2.11968</x:v>
      </x:c>
      <x:c r="M283" t="n">
        <x:v>33.284027</x:v>
      </x:c>
      <x:c r="N283" t="n">
        <x:v>2.119643</x:v>
      </x:c>
      <x:c r="O283" t="n">
        <x:v>1679.35</x:v>
      </x:c>
      <x:c r="P283" t="n">
        <x:f>IFERROR(INDEX(Assumptions!$B$9:$B$13,MATCH(F283,Assumptions!$A$9:$A$13,0)),0.15)</x:f>
        <x:v>0.08</x:v>
      </x:c>
      <x:c r="Q283" t="n">
        <x:f>ROUND(O283*(1-P283),0)</x:f>
        <x:v>1545</x:v>
      </x:c>
      <x:c r="R283" t="n">
        <x:f>ROUND(O283*P283,0)</x:f>
        <x:v>134</x:v>
      </x:c>
      <x:c r="S283" t="n">
        <x:f>ROUND(O283*IFERROR(INDEX(Assumptions!$C$9:$C$13,MATCH(F283,Assumptions!$A$9:$A$13,0)),0.55),0)</x:f>
        <x:v>1041</x:v>
      </x:c>
      <x:c r="T283" t="n">
        <x:f>ROUND(O283*IFERROR(INDEX(Assumptions!$D$9:$D$13,MATCH(F283,Assumptions!$A$9:$A$13,0)),0.06),0)</x:f>
        <x:v>134</x:v>
      </x:c>
      <x:c r="U283" t="n">
        <x:f>ROUND(O283*IFERROR(INDEX(Assumptions!$E$9:$E$13,MATCH(F283,Assumptions!$A$9:$A$13,0)),0.15),0)</x:f>
        <x:v>302</x:v>
      </x:c>
      <x:c r="V283" t="n">
        <x:f>MAX(0,O283-SUM(R283:U283))</x:f>
        <x:v>68.34999999999991</x:v>
      </x:c>
      <x:c r="W283" t="n">
        <x:f>MIN(100,40+IF(O283&gt;0,20,0)+IF(M283&lt;&gt;"",20,0)+IF(AF283&lt;&gt;"",20,0))</x:f>
        <x:v>100</x:v>
      </x:c>
      <x:c r="X283" t="str">
        <x:v>Placed on exact national road host link</x:v>
      </x:c>
      <x:c r="Y283" t="str">
        <x:v>Unpaved</x:v>
      </x:c>
      <x:c r="Z283" t="str">
        <x:v>M</x:v>
      </x:c>
      <x:c r="AA283" t="str">
        <x:v>Not available in governed source</x:v>
      </x:c>
      <x:c r="AB283" t="str">
        <x:v>Not available in governed source</x:v>
      </x:c>
      <x:c r="AC283" t="str">
        <x:v>FY2025/26</x:v>
      </x:c>
      <x:c r="AD283" t="str">
        <x:v>Modelled</x:v>
      </x:c>
      <x:c r="AE283" t="str">
        <x:v>2026 bridge AADT rebuilt from host-link traffic history, annual collection-link history, same-road corridor history and spatial count-station influence. Vehicle-class values are assigned from functional-class shares.</x:v>
      </x:c>
      <x:c r="AF283" t="str">
        <x:v>Placed on exact national road host link</x:v>
      </x:c>
    </x:row>
    <x:row r="284" ht="15" hidden="0" customHeight="1">
      <x:c r="A284" t="str">
        <x:v>bridge-283</x:v>
      </x:c>
      <x:c r="B284" t="str">
        <x:v>B282</x:v>
      </x:c>
      <x:c r="C284" t="str">
        <x:v>ENGET BRIDGE</x:v>
      </x:c>
      <x:c r="D284" t="str">
        <x:v>C671_Link01</x:v>
      </x:c>
      <x:c r="E284" t="str">
        <x:v>Aloi - Aboko - Bata - Dokolo</x:v>
      </x:c>
      <x:c r="F284" t="str">
        <x:v>C</x:v>
      </x:c>
      <x:c r="G284" t="str">
        <x:v>Northern</x:v>
      </x:c>
      <x:c r="H284" t="str">
        <x:v>Lira</x:v>
      </x:c>
      <x:c r="I284" t="str">
        <x:v>ENGET RIVER</x:v>
      </x:c>
      <x:c r="J284" t="str">
        <x:v>Poor</x:v>
      </x:c>
      <x:c r="K284" t="n">
        <x:v>33.218971</x:v>
      </x:c>
      <x:c r="L284" t="n">
        <x:v>2.1583</x:v>
      </x:c>
      <x:c r="M284" t="n">
        <x:v>33.197534</x:v>
      </x:c>
      <x:c r="N284" t="n">
        <x:v>2.006676</x:v>
      </x:c>
      <x:c r="O284" t="n">
        <x:v>488.79</x:v>
      </x:c>
      <x:c r="P284" t="n">
        <x:f>IFERROR(INDEX(Assumptions!$B$9:$B$13,MATCH(F284,Assumptions!$A$9:$A$13,0)),0.15)</x:f>
        <x:v>0.28</x:v>
      </x:c>
      <x:c r="Q284" t="n">
        <x:f>ROUND(O284*(1-P284),0)</x:f>
        <x:v>352</x:v>
      </x:c>
      <x:c r="R284" t="n">
        <x:f>ROUND(O284*P284,0)</x:f>
        <x:v>137</x:v>
      </x:c>
      <x:c r="S284" t="n">
        <x:f>ROUND(O284*IFERROR(INDEX(Assumptions!$C$9:$C$13,MATCH(F284,Assumptions!$A$9:$A$13,0)),0.55),0)</x:f>
        <x:v>244</x:v>
      </x:c>
      <x:c r="T284" t="n">
        <x:f>ROUND(O284*IFERROR(INDEX(Assumptions!$D$9:$D$13,MATCH(F284,Assumptions!$A$9:$A$13,0)),0.06),0)</x:f>
        <x:v>24</x:v>
      </x:c>
      <x:c r="U284" t="n">
        <x:f>ROUND(O284*IFERROR(INDEX(Assumptions!$E$9:$E$13,MATCH(F284,Assumptions!$A$9:$A$13,0)),0.15),0)</x:f>
        <x:v>54</x:v>
      </x:c>
      <x:c r="V284" t="n">
        <x:f>MAX(0,O284-SUM(R284:U284))</x:f>
        <x:v>29.79000000000002</x:v>
      </x:c>
      <x:c r="W284" t="n">
        <x:f>MIN(100,40+IF(O284&gt;0,20,0)+IF(M284&lt;&gt;"",20,0)+IF(AF284&lt;&gt;"",20,0))</x:f>
        <x:v>100</x:v>
      </x:c>
      <x:c r="X284" t="str">
        <x:v>Placed on exact national road host link</x:v>
      </x:c>
      <x:c r="Y284" t="str">
        <x:v>Unpaved</x:v>
      </x:c>
      <x:c r="Z284" t="str">
        <x:v>C</x:v>
      </x:c>
      <x:c r="AA284" t="str">
        <x:v>Not available in governed source</x:v>
      </x:c>
      <x:c r="AB284" t="str">
        <x:v>Not available in governed source</x:v>
      </x:c>
      <x:c r="AC284" t="str">
        <x:v>FY2025/26</x:v>
      </x:c>
      <x:c r="AD284" t="str">
        <x:v>Modelled</x:v>
      </x:c>
      <x:c r="AE284" t="str">
        <x:v>2026 bridge AADT rebuilt from host-link traffic history, annual collection-link history, same-road corridor history and spatial count-station influence. Vehicle-class values are assigned from functional-class shares.</x:v>
      </x:c>
      <x:c r="AF284" t="str">
        <x:v>Placed on exact national road host link</x:v>
      </x:c>
    </x:row>
    <x:row r="285" ht="15" hidden="0" customHeight="1">
      <x:c r="A285" t="str">
        <x:v>bridge-284</x:v>
      </x:c>
      <x:c r="B285" t="str">
        <x:v>B283</x:v>
      </x:c>
      <x:c r="C285" t="str">
        <x:v>AKOKOWO BRIDGE</x:v>
      </x:c>
      <x:c r="D285" t="str">
        <x:v>C671_Link01</x:v>
      </x:c>
      <x:c r="E285" t="str">
        <x:v>Aloi - Aboko - Bata - Dokolo</x:v>
      </x:c>
      <x:c r="F285" t="str">
        <x:v>C</x:v>
      </x:c>
      <x:c r="G285" t="str">
        <x:v>Northern</x:v>
      </x:c>
      <x:c r="H285" t="str">
        <x:v>Lira</x:v>
      </x:c>
      <x:c r="I285" t="str">
        <x:v>AKOKOWO RIVER</x:v>
      </x:c>
      <x:c r="J285" t="str">
        <x:v>Marginal</x:v>
      </x:c>
      <x:c r="K285" t="n">
        <x:v>33.221306</x:v>
      </x:c>
      <x:c r="L285" t="n">
        <x:v>2.152578</x:v>
      </x:c>
      <x:c r="M285" t="n">
        <x:v>33.209379</x:v>
      </x:c>
      <x:c r="N285" t="n">
        <x:v>2.040155</x:v>
      </x:c>
      <x:c r="O285" t="n">
        <x:v>488.79</x:v>
      </x:c>
      <x:c r="P285" t="n">
        <x:f>IFERROR(INDEX(Assumptions!$B$9:$B$13,MATCH(F285,Assumptions!$A$9:$A$13,0)),0.15)</x:f>
        <x:v>0.28</x:v>
      </x:c>
      <x:c r="Q285" t="n">
        <x:f>ROUND(O285*(1-P285),0)</x:f>
        <x:v>352</x:v>
      </x:c>
      <x:c r="R285" t="n">
        <x:f>ROUND(O285*P285,0)</x:f>
        <x:v>137</x:v>
      </x:c>
      <x:c r="S285" t="n">
        <x:f>ROUND(O285*IFERROR(INDEX(Assumptions!$C$9:$C$13,MATCH(F285,Assumptions!$A$9:$A$13,0)),0.55),0)</x:f>
        <x:v>244</x:v>
      </x:c>
      <x:c r="T285" t="n">
        <x:f>ROUND(O285*IFERROR(INDEX(Assumptions!$D$9:$D$13,MATCH(F285,Assumptions!$A$9:$A$13,0)),0.06),0)</x:f>
        <x:v>24</x:v>
      </x:c>
      <x:c r="U285" t="n">
        <x:f>ROUND(O285*IFERROR(INDEX(Assumptions!$E$9:$E$13,MATCH(F285,Assumptions!$A$9:$A$13,0)),0.15),0)</x:f>
        <x:v>54</x:v>
      </x:c>
      <x:c r="V285" t="n">
        <x:f>MAX(0,O285-SUM(R285:U285))</x:f>
        <x:v>29.79000000000002</x:v>
      </x:c>
      <x:c r="W285" t="n">
        <x:f>MIN(100,40+IF(O285&gt;0,20,0)+IF(M285&lt;&gt;"",20,0)+IF(AF285&lt;&gt;"",20,0))</x:f>
        <x:v>100</x:v>
      </x:c>
      <x:c r="X285" t="str">
        <x:v>Placed on exact national road host link</x:v>
      </x:c>
      <x:c r="Y285" t="str">
        <x:v>Unpaved</x:v>
      </x:c>
      <x:c r="Z285" t="str">
        <x:v>C</x:v>
      </x:c>
      <x:c r="AA285" t="str">
        <x:v>Not available in governed source</x:v>
      </x:c>
      <x:c r="AB285" t="str">
        <x:v>Not available in governed source</x:v>
      </x:c>
      <x:c r="AC285" t="str">
        <x:v>FY2025/26</x:v>
      </x:c>
      <x:c r="AD285" t="str">
        <x:v>Modelled</x:v>
      </x:c>
      <x:c r="AE285" t="str">
        <x:v>2026 bridge AADT rebuilt from host-link traffic history, annual collection-link history, same-road corridor history and spatial count-station influence. Vehicle-class values are assigned from functional-class shares.</x:v>
      </x:c>
      <x:c r="AF285" t="str">
        <x:v>Placed on exact national road host link</x:v>
      </x:c>
    </x:row>
    <x:row r="286" ht="15" hidden="0" customHeight="1">
      <x:c r="A286" t="str">
        <x:v>bridge-285</x:v>
      </x:c>
      <x:c r="B286" t="str">
        <x:v>B284</x:v>
      </x:c>
      <x:c r="C286" t="str">
        <x:v>ENGET BRIDGE</x:v>
      </x:c>
      <x:c r="D286" t="str">
        <x:v>C671_Link01</x:v>
      </x:c>
      <x:c r="E286" t="str">
        <x:v>Aloi - Aboko - Bata - Dokolo</x:v>
      </x:c>
      <x:c r="F286" t="str">
        <x:v>C</x:v>
      </x:c>
      <x:c r="G286" t="str">
        <x:v>Northern</x:v>
      </x:c>
      <x:c r="H286" t="str">
        <x:v>Lira</x:v>
      </x:c>
      <x:c r="I286" t="str">
        <x:v>ENGET RIVER</x:v>
      </x:c>
      <x:c r="J286" t="str">
        <x:v>Marginal</x:v>
      </x:c>
      <x:c r="K286" t="n">
        <x:v>33.197182</x:v>
      </x:c>
      <x:c r="L286" t="n">
        <x:v>2.00677</x:v>
      </x:c>
      <x:c r="M286" t="n">
        <x:v>33.205347</x:v>
      </x:c>
      <x:c r="N286" t="n">
        <x:v>2.185327</x:v>
      </x:c>
      <x:c r="O286" t="n">
        <x:v>488.79</x:v>
      </x:c>
      <x:c r="P286" t="n">
        <x:f>IFERROR(INDEX(Assumptions!$B$9:$B$13,MATCH(F286,Assumptions!$A$9:$A$13,0)),0.15)</x:f>
        <x:v>0.28</x:v>
      </x:c>
      <x:c r="Q286" t="n">
        <x:f>ROUND(O286*(1-P286),0)</x:f>
        <x:v>352</x:v>
      </x:c>
      <x:c r="R286" t="n">
        <x:f>ROUND(O286*P286,0)</x:f>
        <x:v>137</x:v>
      </x:c>
      <x:c r="S286" t="n">
        <x:f>ROUND(O286*IFERROR(INDEX(Assumptions!$C$9:$C$13,MATCH(F286,Assumptions!$A$9:$A$13,0)),0.55),0)</x:f>
        <x:v>244</x:v>
      </x:c>
      <x:c r="T286" t="n">
        <x:f>ROUND(O286*IFERROR(INDEX(Assumptions!$D$9:$D$13,MATCH(F286,Assumptions!$A$9:$A$13,0)),0.06),0)</x:f>
        <x:v>24</x:v>
      </x:c>
      <x:c r="U286" t="n">
        <x:f>ROUND(O286*IFERROR(INDEX(Assumptions!$E$9:$E$13,MATCH(F286,Assumptions!$A$9:$A$13,0)),0.15),0)</x:f>
        <x:v>54</x:v>
      </x:c>
      <x:c r="V286" t="n">
        <x:f>MAX(0,O286-SUM(R286:U286))</x:f>
        <x:v>29.79000000000002</x:v>
      </x:c>
      <x:c r="W286" t="n">
        <x:f>MIN(100,40+IF(O286&gt;0,20,0)+IF(M286&lt;&gt;"",20,0)+IF(AF286&lt;&gt;"",20,0))</x:f>
        <x:v>100</x:v>
      </x:c>
      <x:c r="X286" t="str">
        <x:v>Placed on exact national road host link</x:v>
      </x:c>
      <x:c r="Y286" t="str">
        <x:v>Unpaved</x:v>
      </x:c>
      <x:c r="Z286" t="str">
        <x:v>C</x:v>
      </x:c>
      <x:c r="AA286" t="str">
        <x:v>Not available in governed source</x:v>
      </x:c>
      <x:c r="AB286" t="str">
        <x:v>Not available in governed source</x:v>
      </x:c>
      <x:c r="AC286" t="str">
        <x:v>FY2025/26</x:v>
      </x:c>
      <x:c r="AD286" t="str">
        <x:v>Modelled</x:v>
      </x:c>
      <x:c r="AE286" t="str">
        <x:v>2026 bridge AADT rebuilt from host-link traffic history, annual collection-link history, same-road corridor history and spatial count-station influence. Vehicle-class values are assigned from functional-class shares.</x:v>
      </x:c>
      <x:c r="AF286" t="str">
        <x:v>Placed on exact national road host link</x:v>
      </x:c>
    </x:row>
    <x:row r="287" ht="15" hidden="0" customHeight="1">
      <x:c r="A287" t="str">
        <x:v>bridge-286</x:v>
      </x:c>
      <x:c r="B287" t="str">
        <x:v>B285</x:v>
      </x:c>
      <x:c r="C287" t="str">
        <x:v>APOC BRIDGE</x:v>
      </x:c>
      <x:c r="D287" t="str">
        <x:v>C672_Link01</x:v>
      </x:c>
      <x:c r="E287" t="str">
        <x:v>Ogur - Apala</x:v>
      </x:c>
      <x:c r="F287" t="str">
        <x:v>C</x:v>
      </x:c>
      <x:c r="G287" t="str">
        <x:v>Northern</x:v>
      </x:c>
      <x:c r="H287" t="str">
        <x:v>Lira</x:v>
      </x:c>
      <x:c r="I287" t="str">
        <x:v>APOC RIVER</x:v>
      </x:c>
      <x:c r="J287" t="str">
        <x:v>Marginal</x:v>
      </x:c>
      <x:c r="K287" t="n">
        <x:v>32.963539</x:v>
      </x:c>
      <x:c r="L287" t="n">
        <x:v>2.42722</x:v>
      </x:c>
      <x:c r="M287" t="n">
        <x:v>32.967883</x:v>
      </x:c>
      <x:c r="N287" t="n">
        <x:v>2.425754</x:v>
      </x:c>
      <x:c r="O287" t="n">
        <x:v>1969.51</x:v>
      </x:c>
      <x:c r="P287" t="n">
        <x:f>IFERROR(INDEX(Assumptions!$B$9:$B$13,MATCH(F287,Assumptions!$A$9:$A$13,0)),0.15)</x:f>
        <x:v>0.28</x:v>
      </x:c>
      <x:c r="Q287" t="n">
        <x:f>ROUND(O287*(1-P287),0)</x:f>
        <x:v>1418</x:v>
      </x:c>
      <x:c r="R287" t="n">
        <x:f>ROUND(O287*P287,0)</x:f>
        <x:v>551</x:v>
      </x:c>
      <x:c r="S287" t="n">
        <x:f>ROUND(O287*IFERROR(INDEX(Assumptions!$C$9:$C$13,MATCH(F287,Assumptions!$A$9:$A$13,0)),0.55),0)</x:f>
        <x:v>985</x:v>
      </x:c>
      <x:c r="T287" t="n">
        <x:f>ROUND(O287*IFERROR(INDEX(Assumptions!$D$9:$D$13,MATCH(F287,Assumptions!$A$9:$A$13,0)),0.06),0)</x:f>
        <x:v>98</x:v>
      </x:c>
      <x:c r="U287" t="n">
        <x:f>ROUND(O287*IFERROR(INDEX(Assumptions!$E$9:$E$13,MATCH(F287,Assumptions!$A$9:$A$13,0)),0.15),0)</x:f>
        <x:v>217</x:v>
      </x:c>
      <x:c r="V287" t="n">
        <x:f>MAX(0,O287-SUM(R287:U287))</x:f>
        <x:v>118.50999999999999</x:v>
      </x:c>
      <x:c r="W287" t="n">
        <x:f>MIN(100,40+IF(O287&gt;0,20,0)+IF(M287&lt;&gt;"",20,0)+IF(AF287&lt;&gt;"",20,0))</x:f>
        <x:v>100</x:v>
      </x:c>
      <x:c r="X287" t="str">
        <x:v>Placed on exact national road host link</x:v>
      </x:c>
      <x:c r="Y287" t="str">
        <x:v>Unpaved</x:v>
      </x:c>
      <x:c r="Z287" t="str">
        <x:v>C</x:v>
      </x:c>
      <x:c r="AA287" t="str">
        <x:v>Not available in governed source</x:v>
      </x:c>
      <x:c r="AB287" t="str">
        <x:v>Not available in governed source</x:v>
      </x:c>
      <x:c r="AC287" t="str">
        <x:v>FY2025/26</x:v>
      </x:c>
      <x:c r="AD287" t="str">
        <x:v>Modelled</x:v>
      </x:c>
      <x:c r="AE287" t="str">
        <x:v>2026 bridge AADT rebuilt from host-link traffic history, annual collection-link history, same-road corridor history and spatial count-station influence. Vehicle-class values are assigned from functional-class shares.</x:v>
      </x:c>
      <x:c r="AF287" t="str">
        <x:v>Placed on exact national road host link</x:v>
      </x:c>
    </x:row>
    <x:row r="288" ht="15" hidden="0" customHeight="1">
      <x:c r="A288" t="str">
        <x:v>bridge-287</x:v>
      </x:c>
      <x:c r="B288" t="str">
        <x:v>B286</x:v>
      </x:c>
      <x:c r="C288" t="str">
        <x:v>OBIM BRIDGE</x:v>
      </x:c>
      <x:c r="D288" t="str">
        <x:v>C672_Link01</x:v>
      </x:c>
      <x:c r="E288" t="str">
        <x:v>Ogur - Apala</x:v>
      </x:c>
      <x:c r="F288" t="str">
        <x:v>C</x:v>
      </x:c>
      <x:c r="G288" t="str">
        <x:v>Northern</x:v>
      </x:c>
      <x:c r="H288" t="str">
        <x:v>Lira</x:v>
      </x:c>
      <x:c r="I288" t="str">
        <x:v>OBIM RIVER</x:v>
      </x:c>
      <x:c r="J288" t="str">
        <x:v>Marginal</x:v>
      </x:c>
      <x:c r="K288" t="n">
        <x:v>33.000771</x:v>
      </x:c>
      <x:c r="L288" t="n">
        <x:v>2.41405</x:v>
      </x:c>
      <x:c r="M288" t="n">
        <x:v>33.000909</x:v>
      </x:c>
      <x:c r="N288" t="n">
        <x:v>2.413865</x:v>
      </x:c>
      <x:c r="O288" t="n">
        <x:v>1969.51</x:v>
      </x:c>
      <x:c r="P288" t="n">
        <x:f>IFERROR(INDEX(Assumptions!$B$9:$B$13,MATCH(F288,Assumptions!$A$9:$A$13,0)),0.15)</x:f>
        <x:v>0.28</x:v>
      </x:c>
      <x:c r="Q288" t="n">
        <x:f>ROUND(O288*(1-P288),0)</x:f>
        <x:v>1418</x:v>
      </x:c>
      <x:c r="R288" t="n">
        <x:f>ROUND(O288*P288,0)</x:f>
        <x:v>551</x:v>
      </x:c>
      <x:c r="S288" t="n">
        <x:f>ROUND(O288*IFERROR(INDEX(Assumptions!$C$9:$C$13,MATCH(F288,Assumptions!$A$9:$A$13,0)),0.55),0)</x:f>
        <x:v>985</x:v>
      </x:c>
      <x:c r="T288" t="n">
        <x:f>ROUND(O288*IFERROR(INDEX(Assumptions!$D$9:$D$13,MATCH(F288,Assumptions!$A$9:$A$13,0)),0.06),0)</x:f>
        <x:v>98</x:v>
      </x:c>
      <x:c r="U288" t="n">
        <x:f>ROUND(O288*IFERROR(INDEX(Assumptions!$E$9:$E$13,MATCH(F288,Assumptions!$A$9:$A$13,0)),0.15),0)</x:f>
        <x:v>217</x:v>
      </x:c>
      <x:c r="V288" t="n">
        <x:f>MAX(0,O288-SUM(R288:U288))</x:f>
        <x:v>118.50999999999999</x:v>
      </x:c>
      <x:c r="W288" t="n">
        <x:f>MIN(100,40+IF(O288&gt;0,20,0)+IF(M288&lt;&gt;"",20,0)+IF(AF288&lt;&gt;"",20,0))</x:f>
        <x:v>100</x:v>
      </x:c>
      <x:c r="X288" t="str">
        <x:v>Placed on exact national road host link</x:v>
      </x:c>
      <x:c r="Y288" t="str">
        <x:v>Unpaved</x:v>
      </x:c>
      <x:c r="Z288" t="str">
        <x:v>C</x:v>
      </x:c>
      <x:c r="AA288" t="str">
        <x:v>Not available in governed source</x:v>
      </x:c>
      <x:c r="AB288" t="str">
        <x:v>Not available in governed source</x:v>
      </x:c>
      <x:c r="AC288" t="str">
        <x:v>FY2025/26</x:v>
      </x:c>
      <x:c r="AD288" t="str">
        <x:v>Modelled</x:v>
      </x:c>
      <x:c r="AE288" t="str">
        <x:v>2026 bridge AADT rebuilt from host-link traffic history, annual collection-link history, same-road corridor history and spatial count-station influence. Vehicle-class values are assigned from functional-class shares.</x:v>
      </x:c>
      <x:c r="AF288" t="str">
        <x:v>Placed on exact national road host link</x:v>
      </x:c>
    </x:row>
    <x:row r="289" ht="15" hidden="0" customHeight="1">
      <x:c r="A289" t="str">
        <x:v>bridge-288</x:v>
      </x:c>
      <x:c r="B289" t="str">
        <x:v>B287</x:v>
      </x:c>
      <x:c r="C289" t="str">
        <x:v>APOCHI BRIDGE</x:v>
      </x:c>
      <x:c r="D289" t="str">
        <x:v>C672_Link02</x:v>
      </x:c>
      <x:c r="E289" t="str">
        <x:v>Apala-Aloi</x:v>
      </x:c>
      <x:c r="F289" t="str">
        <x:v>C</x:v>
      </x:c>
      <x:c r="G289" t="str">
        <x:v>Northern</x:v>
      </x:c>
      <x:c r="H289" t="str">
        <x:v>Lira</x:v>
      </x:c>
      <x:c r="I289" t="str">
        <x:v>APOCHI RIVER</x:v>
      </x:c>
      <x:c r="J289" t="str">
        <x:v>Marginal</x:v>
      </x:c>
      <x:c r="K289" t="n">
        <x:v>33.082989</x:v>
      </x:c>
      <x:c r="L289" t="n">
        <x:v>2.37308</x:v>
      </x:c>
      <x:c r="M289" t="n">
        <x:v>33.083534</x:v>
      </x:c>
      <x:c r="N289" t="n">
        <x:v>2.372578</x:v>
      </x:c>
      <x:c r="O289" t="n">
        <x:v>1969.51</x:v>
      </x:c>
      <x:c r="P289" t="n">
        <x:f>IFERROR(INDEX(Assumptions!$B$9:$B$13,MATCH(F289,Assumptions!$A$9:$A$13,0)),0.15)</x:f>
        <x:v>0.28</x:v>
      </x:c>
      <x:c r="Q289" t="n">
        <x:f>ROUND(O289*(1-P289),0)</x:f>
        <x:v>1418</x:v>
      </x:c>
      <x:c r="R289" t="n">
        <x:f>ROUND(O289*P289,0)</x:f>
        <x:v>551</x:v>
      </x:c>
      <x:c r="S289" t="n">
        <x:f>ROUND(O289*IFERROR(INDEX(Assumptions!$C$9:$C$13,MATCH(F289,Assumptions!$A$9:$A$13,0)),0.55),0)</x:f>
        <x:v>985</x:v>
      </x:c>
      <x:c r="T289" t="n">
        <x:f>ROUND(O289*IFERROR(INDEX(Assumptions!$D$9:$D$13,MATCH(F289,Assumptions!$A$9:$A$13,0)),0.06),0)</x:f>
        <x:v>98</x:v>
      </x:c>
      <x:c r="U289" t="n">
        <x:f>ROUND(O289*IFERROR(INDEX(Assumptions!$E$9:$E$13,MATCH(F289,Assumptions!$A$9:$A$13,0)),0.15),0)</x:f>
        <x:v>217</x:v>
      </x:c>
      <x:c r="V289" t="n">
        <x:f>MAX(0,O289-SUM(R289:U289))</x:f>
        <x:v>118.50999999999999</x:v>
      </x:c>
      <x:c r="W289" t="n">
        <x:f>MIN(100,40+IF(O289&gt;0,20,0)+IF(M289&lt;&gt;"",20,0)+IF(AF289&lt;&gt;"",20,0))</x:f>
        <x:v>100</x:v>
      </x:c>
      <x:c r="X289" t="str">
        <x:v>Placed on exact national road host link</x:v>
      </x:c>
      <x:c r="Y289" t="str">
        <x:v>Unpaved</x:v>
      </x:c>
      <x:c r="Z289" t="str">
        <x:v>C</x:v>
      </x:c>
      <x:c r="AA289" t="str">
        <x:v>Not available in governed source</x:v>
      </x:c>
      <x:c r="AB289" t="str">
        <x:v>Not available in governed source</x:v>
      </x:c>
      <x:c r="AC289" t="str">
        <x:v>FY2025/26</x:v>
      </x:c>
      <x:c r="AD289" t="str">
        <x:v>Modelled</x:v>
      </x:c>
      <x:c r="AE289" t="str">
        <x:v>2026 bridge AADT rebuilt from host-link traffic history, annual collection-link history, same-road corridor history and spatial count-station influence. Vehicle-class values are assigned from functional-class shares.</x:v>
      </x:c>
      <x:c r="AF289" t="str">
        <x:v>Placed on exact national road host link</x:v>
      </x:c>
    </x:row>
    <x:row r="290" ht="15" hidden="0" customHeight="1">
      <x:c r="A290" t="str">
        <x:v>bridge-289</x:v>
      </x:c>
      <x:c r="B290" t="str">
        <x:v>B288</x:v>
      </x:c>
      <x:c r="C290" t="str">
        <x:v>BUAPORO BRIDGE</x:v>
      </x:c>
      <x:c r="D290" t="str">
        <x:v>C672_Link02</x:v>
      </x:c>
      <x:c r="E290" t="str">
        <x:v>Apala-Aloi</x:v>
      </x:c>
      <x:c r="F290" t="str">
        <x:v>C</x:v>
      </x:c>
      <x:c r="G290" t="str">
        <x:v>Northern</x:v>
      </x:c>
      <x:c r="H290" t="str">
        <x:v>Lira</x:v>
      </x:c>
      <x:c r="I290" t="str">
        <x:v>ECONGO</x:v>
      </x:c>
      <x:c r="J290" t="str">
        <x:v>Marginal</x:v>
      </x:c>
      <x:c r="K290" t="n">
        <x:v>33.163639</x:v>
      </x:c>
      <x:c r="L290" t="n">
        <x:v>2.289351</x:v>
      </x:c>
      <x:c r="M290" t="n">
        <x:v>33.164646</x:v>
      </x:c>
      <x:c r="N290" t="n">
        <x:v>2.288995</x:v>
      </x:c>
      <x:c r="O290" t="n">
        <x:v>1969.51</x:v>
      </x:c>
      <x:c r="P290" t="n">
        <x:f>IFERROR(INDEX(Assumptions!$B$9:$B$13,MATCH(F290,Assumptions!$A$9:$A$13,0)),0.15)</x:f>
        <x:v>0.28</x:v>
      </x:c>
      <x:c r="Q290" t="n">
        <x:f>ROUND(O290*(1-P290),0)</x:f>
        <x:v>1418</x:v>
      </x:c>
      <x:c r="R290" t="n">
        <x:f>ROUND(O290*P290,0)</x:f>
        <x:v>551</x:v>
      </x:c>
      <x:c r="S290" t="n">
        <x:f>ROUND(O290*IFERROR(INDEX(Assumptions!$C$9:$C$13,MATCH(F290,Assumptions!$A$9:$A$13,0)),0.55),0)</x:f>
        <x:v>985</x:v>
      </x:c>
      <x:c r="T290" t="n">
        <x:f>ROUND(O290*IFERROR(INDEX(Assumptions!$D$9:$D$13,MATCH(F290,Assumptions!$A$9:$A$13,0)),0.06),0)</x:f>
        <x:v>98</x:v>
      </x:c>
      <x:c r="U290" t="n">
        <x:f>ROUND(O290*IFERROR(INDEX(Assumptions!$E$9:$E$13,MATCH(F290,Assumptions!$A$9:$A$13,0)),0.15),0)</x:f>
        <x:v>217</x:v>
      </x:c>
      <x:c r="V290" t="n">
        <x:f>MAX(0,O290-SUM(R290:U290))</x:f>
        <x:v>118.50999999999999</x:v>
      </x:c>
      <x:c r="W290" t="n">
        <x:f>MIN(100,40+IF(O290&gt;0,20,0)+IF(M290&lt;&gt;"",20,0)+IF(AF290&lt;&gt;"",20,0))</x:f>
        <x:v>100</x:v>
      </x:c>
      <x:c r="X290" t="str">
        <x:v>Placed on exact national road host link</x:v>
      </x:c>
      <x:c r="Y290" t="str">
        <x:v>Unpaved</x:v>
      </x:c>
      <x:c r="Z290" t="str">
        <x:v>C</x:v>
      </x:c>
      <x:c r="AA290" t="str">
        <x:v>Not available in governed source</x:v>
      </x:c>
      <x:c r="AB290" t="str">
        <x:v>Not available in governed source</x:v>
      </x:c>
      <x:c r="AC290" t="str">
        <x:v>FY2025/26</x:v>
      </x:c>
      <x:c r="AD290" t="str">
        <x:v>Modelled</x:v>
      </x:c>
      <x:c r="AE290" t="str">
        <x:v>2026 bridge AADT rebuilt from host-link traffic history, annual collection-link history, same-road corridor history and spatial count-station influence. Vehicle-class values are assigned from functional-class shares.</x:v>
      </x:c>
      <x:c r="AF290" t="str">
        <x:v>Placed on exact national road host link</x:v>
      </x:c>
    </x:row>
    <x:row r="291" ht="15" hidden="0" customHeight="1">
      <x:c r="A291" t="str">
        <x:v>bridge-290</x:v>
      </x:c>
      <x:c r="B291" t="str">
        <x:v>B289</x:v>
      </x:c>
      <x:c r="C291" t="str">
        <x:v>APOC</x:v>
      </x:c>
      <x:c r="D291" t="str">
        <x:v>C673_Link02</x:v>
      </x:c>
      <x:c r="E291" t="str">
        <x:v>Apala-Adwari</x:v>
      </x:c>
      <x:c r="F291" t="str">
        <x:v>C</x:v>
      </x:c>
      <x:c r="G291" t="str">
        <x:v>Northern</x:v>
      </x:c>
      <x:c r="H291" t="str">
        <x:v>Lira</x:v>
      </x:c>
      <x:c r="I291" t="str">
        <x:v>APOC</x:v>
      </x:c>
      <x:c r="J291" t="str">
        <x:v>Satisfactory</x:v>
      </x:c>
      <x:c r="K291" t="n">
        <x:v>33.08387</x:v>
      </x:c>
      <x:c r="L291" t="n">
        <x:v>2.428214</x:v>
      </x:c>
      <x:c r="M291" t="n">
        <x:v>33.083956</x:v>
      </x:c>
      <x:c r="N291" t="n">
        <x:v>2.427898</x:v>
      </x:c>
      <x:c r="O291" t="n">
        <x:v>2035.24</x:v>
      </x:c>
      <x:c r="P291" t="n">
        <x:f>IFERROR(INDEX(Assumptions!$B$9:$B$13,MATCH(F291,Assumptions!$A$9:$A$13,0)),0.15)</x:f>
        <x:v>0.28</x:v>
      </x:c>
      <x:c r="Q291" t="n">
        <x:f>ROUND(O291*(1-P291),0)</x:f>
        <x:v>1465</x:v>
      </x:c>
      <x:c r="R291" t="n">
        <x:f>ROUND(O291*P291,0)</x:f>
        <x:v>570</x:v>
      </x:c>
      <x:c r="S291" t="n">
        <x:f>ROUND(O291*IFERROR(INDEX(Assumptions!$C$9:$C$13,MATCH(F291,Assumptions!$A$9:$A$13,0)),0.55),0)</x:f>
        <x:v>1018</x:v>
      </x:c>
      <x:c r="T291" t="n">
        <x:f>ROUND(O291*IFERROR(INDEX(Assumptions!$D$9:$D$13,MATCH(F291,Assumptions!$A$9:$A$13,0)),0.06),0)</x:f>
        <x:v>102</x:v>
      </x:c>
      <x:c r="U291" t="n">
        <x:f>ROUND(O291*IFERROR(INDEX(Assumptions!$E$9:$E$13,MATCH(F291,Assumptions!$A$9:$A$13,0)),0.15),0)</x:f>
        <x:v>224</x:v>
      </x:c>
      <x:c r="V291" t="n">
        <x:f>MAX(0,O291-SUM(R291:U291))</x:f>
        <x:v>121.24000000000001</x:v>
      </x:c>
      <x:c r="W291" t="n">
        <x:f>MIN(100,40+IF(O291&gt;0,20,0)+IF(M291&lt;&gt;"",20,0)+IF(AF291&lt;&gt;"",20,0))</x:f>
        <x:v>100</x:v>
      </x:c>
      <x:c r="X291" t="str">
        <x:v>Placed on exact national road host link</x:v>
      </x:c>
      <x:c r="Y291" t="str">
        <x:v>Unpaved</x:v>
      </x:c>
      <x:c r="Z291" t="str">
        <x:v>C</x:v>
      </x:c>
      <x:c r="AA291" t="str">
        <x:v>Not available in governed source</x:v>
      </x:c>
      <x:c r="AB291" t="str">
        <x:v>Not available in governed source</x:v>
      </x:c>
      <x:c r="AC291" t="str">
        <x:v>FY2025/26</x:v>
      </x:c>
      <x:c r="AD291" t="str">
        <x:v>Modelled</x:v>
      </x:c>
      <x:c r="AE291" t="str">
        <x:v>2026 bridge AADT rebuilt from host-link traffic history, annual collection-link history, same-road corridor history and spatial count-station influence. Vehicle-class values are assigned from functional-class shares.</x:v>
      </x:c>
      <x:c r="AF291" t="str">
        <x:v>Placed on exact national road host link</x:v>
      </x:c>
    </x:row>
    <x:row r="292" ht="15" hidden="0" customHeight="1">
      <x:c r="A292" t="str">
        <x:v>bridge-291</x:v>
      </x:c>
      <x:c r="B292" t="str">
        <x:v>B290</x:v>
      </x:c>
      <x:c r="C292" t="str">
        <x:v>AKWERA BRIDGE</x:v>
      </x:c>
      <x:c r="D292" t="str">
        <x:v>C673_Link02</x:v>
      </x:c>
      <x:c r="E292" t="str">
        <x:v>Apala-Adwari</x:v>
      </x:c>
      <x:c r="F292" t="str">
        <x:v>C</x:v>
      </x:c>
      <x:c r="G292" t="str">
        <x:v>Northern</x:v>
      </x:c>
      <x:c r="H292" t="str">
        <x:v>Lira</x:v>
      </x:c>
      <x:c r="I292" t="str">
        <x:v>AKWERA RIVER</x:v>
      </x:c>
      <x:c r="J292" t="str">
        <x:v>Marginal</x:v>
      </x:c>
      <x:c r="K292" t="n">
        <x:v>33.156769</x:v>
      </x:c>
      <x:c r="L292" t="n">
        <x:v>2.458497</x:v>
      </x:c>
      <x:c r="M292" t="n">
        <x:v>33.247477</x:v>
      </x:c>
      <x:c r="N292" t="n">
        <x:v>2.437048</x:v>
      </x:c>
      <x:c r="O292" t="n">
        <x:v>2035.24</x:v>
      </x:c>
      <x:c r="P292" t="n">
        <x:f>IFERROR(INDEX(Assumptions!$B$9:$B$13,MATCH(F292,Assumptions!$A$9:$A$13,0)),0.15)</x:f>
        <x:v>0.28</x:v>
      </x:c>
      <x:c r="Q292" t="n">
        <x:f>ROUND(O292*(1-P292),0)</x:f>
        <x:v>1465</x:v>
      </x:c>
      <x:c r="R292" t="n">
        <x:f>ROUND(O292*P292,0)</x:f>
        <x:v>570</x:v>
      </x:c>
      <x:c r="S292" t="n">
        <x:f>ROUND(O292*IFERROR(INDEX(Assumptions!$C$9:$C$13,MATCH(F292,Assumptions!$A$9:$A$13,0)),0.55),0)</x:f>
        <x:v>1018</x:v>
      </x:c>
      <x:c r="T292" t="n">
        <x:f>ROUND(O292*IFERROR(INDEX(Assumptions!$D$9:$D$13,MATCH(F292,Assumptions!$A$9:$A$13,0)),0.06),0)</x:f>
        <x:v>102</x:v>
      </x:c>
      <x:c r="U292" t="n">
        <x:f>ROUND(O292*IFERROR(INDEX(Assumptions!$E$9:$E$13,MATCH(F292,Assumptions!$A$9:$A$13,0)),0.15),0)</x:f>
        <x:v>224</x:v>
      </x:c>
      <x:c r="V292" t="n">
        <x:f>MAX(0,O292-SUM(R292:U292))</x:f>
        <x:v>121.24000000000001</x:v>
      </x:c>
      <x:c r="W292" t="n">
        <x:f>MIN(100,40+IF(O292&gt;0,20,0)+IF(M292&lt;&gt;"",20,0)+IF(AF292&lt;&gt;"",20,0))</x:f>
        <x:v>100</x:v>
      </x:c>
      <x:c r="X292" t="str">
        <x:v>Placed on exact national road host link</x:v>
      </x:c>
      <x:c r="Y292" t="str">
        <x:v>Unpaved</x:v>
      </x:c>
      <x:c r="Z292" t="str">
        <x:v>C</x:v>
      </x:c>
      <x:c r="AA292" t="str">
        <x:v>Not available in governed source</x:v>
      </x:c>
      <x:c r="AB292" t="str">
        <x:v>Not available in governed source</x:v>
      </x:c>
      <x:c r="AC292" t="str">
        <x:v>FY2025/26</x:v>
      </x:c>
      <x:c r="AD292" t="str">
        <x:v>Modelled</x:v>
      </x:c>
      <x:c r="AE292" t="str">
        <x:v>2026 bridge AADT rebuilt from host-link traffic history, annual collection-link history, same-road corridor history and spatial count-station influence. Vehicle-class values are assigned from functional-class shares.</x:v>
      </x:c>
      <x:c r="AF292" t="str">
        <x:v>Placed on exact national road host link</x:v>
      </x:c>
    </x:row>
    <x:row r="293" ht="15" hidden="0" customHeight="1">
      <x:c r="A293" t="str">
        <x:v>bridge-292</x:v>
      </x:c>
      <x:c r="B293" t="str">
        <x:v>B291</x:v>
      </x:c>
      <x:c r="C293" t="str">
        <x:v>OKEE BRIDGE</x:v>
      </x:c>
      <x:c r="D293" t="str">
        <x:v>C994_Link01</x:v>
      </x:c>
      <x:c r="E293" t="str">
        <x:v>Okwang-Okwang Subcounty spur</x:v>
      </x:c>
      <x:c r="F293" t="str">
        <x:v>C</x:v>
      </x:c>
      <x:c r="G293" t="str">
        <x:v>Northern</x:v>
      </x:c>
      <x:c r="H293" t="str">
        <x:v>Lira</x:v>
      </x:c>
      <x:c r="I293" t="str">
        <x:v>OKEE RIVER</x:v>
      </x:c>
      <x:c r="J293" t="str">
        <x:v>Poor</x:v>
      </x:c>
      <x:c r="K293" t="n">
        <x:v>33.158001</x:v>
      </x:c>
      <x:c r="L293" t="n">
        <x:v>2.58299</x:v>
      </x:c>
      <x:c r="M293" t="n">
        <x:v>33.158093</x:v>
      </x:c>
      <x:c r="N293" t="n">
        <x:v>2.582657</x:v>
      </x:c>
      <x:c r="O293" t="n">
        <x:v>1969.51</x:v>
      </x:c>
      <x:c r="P293" t="n">
        <x:f>IFERROR(INDEX(Assumptions!$B$9:$B$13,MATCH(F293,Assumptions!$A$9:$A$13,0)),0.15)</x:f>
        <x:v>0.28</x:v>
      </x:c>
      <x:c r="Q293" t="n">
        <x:f>ROUND(O293*(1-P293),0)</x:f>
        <x:v>1418</x:v>
      </x:c>
      <x:c r="R293" t="n">
        <x:f>ROUND(O293*P293,0)</x:f>
        <x:v>551</x:v>
      </x:c>
      <x:c r="S293" t="n">
        <x:f>ROUND(O293*IFERROR(INDEX(Assumptions!$C$9:$C$13,MATCH(F293,Assumptions!$A$9:$A$13,0)),0.55),0)</x:f>
        <x:v>985</x:v>
      </x:c>
      <x:c r="T293" t="n">
        <x:f>ROUND(O293*IFERROR(INDEX(Assumptions!$D$9:$D$13,MATCH(F293,Assumptions!$A$9:$A$13,0)),0.06),0)</x:f>
        <x:v>98</x:v>
      </x:c>
      <x:c r="U293" t="n">
        <x:f>ROUND(O293*IFERROR(INDEX(Assumptions!$E$9:$E$13,MATCH(F293,Assumptions!$A$9:$A$13,0)),0.15),0)</x:f>
        <x:v>217</x:v>
      </x:c>
      <x:c r="V293" t="n">
        <x:f>MAX(0,O293-SUM(R293:U293))</x:f>
        <x:v>118.50999999999999</x:v>
      </x:c>
      <x:c r="W293" t="n">
        <x:f>MIN(100,40+IF(O293&gt;0,20,0)+IF(M293&lt;&gt;"",20,0)+IF(AF293&lt;&gt;"",20,0))</x:f>
        <x:v>100</x:v>
      </x:c>
      <x:c r="X293" t="str">
        <x:v>Placed on exact national road host link</x:v>
      </x:c>
      <x:c r="Y293" t="str">
        <x:v>Unpaved</x:v>
      </x:c>
      <x:c r="Z293" t="str">
        <x:v>C</x:v>
      </x:c>
      <x:c r="AA293" t="str">
        <x:v>Not available in governed source</x:v>
      </x:c>
      <x:c r="AB293" t="str">
        <x:v>Not available in governed source</x:v>
      </x:c>
      <x:c r="AC293" t="str">
        <x:v>FY2025/26</x:v>
      </x:c>
      <x:c r="AD293" t="str">
        <x:v>Modelled</x:v>
      </x:c>
      <x:c r="AE293" t="str">
        <x:v>2026 bridge AADT rebuilt from host-link traffic history, annual collection-link history, same-road corridor history and spatial count-station influence. Vehicle-class values are assigned from functional-class shares.</x:v>
      </x:c>
      <x:c r="AF293" t="str">
        <x:v>Placed on exact national road host link</x:v>
      </x:c>
    </x:row>
    <x:row r="294" ht="15" hidden="0" customHeight="1">
      <x:c r="A294" t="str">
        <x:v>bridge-293</x:v>
      </x:c>
      <x:c r="B294" t="str">
        <x:v>B292</x:v>
      </x:c>
      <x:c r="C294" t="str">
        <x:v>AGAGO BRIDGE</x:v>
      </x:c>
      <x:c r="D294" t="str">
        <x:v>C675_Link01</x:v>
      </x:c>
      <x:c r="E294" t="str">
        <x:v>Pajule - Pader</x:v>
      </x:c>
      <x:c r="F294" t="str">
        <x:v>C</x:v>
      </x:c>
      <x:c r="G294" t="str">
        <x:v>Northern</x:v>
      </x:c>
      <x:c r="H294" t="str">
        <x:v>Kitgum</x:v>
      </x:c>
      <x:c r="I294" t="str">
        <x:v>AGAGO RIVER</x:v>
      </x:c>
      <x:c r="J294" t="str">
        <x:v>Marginal</x:v>
      </x:c>
      <x:c r="K294" t="n">
        <x:v>33.100666</x:v>
      </x:c>
      <x:c r="L294" t="n">
        <x:v>2.849526</x:v>
      </x:c>
      <x:c r="M294" t="n">
        <x:v>32.969473</x:v>
      </x:c>
      <x:c r="N294" t="n">
        <x:v>2.939369</x:v>
      </x:c>
      <x:c r="O294" t="n">
        <x:v>1358.82</x:v>
      </x:c>
      <x:c r="P294" t="n">
        <x:f>IFERROR(INDEX(Assumptions!$B$9:$B$13,MATCH(F294,Assumptions!$A$9:$A$13,0)),0.15)</x:f>
        <x:v>0.28</x:v>
      </x:c>
      <x:c r="Q294" t="n">
        <x:f>ROUND(O294*(1-P294),0)</x:f>
        <x:v>978</x:v>
      </x:c>
      <x:c r="R294" t="n">
        <x:f>ROUND(O294*P294,0)</x:f>
        <x:v>380</x:v>
      </x:c>
      <x:c r="S294" t="n">
        <x:f>ROUND(O294*IFERROR(INDEX(Assumptions!$C$9:$C$13,MATCH(F294,Assumptions!$A$9:$A$13,0)),0.55),0)</x:f>
        <x:v>679</x:v>
      </x:c>
      <x:c r="T294" t="n">
        <x:f>ROUND(O294*IFERROR(INDEX(Assumptions!$D$9:$D$13,MATCH(F294,Assumptions!$A$9:$A$13,0)),0.06),0)</x:f>
        <x:v>68</x:v>
      </x:c>
      <x:c r="U294" t="n">
        <x:f>ROUND(O294*IFERROR(INDEX(Assumptions!$E$9:$E$13,MATCH(F294,Assumptions!$A$9:$A$13,0)),0.15),0)</x:f>
        <x:v>149</x:v>
      </x:c>
      <x:c r="V294" t="n">
        <x:f>MAX(0,O294-SUM(R294:U294))</x:f>
        <x:v>82.81999999999994</x:v>
      </x:c>
      <x:c r="W294" t="n">
        <x:f>MIN(100,40+IF(O294&gt;0,20,0)+IF(M294&lt;&gt;"",20,0)+IF(AF294&lt;&gt;"",20,0))</x:f>
        <x:v>100</x:v>
      </x:c>
      <x:c r="X294" t="str">
        <x:v>Placed on exact national road host link</x:v>
      </x:c>
      <x:c r="Y294" t="str">
        <x:v>Unpaved</x:v>
      </x:c>
      <x:c r="Z294" t="str">
        <x:v>C</x:v>
      </x:c>
      <x:c r="AA294" t="str">
        <x:v>Not available in governed source</x:v>
      </x:c>
      <x:c r="AB294" t="str">
        <x:v>Not available in governed source</x:v>
      </x:c>
      <x:c r="AC294" t="str">
        <x:v>FY2025/26</x:v>
      </x:c>
      <x:c r="AD294" t="str">
        <x:v>Modelled</x:v>
      </x:c>
      <x:c r="AE294" t="str">
        <x:v>2026 bridge AADT rebuilt from host-link traffic history, annual collection-link history, same-road corridor history and spatial count-station influence. Vehicle-class values are assigned from functional-class shares.</x:v>
      </x:c>
      <x:c r="AF294" t="str">
        <x:v>Placed on exact national road host link</x:v>
      </x:c>
    </x:row>
    <x:row r="295" ht="15" hidden="0" customHeight="1">
      <x:c r="A295" t="str">
        <x:v>bridge-294</x:v>
      </x:c>
      <x:c r="B295" t="str">
        <x:v>B293</x:v>
      </x:c>
      <x:c r="C295" t="str">
        <x:v>AGAGO BRIDGE</x:v>
      </x:c>
      <x:c r="D295" t="str">
        <x:v>C677_Link01</x:v>
      </x:c>
      <x:c r="E295" t="str">
        <x:v>Patongo - Kalongo</x:v>
      </x:c>
      <x:c r="F295" t="str">
        <x:v>C</x:v>
      </x:c>
      <x:c r="G295" t="str">
        <x:v>Northern</x:v>
      </x:c>
      <x:c r="H295" t="str">
        <x:v>Kitgum</x:v>
      </x:c>
      <x:c r="I295" t="str">
        <x:v>AGAGO RIVER</x:v>
      </x:c>
      <x:c r="J295" t="str">
        <x:v>Poor</x:v>
      </x:c>
      <x:c r="K295" t="n">
        <x:v>33.309769</x:v>
      </x:c>
      <x:c r="L295" t="n">
        <x:v>2.77968</x:v>
      </x:c>
      <x:c r="M295" t="n">
        <x:v>33.309738</x:v>
      </x:c>
      <x:c r="N295" t="n">
        <x:v>2.779671</x:v>
      </x:c>
      <x:c r="O295" t="n">
        <x:v>726.62</x:v>
      </x:c>
      <x:c r="P295" t="n">
        <x:f>IFERROR(INDEX(Assumptions!$B$9:$B$13,MATCH(F295,Assumptions!$A$9:$A$13,0)),0.15)</x:f>
        <x:v>0.28</x:v>
      </x:c>
      <x:c r="Q295" t="n">
        <x:f>ROUND(O295*(1-P295),0)</x:f>
        <x:v>523</x:v>
      </x:c>
      <x:c r="R295" t="n">
        <x:f>ROUND(O295*P295,0)</x:f>
        <x:v>203</x:v>
      </x:c>
      <x:c r="S295" t="n">
        <x:f>ROUND(O295*IFERROR(INDEX(Assumptions!$C$9:$C$13,MATCH(F295,Assumptions!$A$9:$A$13,0)),0.55),0)</x:f>
        <x:v>363</x:v>
      </x:c>
      <x:c r="T295" t="n">
        <x:f>ROUND(O295*IFERROR(INDEX(Assumptions!$D$9:$D$13,MATCH(F295,Assumptions!$A$9:$A$13,0)),0.06),0)</x:f>
        <x:v>36</x:v>
      </x:c>
      <x:c r="U295" t="n">
        <x:f>ROUND(O295*IFERROR(INDEX(Assumptions!$E$9:$E$13,MATCH(F295,Assumptions!$A$9:$A$13,0)),0.15),0)</x:f>
        <x:v>80</x:v>
      </x:c>
      <x:c r="V295" t="n">
        <x:f>MAX(0,O295-SUM(R295:U295))</x:f>
        <x:v>44.620000000000005</x:v>
      </x:c>
      <x:c r="W295" t="n">
        <x:f>MIN(100,40+IF(O295&gt;0,20,0)+IF(M295&lt;&gt;"",20,0)+IF(AF295&lt;&gt;"",20,0))</x:f>
        <x:v>100</x:v>
      </x:c>
      <x:c r="X295" t="str">
        <x:v>Placed on exact national road host link</x:v>
      </x:c>
      <x:c r="Y295" t="str">
        <x:v>Unpaved</x:v>
      </x:c>
      <x:c r="Z295" t="str">
        <x:v>C</x:v>
      </x:c>
      <x:c r="AA295" t="str">
        <x:v>Not available in governed source</x:v>
      </x:c>
      <x:c r="AB295" t="str">
        <x:v>Not available in governed source</x:v>
      </x:c>
      <x:c r="AC295" t="str">
        <x:v>FY2025/26</x:v>
      </x:c>
      <x:c r="AD295" t="str">
        <x:v>Modelled</x:v>
      </x:c>
      <x:c r="AE295" t="str">
        <x:v>2026 bridge AADT rebuilt from host-link traffic history, annual collection-link history, same-road corridor history and spatial count-station influence. Vehicle-class values are assigned from functional-class shares.</x:v>
      </x:c>
      <x:c r="AF295" t="str">
        <x:v>Placed on exact national road host link</x:v>
      </x:c>
    </x:row>
    <x:row r="296" ht="15" hidden="0" customHeight="1">
      <x:c r="A296" t="str">
        <x:v>bridge-295</x:v>
      </x:c>
      <x:c r="B296" t="str">
        <x:v>B294</x:v>
      </x:c>
      <x:c r="C296" t="str">
        <x:v>AGAGO BRIDGE</x:v>
      </x:c>
      <x:c r="D296" t="str">
        <x:v>C677_Link01</x:v>
      </x:c>
      <x:c r="E296" t="str">
        <x:v>Patongo - Kalongo</x:v>
      </x:c>
      <x:c r="F296" t="str">
        <x:v>C</x:v>
      </x:c>
      <x:c r="G296" t="str">
        <x:v>Northern</x:v>
      </x:c>
      <x:c r="H296" t="str">
        <x:v>Kitgum</x:v>
      </x:c>
      <x:c r="I296" t="str">
        <x:v>AGAGO RIVER</x:v>
      </x:c>
      <x:c r="J296" t="str">
        <x:v>Poor</x:v>
      </x:c>
      <x:c r="K296" t="n">
        <x:v>33.30986</x:v>
      </x:c>
      <x:c r="L296" t="n">
        <x:v>2.77988</x:v>
      </x:c>
      <x:c r="M296" t="n">
        <x:v>33.309868</x:v>
      </x:c>
      <x:c r="N296" t="n">
        <x:v>2.779854</x:v>
      </x:c>
      <x:c r="O296" t="n">
        <x:v>726.62</x:v>
      </x:c>
      <x:c r="P296" t="n">
        <x:f>IFERROR(INDEX(Assumptions!$B$9:$B$13,MATCH(F296,Assumptions!$A$9:$A$13,0)),0.15)</x:f>
        <x:v>0.28</x:v>
      </x:c>
      <x:c r="Q296" t="n">
        <x:f>ROUND(O296*(1-P296),0)</x:f>
        <x:v>523</x:v>
      </x:c>
      <x:c r="R296" t="n">
        <x:f>ROUND(O296*P296,0)</x:f>
        <x:v>203</x:v>
      </x:c>
      <x:c r="S296" t="n">
        <x:f>ROUND(O296*IFERROR(INDEX(Assumptions!$C$9:$C$13,MATCH(F296,Assumptions!$A$9:$A$13,0)),0.55),0)</x:f>
        <x:v>363</x:v>
      </x:c>
      <x:c r="T296" t="n">
        <x:f>ROUND(O296*IFERROR(INDEX(Assumptions!$D$9:$D$13,MATCH(F296,Assumptions!$A$9:$A$13,0)),0.06),0)</x:f>
        <x:v>36</x:v>
      </x:c>
      <x:c r="U296" t="n">
        <x:f>ROUND(O296*IFERROR(INDEX(Assumptions!$E$9:$E$13,MATCH(F296,Assumptions!$A$9:$A$13,0)),0.15),0)</x:f>
        <x:v>80</x:v>
      </x:c>
      <x:c r="V296" t="n">
        <x:f>MAX(0,O296-SUM(R296:U296))</x:f>
        <x:v>44.620000000000005</x:v>
      </x:c>
      <x:c r="W296" t="n">
        <x:f>MIN(100,40+IF(O296&gt;0,20,0)+IF(M296&lt;&gt;"",20,0)+IF(AF296&lt;&gt;"",20,0))</x:f>
        <x:v>100</x:v>
      </x:c>
      <x:c r="X296" t="str">
        <x:v>Placed on exact national road host link</x:v>
      </x:c>
      <x:c r="Y296" t="str">
        <x:v>Unpaved</x:v>
      </x:c>
      <x:c r="Z296" t="str">
        <x:v>C</x:v>
      </x:c>
      <x:c r="AA296" t="str">
        <x:v>Not available in governed source</x:v>
      </x:c>
      <x:c r="AB296" t="str">
        <x:v>Not available in governed source</x:v>
      </x:c>
      <x:c r="AC296" t="str">
        <x:v>FY2025/26</x:v>
      </x:c>
      <x:c r="AD296" t="str">
        <x:v>Modelled</x:v>
      </x:c>
      <x:c r="AE296" t="str">
        <x:v>2026 bridge AADT rebuilt from host-link traffic history, annual collection-link history, same-road corridor history and spatial count-station influence. Vehicle-class values are assigned from functional-class shares.</x:v>
      </x:c>
      <x:c r="AF296" t="str">
        <x:v>Placed on exact national road host link</x:v>
      </x:c>
    </x:row>
    <x:row r="297" ht="15" hidden="0" customHeight="1">
      <x:c r="A297" t="str">
        <x:v>bridge-296</x:v>
      </x:c>
      <x:c r="B297" t="str">
        <x:v>B295</x:v>
      </x:c>
      <x:c r="C297" t="str">
        <x:v>AGAGO BRIDGE</x:v>
      </x:c>
      <x:c r="D297" t="str">
        <x:v>C677_Link01</x:v>
      </x:c>
      <x:c r="E297" t="str">
        <x:v>Patongo - Kalongo</x:v>
      </x:c>
      <x:c r="F297" t="str">
        <x:v>C</x:v>
      </x:c>
      <x:c r="G297" t="str">
        <x:v>Northern</x:v>
      </x:c>
      <x:c r="H297" t="str">
        <x:v>Kitgum</x:v>
      </x:c>
      <x:c r="I297" t="str">
        <x:v>AGAGO RIVER</x:v>
      </x:c>
      <x:c r="J297" t="str">
        <x:v>Marginal</x:v>
      </x:c>
      <x:c r="K297" t="n">
        <x:v>33.309921</x:v>
      </x:c>
      <x:c r="L297" t="n">
        <x:v>2.78014</x:v>
      </x:c>
      <x:c r="M297" t="n">
        <x:v>33.312032</x:v>
      </x:c>
      <x:c r="N297" t="n">
        <x:v>2.782905</x:v>
      </x:c>
      <x:c r="O297" t="n">
        <x:v>726.62</x:v>
      </x:c>
      <x:c r="P297" t="n">
        <x:f>IFERROR(INDEX(Assumptions!$B$9:$B$13,MATCH(F297,Assumptions!$A$9:$A$13,0)),0.15)</x:f>
        <x:v>0.28</x:v>
      </x:c>
      <x:c r="Q297" t="n">
        <x:f>ROUND(O297*(1-P297),0)</x:f>
        <x:v>523</x:v>
      </x:c>
      <x:c r="R297" t="n">
        <x:f>ROUND(O297*P297,0)</x:f>
        <x:v>203</x:v>
      </x:c>
      <x:c r="S297" t="n">
        <x:f>ROUND(O297*IFERROR(INDEX(Assumptions!$C$9:$C$13,MATCH(F297,Assumptions!$A$9:$A$13,0)),0.55),0)</x:f>
        <x:v>363</x:v>
      </x:c>
      <x:c r="T297" t="n">
        <x:f>ROUND(O297*IFERROR(INDEX(Assumptions!$D$9:$D$13,MATCH(F297,Assumptions!$A$9:$A$13,0)),0.06),0)</x:f>
        <x:v>36</x:v>
      </x:c>
      <x:c r="U297" t="n">
        <x:f>ROUND(O297*IFERROR(INDEX(Assumptions!$E$9:$E$13,MATCH(F297,Assumptions!$A$9:$A$13,0)),0.15),0)</x:f>
        <x:v>80</x:v>
      </x:c>
      <x:c r="V297" t="n">
        <x:f>MAX(0,O297-SUM(R297:U297))</x:f>
        <x:v>44.620000000000005</x:v>
      </x:c>
      <x:c r="W297" t="n">
        <x:f>MIN(100,40+IF(O297&gt;0,20,0)+IF(M297&lt;&gt;"",20,0)+IF(AF297&lt;&gt;"",20,0))</x:f>
        <x:v>100</x:v>
      </x:c>
      <x:c r="X297" t="str">
        <x:v>Placed on exact national road host link</x:v>
      </x:c>
      <x:c r="Y297" t="str">
        <x:v>Unpaved</x:v>
      </x:c>
      <x:c r="Z297" t="str">
        <x:v>C</x:v>
      </x:c>
      <x:c r="AA297" t="str">
        <x:v>Not available in governed source</x:v>
      </x:c>
      <x:c r="AB297" t="str">
        <x:v>Not available in governed source</x:v>
      </x:c>
      <x:c r="AC297" t="str">
        <x:v>FY2025/26</x:v>
      </x:c>
      <x:c r="AD297" t="str">
        <x:v>Modelled</x:v>
      </x:c>
      <x:c r="AE297" t="str">
        <x:v>2026 bridge AADT rebuilt from host-link traffic history, annual collection-link history, same-road corridor history and spatial count-station influence. Vehicle-class values are assigned from functional-class shares.</x:v>
      </x:c>
      <x:c r="AF297" t="str">
        <x:v>Placed on exact national road host link</x:v>
      </x:c>
    </x:row>
    <x:row r="298" ht="15" hidden="0" customHeight="1">
      <x:c r="A298" t="str">
        <x:v>bridge-297</x:v>
      </x:c>
      <x:c r="B298" t="str">
        <x:v>B296</x:v>
      </x:c>
      <x:c r="C298" t="str">
        <x:v>AGAGO BRIDGE</x:v>
      </x:c>
      <x:c r="D298" t="str">
        <x:v>C677_Link01</x:v>
      </x:c>
      <x:c r="E298" t="str">
        <x:v>Patongo - Kalongo</x:v>
      </x:c>
      <x:c r="F298" t="str">
        <x:v>C</x:v>
      </x:c>
      <x:c r="G298" t="str">
        <x:v>Northern</x:v>
      </x:c>
      <x:c r="H298" t="str">
        <x:v>Kitgum</x:v>
      </x:c>
      <x:c r="I298" t="str">
        <x:v>AGAGO RIVER</x:v>
      </x:c>
      <x:c r="J298" t="str">
        <x:v>Marginal</x:v>
      </x:c>
      <x:c r="K298" t="n">
        <x:v>33.369267</x:v>
      </x:c>
      <x:c r="L298" t="n">
        <x:v>3.007711</x:v>
      </x:c>
      <x:c r="M298" t="n">
        <x:v>33.369259</x:v>
      </x:c>
      <x:c r="N298" t="n">
        <x:v>3.007254</x:v>
      </x:c>
      <x:c r="O298" t="n">
        <x:v>726.62</x:v>
      </x:c>
      <x:c r="P298" t="n">
        <x:f>IFERROR(INDEX(Assumptions!$B$9:$B$13,MATCH(F298,Assumptions!$A$9:$A$13,0)),0.15)</x:f>
        <x:v>0.28</x:v>
      </x:c>
      <x:c r="Q298" t="n">
        <x:f>ROUND(O298*(1-P298),0)</x:f>
        <x:v>523</x:v>
      </x:c>
      <x:c r="R298" t="n">
        <x:f>ROUND(O298*P298,0)</x:f>
        <x:v>203</x:v>
      </x:c>
      <x:c r="S298" t="n">
        <x:f>ROUND(O298*IFERROR(INDEX(Assumptions!$C$9:$C$13,MATCH(F298,Assumptions!$A$9:$A$13,0)),0.55),0)</x:f>
        <x:v>363</x:v>
      </x:c>
      <x:c r="T298" t="n">
        <x:f>ROUND(O298*IFERROR(INDEX(Assumptions!$D$9:$D$13,MATCH(F298,Assumptions!$A$9:$A$13,0)),0.06),0)</x:f>
        <x:v>36</x:v>
      </x:c>
      <x:c r="U298" t="n">
        <x:f>ROUND(O298*IFERROR(INDEX(Assumptions!$E$9:$E$13,MATCH(F298,Assumptions!$A$9:$A$13,0)),0.15),0)</x:f>
        <x:v>80</x:v>
      </x:c>
      <x:c r="V298" t="n">
        <x:f>MAX(0,O298-SUM(R298:U298))</x:f>
        <x:v>44.620000000000005</x:v>
      </x:c>
      <x:c r="W298" t="n">
        <x:f>MIN(100,40+IF(O298&gt;0,20,0)+IF(M298&lt;&gt;"",20,0)+IF(AF298&lt;&gt;"",20,0))</x:f>
        <x:v>100</x:v>
      </x:c>
      <x:c r="X298" t="str">
        <x:v>Placed on exact national road host link</x:v>
      </x:c>
      <x:c r="Y298" t="str">
        <x:v>Unpaved</x:v>
      </x:c>
      <x:c r="Z298" t="str">
        <x:v>C</x:v>
      </x:c>
      <x:c r="AA298" t="str">
        <x:v>Not available in governed source</x:v>
      </x:c>
      <x:c r="AB298" t="str">
        <x:v>Not available in governed source</x:v>
      </x:c>
      <x:c r="AC298" t="str">
        <x:v>FY2025/26</x:v>
      </x:c>
      <x:c r="AD298" t="str">
        <x:v>Modelled</x:v>
      </x:c>
      <x:c r="AE298" t="str">
        <x:v>2026 bridge AADT rebuilt from host-link traffic history, annual collection-link history, same-road corridor history and spatial count-station influence. Vehicle-class values are assigned from functional-class shares.</x:v>
      </x:c>
      <x:c r="AF298" t="str">
        <x:v>Placed on exact national road host link</x:v>
      </x:c>
    </x:row>
    <x:row r="299" ht="15" hidden="0" customHeight="1">
      <x:c r="A299" t="str">
        <x:v>bridge-298</x:v>
      </x:c>
      <x:c r="B299" t="str">
        <x:v>B297</x:v>
      </x:c>
      <x:c r="C299" t="str">
        <x:v>BULUGI  BRIDGE</x:v>
      </x:c>
      <x:c r="D299" t="str">
        <x:v>C677_Link02</x:v>
      </x:c>
      <x:c r="E299" t="str">
        <x:v>Kalongo - Kitgum Matidi</x:v>
      </x:c>
      <x:c r="F299" t="str">
        <x:v>C</x:v>
      </x:c>
      <x:c r="G299" t="str">
        <x:v>Northern</x:v>
      </x:c>
      <x:c r="H299" t="str">
        <x:v>Kitgum</x:v>
      </x:c>
      <x:c r="I299" t="str">
        <x:v>BULUGI RIVER</x:v>
      </x:c>
      <x:c r="J299" t="str">
        <x:v>Marginal</x:v>
      </x:c>
      <x:c r="K299" t="n">
        <x:v>33.141289</x:v>
      </x:c>
      <x:c r="L299" t="n">
        <x:v>3.17501</x:v>
      </x:c>
      <x:c r="M299" t="n">
        <x:v>33.097945</x:v>
      </x:c>
      <x:c r="N299" t="n">
        <x:v>3.207215</x:v>
      </x:c>
      <x:c r="O299" t="n">
        <x:v>726.62</x:v>
      </x:c>
      <x:c r="P299" t="n">
        <x:f>IFERROR(INDEX(Assumptions!$B$9:$B$13,MATCH(F299,Assumptions!$A$9:$A$13,0)),0.15)</x:f>
        <x:v>0.28</x:v>
      </x:c>
      <x:c r="Q299" t="n">
        <x:f>ROUND(O299*(1-P299),0)</x:f>
        <x:v>523</x:v>
      </x:c>
      <x:c r="R299" t="n">
        <x:f>ROUND(O299*P299,0)</x:f>
        <x:v>203</x:v>
      </x:c>
      <x:c r="S299" t="n">
        <x:f>ROUND(O299*IFERROR(INDEX(Assumptions!$C$9:$C$13,MATCH(F299,Assumptions!$A$9:$A$13,0)),0.55),0)</x:f>
        <x:v>363</x:v>
      </x:c>
      <x:c r="T299" t="n">
        <x:f>ROUND(O299*IFERROR(INDEX(Assumptions!$D$9:$D$13,MATCH(F299,Assumptions!$A$9:$A$13,0)),0.06),0)</x:f>
        <x:v>36</x:v>
      </x:c>
      <x:c r="U299" t="n">
        <x:f>ROUND(O299*IFERROR(INDEX(Assumptions!$E$9:$E$13,MATCH(F299,Assumptions!$A$9:$A$13,0)),0.15),0)</x:f>
        <x:v>80</x:v>
      </x:c>
      <x:c r="V299" t="n">
        <x:f>MAX(0,O299-SUM(R299:U299))</x:f>
        <x:v>44.620000000000005</x:v>
      </x:c>
      <x:c r="W299" t="n">
        <x:f>MIN(100,40+IF(O299&gt;0,20,0)+IF(M299&lt;&gt;"",20,0)+IF(AF299&lt;&gt;"",20,0))</x:f>
        <x:v>100</x:v>
      </x:c>
      <x:c r="X299" t="str">
        <x:v>Placed on exact national road host link</x:v>
      </x:c>
      <x:c r="Y299" t="str">
        <x:v>Unpaved</x:v>
      </x:c>
      <x:c r="Z299" t="str">
        <x:v>C</x:v>
      </x:c>
      <x:c r="AA299" t="str">
        <x:v>Not available in governed source</x:v>
      </x:c>
      <x:c r="AB299" t="str">
        <x:v>Not available in governed source</x:v>
      </x:c>
      <x:c r="AC299" t="str">
        <x:v>FY2025/26</x:v>
      </x:c>
      <x:c r="AD299" t="str">
        <x:v>Modelled</x:v>
      </x:c>
      <x:c r="AE299" t="str">
        <x:v>2026 bridge AADT rebuilt from host-link traffic history, annual collection-link history, same-road corridor history and spatial count-station influence. Vehicle-class values are assigned from functional-class shares.</x:v>
      </x:c>
      <x:c r="AF299" t="str">
        <x:v>Placed on exact national road host link</x:v>
      </x:c>
    </x:row>
    <x:row r="300" ht="15" hidden="0" customHeight="1">
      <x:c r="A300" t="str">
        <x:v>bridge-299</x:v>
      </x:c>
      <x:c r="B300" t="str">
        <x:v>B727</x:v>
      </x:c>
      <x:c r="C300" t="str">
        <x:v>ODYAKA BRIDGE</x:v>
      </x:c>
      <x:c r="D300" t="str">
        <x:v>C677_Link02</x:v>
      </x:c>
      <x:c r="E300" t="str">
        <x:v>Kalongo - Kitgum Matidi</x:v>
      </x:c>
      <x:c r="F300" t="str">
        <x:v>C</x:v>
      </x:c>
      <x:c r="G300" t="str">
        <x:v>Northern</x:v>
      </x:c>
      <x:c r="H300" t="str">
        <x:v>Kitgum</x:v>
      </x:c>
      <x:c r="I300" t="str">
        <x:v>ODYAKA RIVER</x:v>
      </x:c>
      <x:c r="J300" t="str">
        <x:v>Marginal</x:v>
      </x:c>
      <x:c r="K300" t="n">
        <x:v>33.062431</x:v>
      </x:c>
      <x:c r="L300" t="n">
        <x:v>3.253996</x:v>
      </x:c>
      <x:c r="M300" t="n">
        <x:v>33.126333</x:v>
      </x:c>
      <x:c r="N300" t="n">
        <x:v>3.185426</x:v>
      </x:c>
      <x:c r="O300" t="n">
        <x:v>726.62</x:v>
      </x:c>
      <x:c r="P300" t="n">
        <x:f>IFERROR(INDEX(Assumptions!$B$9:$B$13,MATCH(F300,Assumptions!$A$9:$A$13,0)),0.15)</x:f>
        <x:v>0.28</x:v>
      </x:c>
      <x:c r="Q300" t="n">
        <x:f>ROUND(O300*(1-P300),0)</x:f>
        <x:v>523</x:v>
      </x:c>
      <x:c r="R300" t="n">
        <x:f>ROUND(O300*P300,0)</x:f>
        <x:v>203</x:v>
      </x:c>
      <x:c r="S300" t="n">
        <x:f>ROUND(O300*IFERROR(INDEX(Assumptions!$C$9:$C$13,MATCH(F300,Assumptions!$A$9:$A$13,0)),0.55),0)</x:f>
        <x:v>363</x:v>
      </x:c>
      <x:c r="T300" t="n">
        <x:f>ROUND(O300*IFERROR(INDEX(Assumptions!$D$9:$D$13,MATCH(F300,Assumptions!$A$9:$A$13,0)),0.06),0)</x:f>
        <x:v>36</x:v>
      </x:c>
      <x:c r="U300" t="n">
        <x:f>ROUND(O300*IFERROR(INDEX(Assumptions!$E$9:$E$13,MATCH(F300,Assumptions!$A$9:$A$13,0)),0.15),0)</x:f>
        <x:v>80</x:v>
      </x:c>
      <x:c r="V300" t="n">
        <x:f>MAX(0,O300-SUM(R300:U300))</x:f>
        <x:v>44.620000000000005</x:v>
      </x:c>
      <x:c r="W300" t="n">
        <x:f>MIN(100,40+IF(O300&gt;0,20,0)+IF(M300&lt;&gt;"",20,0)+IF(AF300&lt;&gt;"",20,0))</x:f>
        <x:v>100</x:v>
      </x:c>
      <x:c r="X300" t="str">
        <x:v>Placed on exact national road host link</x:v>
      </x:c>
      <x:c r="Y300" t="str">
        <x:v>Unpaved</x:v>
      </x:c>
      <x:c r="Z300" t="str">
        <x:v>C</x:v>
      </x:c>
      <x:c r="AA300" t="str">
        <x:v>Not available in governed source</x:v>
      </x:c>
      <x:c r="AB300" t="str">
        <x:v>Not available in governed source</x:v>
      </x:c>
      <x:c r="AC300" t="str">
        <x:v>FY2025/26</x:v>
      </x:c>
      <x:c r="AD300" t="str">
        <x:v>Modelled</x:v>
      </x:c>
      <x:c r="AE300" t="str">
        <x:v>2026 bridge AADT rebuilt from host-link traffic history, annual collection-link history, same-road corridor history and spatial count-station influence. Vehicle-class values are assigned from functional-class shares.</x:v>
      </x:c>
      <x:c r="AF300" t="str">
        <x:v>Placed on exact national road host link</x:v>
      </x:c>
    </x:row>
    <x:row r="301" ht="15" hidden="0" customHeight="1">
      <x:c r="A301" t="str">
        <x:v>bridge-300</x:v>
      </x:c>
      <x:c r="B301" t="str">
        <x:v>B298</x:v>
      </x:c>
      <x:c r="C301" t="str">
        <x:v>ODYAKA</x:v>
      </x:c>
      <x:c r="D301" t="str">
        <x:v>C677_Link02</x:v>
      </x:c>
      <x:c r="E301" t="str">
        <x:v>Kalongo - Kitgum Matidi</x:v>
      </x:c>
      <x:c r="F301" t="str">
        <x:v>C</x:v>
      </x:c>
      <x:c r="G301" t="str">
        <x:v>Northern</x:v>
      </x:c>
      <x:c r="H301" t="str">
        <x:v>Kitgum</x:v>
      </x:c>
      <x:c r="I301" t="str">
        <x:v>ODYAKA RIVER</x:v>
      </x:c>
      <x:c r="J301" t="str">
        <x:v>Marginal</x:v>
      </x:c>
      <x:c r="K301" t="n">
        <x:v>33.057758</x:v>
      </x:c>
      <x:c r="L301" t="n">
        <x:v>3.264447</x:v>
      </x:c>
      <x:c r="M301" t="n">
        <x:v>33.126333</x:v>
      </x:c>
      <x:c r="N301" t="n">
        <x:v>3.185426</x:v>
      </x:c>
      <x:c r="O301" t="n">
        <x:v>726.62</x:v>
      </x:c>
      <x:c r="P301" t="n">
        <x:f>IFERROR(INDEX(Assumptions!$B$9:$B$13,MATCH(F301,Assumptions!$A$9:$A$13,0)),0.15)</x:f>
        <x:v>0.28</x:v>
      </x:c>
      <x:c r="Q301" t="n">
        <x:f>ROUND(O301*(1-P301),0)</x:f>
        <x:v>523</x:v>
      </x:c>
      <x:c r="R301" t="n">
        <x:f>ROUND(O301*P301,0)</x:f>
        <x:v>203</x:v>
      </x:c>
      <x:c r="S301" t="n">
        <x:f>ROUND(O301*IFERROR(INDEX(Assumptions!$C$9:$C$13,MATCH(F301,Assumptions!$A$9:$A$13,0)),0.55),0)</x:f>
        <x:v>363</x:v>
      </x:c>
      <x:c r="T301" t="n">
        <x:f>ROUND(O301*IFERROR(INDEX(Assumptions!$D$9:$D$13,MATCH(F301,Assumptions!$A$9:$A$13,0)),0.06),0)</x:f>
        <x:v>36</x:v>
      </x:c>
      <x:c r="U301" t="n">
        <x:f>ROUND(O301*IFERROR(INDEX(Assumptions!$E$9:$E$13,MATCH(F301,Assumptions!$A$9:$A$13,0)),0.15),0)</x:f>
        <x:v>80</x:v>
      </x:c>
      <x:c r="V301" t="n">
        <x:f>MAX(0,O301-SUM(R301:U301))</x:f>
        <x:v>44.620000000000005</x:v>
      </x:c>
      <x:c r="W301" t="n">
        <x:f>MIN(100,40+IF(O301&gt;0,20,0)+IF(M301&lt;&gt;"",20,0)+IF(AF301&lt;&gt;"",20,0))</x:f>
        <x:v>100</x:v>
      </x:c>
      <x:c r="X301" t="str">
        <x:v>Placed on exact national road host link</x:v>
      </x:c>
      <x:c r="Y301" t="str">
        <x:v>Unpaved</x:v>
      </x:c>
      <x:c r="Z301" t="str">
        <x:v>C</x:v>
      </x:c>
      <x:c r="AA301" t="str">
        <x:v>Not available in governed source</x:v>
      </x:c>
      <x:c r="AB301" t="str">
        <x:v>Not available in governed source</x:v>
      </x:c>
      <x:c r="AC301" t="str">
        <x:v>FY2025/26</x:v>
      </x:c>
      <x:c r="AD301" t="str">
        <x:v>Modelled</x:v>
      </x:c>
      <x:c r="AE301" t="str">
        <x:v>2026 bridge AADT rebuilt from host-link traffic history, annual collection-link history, same-road corridor history and spatial count-station influence. Vehicle-class values are assigned from functional-class shares.</x:v>
      </x:c>
      <x:c r="AF301" t="str">
        <x:v>Placed on exact national road host link</x:v>
      </x:c>
    </x:row>
    <x:row r="302" ht="15" hidden="0" customHeight="1">
      <x:c r="A302" t="str">
        <x:v>bridge-301</x:v>
      </x:c>
      <x:c r="B302" t="str">
        <x:v>B299</x:v>
      </x:c>
      <x:c r="C302" t="str">
        <x:v>NAGOYA BRIDGE</x:v>
      </x:c>
      <x:c r="D302" t="str">
        <x:v>C678_Link01</x:v>
      </x:c>
      <x:c r="E302" t="str">
        <x:v>Naamokora - Lokapel</x:v>
      </x:c>
      <x:c r="F302" t="str">
        <x:v>C</x:v>
      </x:c>
      <x:c r="G302" t="str">
        <x:v>Northern</x:v>
      </x:c>
      <x:c r="H302" t="str">
        <x:v>Kitgum</x:v>
      </x:c>
      <x:c r="I302" t="str">
        <x:v>NGOYA RIVER</x:v>
      </x:c>
      <x:c r="J302" t="str">
        <x:v>Poor</x:v>
      </x:c>
      <x:c r="K302" t="n">
        <x:v>33.482517</x:v>
      </x:c>
      <x:c r="L302" t="n">
        <x:v>2.866306</x:v>
      </x:c>
      <x:c r="M302" t="n">
        <x:v>33.482485</x:v>
      </x:c>
      <x:c r="N302" t="n">
        <x:v>2.865966</x:v>
      </x:c>
      <x:c r="O302" t="n">
        <x:v>296.38</x:v>
      </x:c>
      <x:c r="P302" t="n">
        <x:f>IFERROR(INDEX(Assumptions!$B$9:$B$13,MATCH(F302,Assumptions!$A$9:$A$13,0)),0.15)</x:f>
        <x:v>0.28</x:v>
      </x:c>
      <x:c r="Q302" t="n">
        <x:f>ROUND(O302*(1-P302),0)</x:f>
        <x:v>213</x:v>
      </x:c>
      <x:c r="R302" t="n">
        <x:f>ROUND(O302*P302,0)</x:f>
        <x:v>83</x:v>
      </x:c>
      <x:c r="S302" t="n">
        <x:f>ROUND(O302*IFERROR(INDEX(Assumptions!$C$9:$C$13,MATCH(F302,Assumptions!$A$9:$A$13,0)),0.55),0)</x:f>
        <x:v>148</x:v>
      </x:c>
      <x:c r="T302" t="n">
        <x:f>ROUND(O302*IFERROR(INDEX(Assumptions!$D$9:$D$13,MATCH(F302,Assumptions!$A$9:$A$13,0)),0.06),0)</x:f>
        <x:v>15</x:v>
      </x:c>
      <x:c r="U302" t="n">
        <x:f>ROUND(O302*IFERROR(INDEX(Assumptions!$E$9:$E$13,MATCH(F302,Assumptions!$A$9:$A$13,0)),0.15),0)</x:f>
        <x:v>33</x:v>
      </x:c>
      <x:c r="V302" t="n">
        <x:f>MAX(0,O302-SUM(R302:U302))</x:f>
        <x:v>17.379999999999995</x:v>
      </x:c>
      <x:c r="W302" t="n">
        <x:f>MIN(100,40+IF(O302&gt;0,20,0)+IF(M302&lt;&gt;"",20,0)+IF(AF302&lt;&gt;"",20,0))</x:f>
        <x:v>100</x:v>
      </x:c>
      <x:c r="X302" t="str">
        <x:v>Placed on exact national road host link</x:v>
      </x:c>
      <x:c r="Y302" t="str">
        <x:v>Unpaved</x:v>
      </x:c>
      <x:c r="Z302" t="str">
        <x:v>C</x:v>
      </x:c>
      <x:c r="AA302" t="str">
        <x:v>Not available in governed source</x:v>
      </x:c>
      <x:c r="AB302" t="str">
        <x:v>Not available in governed source</x:v>
      </x:c>
      <x:c r="AC302" t="str">
        <x:v>FY2025/26</x:v>
      </x:c>
      <x:c r="AD302" t="str">
        <x:v>Modelled</x:v>
      </x:c>
      <x:c r="AE302" t="str">
        <x:v>2026 bridge AADT rebuilt from host-link traffic history, annual collection-link history, same-road corridor history and spatial count-station influence. Vehicle-class values are assigned from functional-class shares.</x:v>
      </x:c>
      <x:c r="AF302" t="str">
        <x:v>Placed on exact national road host link</x:v>
      </x:c>
    </x:row>
    <x:row r="303" ht="15" hidden="0" customHeight="1">
      <x:c r="A303" t="str">
        <x:v>bridge-302</x:v>
      </x:c>
      <x:c r="B303" t="str">
        <x:v>B300</x:v>
      </x:c>
      <x:c r="C303" t="str">
        <x:v>OROK BRIDGE</x:v>
      </x:c>
      <x:c r="D303" t="str">
        <x:v>C997_Link01</x:v>
      </x:c>
      <x:c r="E303" t="str">
        <x:v>Aloi-Aleptong</x:v>
      </x:c>
      <x:c r="F303" t="str">
        <x:v>C</x:v>
      </x:c>
      <x:c r="G303" t="str">
        <x:v>Northern</x:v>
      </x:c>
      <x:c r="H303" t="str">
        <x:v>Lira</x:v>
      </x:c>
      <x:c r="I303" t="str">
        <x:v>OROK RIVER</x:v>
      </x:c>
      <x:c r="J303" t="str">
        <x:v>Marginal</x:v>
      </x:c>
      <x:c r="K303" t="n">
        <x:v>33.24461</x:v>
      </x:c>
      <x:c r="L303" t="n">
        <x:v>2.26103</x:v>
      </x:c>
      <x:c r="M303" t="n">
        <x:v>33.244817</x:v>
      </x:c>
      <x:c r="N303" t="n">
        <x:v>2.261599</x:v>
      </x:c>
      <x:c r="O303" t="n">
        <x:v>1969.51</x:v>
      </x:c>
      <x:c r="P303" t="n">
        <x:f>IFERROR(INDEX(Assumptions!$B$9:$B$13,MATCH(F303,Assumptions!$A$9:$A$13,0)),0.15)</x:f>
        <x:v>0.28</x:v>
      </x:c>
      <x:c r="Q303" t="n">
        <x:f>ROUND(O303*(1-P303),0)</x:f>
        <x:v>1418</x:v>
      </x:c>
      <x:c r="R303" t="n">
        <x:f>ROUND(O303*P303,0)</x:f>
        <x:v>551</x:v>
      </x:c>
      <x:c r="S303" t="n">
        <x:f>ROUND(O303*IFERROR(INDEX(Assumptions!$C$9:$C$13,MATCH(F303,Assumptions!$A$9:$A$13,0)),0.55),0)</x:f>
        <x:v>985</x:v>
      </x:c>
      <x:c r="T303" t="n">
        <x:f>ROUND(O303*IFERROR(INDEX(Assumptions!$D$9:$D$13,MATCH(F303,Assumptions!$A$9:$A$13,0)),0.06),0)</x:f>
        <x:v>98</x:v>
      </x:c>
      <x:c r="U303" t="n">
        <x:f>ROUND(O303*IFERROR(INDEX(Assumptions!$E$9:$E$13,MATCH(F303,Assumptions!$A$9:$A$13,0)),0.15),0)</x:f>
        <x:v>217</x:v>
      </x:c>
      <x:c r="V303" t="n">
        <x:f>MAX(0,O303-SUM(R303:U303))</x:f>
        <x:v>118.50999999999999</x:v>
      </x:c>
      <x:c r="W303" t="n">
        <x:f>MIN(100,40+IF(O303&gt;0,20,0)+IF(M303&lt;&gt;"",20,0)+IF(AF303&lt;&gt;"",20,0))</x:f>
        <x:v>100</x:v>
      </x:c>
      <x:c r="X303" t="str">
        <x:v>Placed on exact national road host link</x:v>
      </x:c>
      <x:c r="Y303" t="str">
        <x:v>Unpaved</x:v>
      </x:c>
      <x:c r="Z303" t="str">
        <x:v>C</x:v>
      </x:c>
      <x:c r="AA303" t="str">
        <x:v>Not available in governed source</x:v>
      </x:c>
      <x:c r="AB303" t="str">
        <x:v>Not available in governed source</x:v>
      </x:c>
      <x:c r="AC303" t="str">
        <x:v>FY2025/26</x:v>
      </x:c>
      <x:c r="AD303" t="str">
        <x:v>Modelled</x:v>
      </x:c>
      <x:c r="AE303" t="str">
        <x:v>2026 bridge AADT rebuilt from host-link traffic history, annual collection-link history, same-road corridor history and spatial count-station influence. Vehicle-class values are assigned from functional-class shares.</x:v>
      </x:c>
      <x:c r="AF303" t="str">
        <x:v>Placed on exact national road host link</x:v>
      </x:c>
    </x:row>
    <x:row r="304" ht="15" hidden="0" customHeight="1">
      <x:c r="A304" t="str">
        <x:v>bridge-303</x:v>
      </x:c>
      <x:c r="B304" t="str">
        <x:v>B301</x:v>
      </x:c>
      <x:c r="C304" t="str">
        <x:v>TORCHI</x:v>
      </x:c>
      <x:c r="D304" t="str">
        <x:v>C685_Link01</x:v>
      </x:c>
      <x:c r="E304" t="str">
        <x:v>Katikati - Tenumu - Nwoya</x:v>
      </x:c>
      <x:c r="F304" t="str">
        <x:v>C</x:v>
      </x:c>
      <x:c r="G304" t="str">
        <x:v>Northern</x:v>
      </x:c>
      <x:c r="H304" t="str">
        <x:v>Gulu</x:v>
      </x:c>
      <x:c r="I304" t="str">
        <x:v>Torchi</x:v>
      </x:c>
      <x:c r="J304" t="str">
        <x:v>Poor</x:v>
      </x:c>
      <x:c r="K304" t="n">
        <x:v>32.212681</x:v>
      </x:c>
      <x:c r="L304" t="n">
        <x:v>2.75503</x:v>
      </x:c>
      <x:c r="M304" t="n">
        <x:v>32.212878</x:v>
      </x:c>
      <x:c r="N304" t="n">
        <x:v>2.754532</x:v>
      </x:c>
      <x:c r="O304" t="n">
        <x:v>1830.88</x:v>
      </x:c>
      <x:c r="P304" t="n">
        <x:f>IFERROR(INDEX(Assumptions!$B$9:$B$13,MATCH(F304,Assumptions!$A$9:$A$13,0)),0.15)</x:f>
        <x:v>0.28</x:v>
      </x:c>
      <x:c r="Q304" t="n">
        <x:f>ROUND(O304*(1-P304),0)</x:f>
        <x:v>1318</x:v>
      </x:c>
      <x:c r="R304" t="n">
        <x:f>ROUND(O304*P304,0)</x:f>
        <x:v>513</x:v>
      </x:c>
      <x:c r="S304" t="n">
        <x:f>ROUND(O304*IFERROR(INDEX(Assumptions!$C$9:$C$13,MATCH(F304,Assumptions!$A$9:$A$13,0)),0.55),0)</x:f>
        <x:v>915</x:v>
      </x:c>
      <x:c r="T304" t="n">
        <x:f>ROUND(O304*IFERROR(INDEX(Assumptions!$D$9:$D$13,MATCH(F304,Assumptions!$A$9:$A$13,0)),0.06),0)</x:f>
        <x:v>92</x:v>
      </x:c>
      <x:c r="U304" t="n">
        <x:f>ROUND(O304*IFERROR(INDEX(Assumptions!$E$9:$E$13,MATCH(F304,Assumptions!$A$9:$A$13,0)),0.15),0)</x:f>
        <x:v>201</x:v>
      </x:c>
      <x:c r="V304" t="n">
        <x:f>MAX(0,O304-SUM(R304:U304))</x:f>
        <x:v>109.88000000000011</x:v>
      </x:c>
      <x:c r="W304" t="n">
        <x:f>MIN(100,40+IF(O304&gt;0,20,0)+IF(M304&lt;&gt;"",20,0)+IF(AF304&lt;&gt;"",20,0))</x:f>
        <x:v>100</x:v>
      </x:c>
      <x:c r="X304" t="str">
        <x:v>Placed on exact national road host link</x:v>
      </x:c>
      <x:c r="Y304" t="str">
        <x:v>Unpaved</x:v>
      </x:c>
      <x:c r="Z304" t="str">
        <x:v>C</x:v>
      </x:c>
      <x:c r="AA304" t="str">
        <x:v>Not available in governed source</x:v>
      </x:c>
      <x:c r="AB304" t="str">
        <x:v>Not available in governed source</x:v>
      </x:c>
      <x:c r="AC304" t="str">
        <x:v>FY2025/26</x:v>
      </x:c>
      <x:c r="AD304" t="str">
        <x:v>Modelled</x:v>
      </x:c>
      <x:c r="AE304" t="str">
        <x:v>2026 bridge AADT rebuilt from host-link traffic history, annual collection-link history, same-road corridor history and spatial count-station influence. Vehicle-class values are assigned from functional-class shares.</x:v>
      </x:c>
      <x:c r="AF304" t="str">
        <x:v>Placed on exact national road host link</x:v>
      </x:c>
    </x:row>
    <x:row r="305" ht="15" hidden="0" customHeight="1">
      <x:c r="A305" t="str">
        <x:v>bridge-304</x:v>
      </x:c>
      <x:c r="B305" t="str">
        <x:v>B302</x:v>
      </x:c>
      <x:c r="C305" t="str">
        <x:v>AYAGO</x:v>
      </x:c>
      <x:c r="D305" t="str">
        <x:v>C685_Link01</x:v>
      </x:c>
      <x:c r="E305" t="str">
        <x:v>Katikati - Tenumu - Nwoya</x:v>
      </x:c>
      <x:c r="F305" t="str">
        <x:v>C</x:v>
      </x:c>
      <x:c r="G305" t="str">
        <x:v>Northern</x:v>
      </x:c>
      <x:c r="H305" t="str">
        <x:v>Gulu</x:v>
      </x:c>
      <x:c r="I305" t="str">
        <x:v>AYAGO</x:v>
      </x:c>
      <x:c r="J305" t="str">
        <x:v>Marginal</x:v>
      </x:c>
      <x:c r="K305" t="n">
        <x:v>32.169022</x:v>
      </x:c>
      <x:c r="L305" t="n">
        <x:v>2.74932</x:v>
      </x:c>
      <x:c r="M305" t="n">
        <x:v>32.169132</x:v>
      </x:c>
      <x:c r="N305" t="n">
        <x:v>2.750203</x:v>
      </x:c>
      <x:c r="O305" t="n">
        <x:v>1830.88</x:v>
      </x:c>
      <x:c r="P305" t="n">
        <x:f>IFERROR(INDEX(Assumptions!$B$9:$B$13,MATCH(F305,Assumptions!$A$9:$A$13,0)),0.15)</x:f>
        <x:v>0.28</x:v>
      </x:c>
      <x:c r="Q305" t="n">
        <x:f>ROUND(O305*(1-P305),0)</x:f>
        <x:v>1318</x:v>
      </x:c>
      <x:c r="R305" t="n">
        <x:f>ROUND(O305*P305,0)</x:f>
        <x:v>513</x:v>
      </x:c>
      <x:c r="S305" t="n">
        <x:f>ROUND(O305*IFERROR(INDEX(Assumptions!$C$9:$C$13,MATCH(F305,Assumptions!$A$9:$A$13,0)),0.55),0)</x:f>
        <x:v>915</x:v>
      </x:c>
      <x:c r="T305" t="n">
        <x:f>ROUND(O305*IFERROR(INDEX(Assumptions!$D$9:$D$13,MATCH(F305,Assumptions!$A$9:$A$13,0)),0.06),0)</x:f>
        <x:v>92</x:v>
      </x:c>
      <x:c r="U305" t="n">
        <x:f>ROUND(O305*IFERROR(INDEX(Assumptions!$E$9:$E$13,MATCH(F305,Assumptions!$A$9:$A$13,0)),0.15),0)</x:f>
        <x:v>201</x:v>
      </x:c>
      <x:c r="V305" t="n">
        <x:f>MAX(0,O305-SUM(R305:U305))</x:f>
        <x:v>109.88000000000011</x:v>
      </x:c>
      <x:c r="W305" t="n">
        <x:f>MIN(100,40+IF(O305&gt;0,20,0)+IF(M305&lt;&gt;"",20,0)+IF(AF305&lt;&gt;"",20,0))</x:f>
        <x:v>100</x:v>
      </x:c>
      <x:c r="X305" t="str">
        <x:v>Placed on exact national road host link</x:v>
      </x:c>
      <x:c r="Y305" t="str">
        <x:v>Unpaved</x:v>
      </x:c>
      <x:c r="Z305" t="str">
        <x:v>C</x:v>
      </x:c>
      <x:c r="AA305" t="str">
        <x:v>Not available in governed source</x:v>
      </x:c>
      <x:c r="AB305" t="str">
        <x:v>Not available in governed source</x:v>
      </x:c>
      <x:c r="AC305" t="str">
        <x:v>FY2025/26</x:v>
      </x:c>
      <x:c r="AD305" t="str">
        <x:v>Modelled</x:v>
      </x:c>
      <x:c r="AE305" t="str">
        <x:v>2026 bridge AADT rebuilt from host-link traffic history, annual collection-link history, same-road corridor history and spatial count-station influence. Vehicle-class values are assigned from functional-class shares.</x:v>
      </x:c>
      <x:c r="AF305" t="str">
        <x:v>Placed on exact national road host link</x:v>
      </x:c>
    </x:row>
    <x:row r="306" ht="15" hidden="0" customHeight="1">
      <x:c r="A306" t="str">
        <x:v>bridge-305</x:v>
      </x:c>
      <x:c r="B306" t="str">
        <x:v>B303</x:v>
      </x:c>
      <x:c r="C306" t="str">
        <x:v>AYAGO BRIDGE</x:v>
      </x:c>
      <x:c r="D306" t="str">
        <x:v>C685_Link01</x:v>
      </x:c>
      <x:c r="E306" t="str">
        <x:v>Katikati - Tenumu - Nwoya</x:v>
      </x:c>
      <x:c r="F306" t="str">
        <x:v>C</x:v>
      </x:c>
      <x:c r="G306" t="str">
        <x:v>Northern</x:v>
      </x:c>
      <x:c r="H306" t="str">
        <x:v>Gulu</x:v>
      </x:c>
      <x:c r="I306" t="str">
        <x:v>LANGOL RIVER</x:v>
      </x:c>
      <x:c r="J306" t="str">
        <x:v>Marginal</x:v>
      </x:c>
      <x:c r="K306" t="n">
        <x:v>32.137405</x:v>
      </x:c>
      <x:c r="L306" t="n">
        <x:v>2.742707</x:v>
      </x:c>
      <x:c r="M306" t="n">
        <x:v>32.137836</x:v>
      </x:c>
      <x:c r="N306" t="n">
        <x:v>2.742428</x:v>
      </x:c>
      <x:c r="O306" t="n">
        <x:v>1830.88</x:v>
      </x:c>
      <x:c r="P306" t="n">
        <x:f>IFERROR(INDEX(Assumptions!$B$9:$B$13,MATCH(F306,Assumptions!$A$9:$A$13,0)),0.15)</x:f>
        <x:v>0.28</x:v>
      </x:c>
      <x:c r="Q306" t="n">
        <x:f>ROUND(O306*(1-P306),0)</x:f>
        <x:v>1318</x:v>
      </x:c>
      <x:c r="R306" t="n">
        <x:f>ROUND(O306*P306,0)</x:f>
        <x:v>513</x:v>
      </x:c>
      <x:c r="S306" t="n">
        <x:f>ROUND(O306*IFERROR(INDEX(Assumptions!$C$9:$C$13,MATCH(F306,Assumptions!$A$9:$A$13,0)),0.55),0)</x:f>
        <x:v>915</x:v>
      </x:c>
      <x:c r="T306" t="n">
        <x:f>ROUND(O306*IFERROR(INDEX(Assumptions!$D$9:$D$13,MATCH(F306,Assumptions!$A$9:$A$13,0)),0.06),0)</x:f>
        <x:v>92</x:v>
      </x:c>
      <x:c r="U306" t="n">
        <x:f>ROUND(O306*IFERROR(INDEX(Assumptions!$E$9:$E$13,MATCH(F306,Assumptions!$A$9:$A$13,0)),0.15),0)</x:f>
        <x:v>201</x:v>
      </x:c>
      <x:c r="V306" t="n">
        <x:f>MAX(0,O306-SUM(R306:U306))</x:f>
        <x:v>109.88000000000011</x:v>
      </x:c>
      <x:c r="W306" t="n">
        <x:f>MIN(100,40+IF(O306&gt;0,20,0)+IF(M306&lt;&gt;"",20,0)+IF(AF306&lt;&gt;"",20,0))</x:f>
        <x:v>100</x:v>
      </x:c>
      <x:c r="X306" t="str">
        <x:v>Placed on exact national road host link</x:v>
      </x:c>
      <x:c r="Y306" t="str">
        <x:v>Unpaved</x:v>
      </x:c>
      <x:c r="Z306" t="str">
        <x:v>C</x:v>
      </x:c>
      <x:c r="AA306" t="str">
        <x:v>Not available in governed source</x:v>
      </x:c>
      <x:c r="AB306" t="str">
        <x:v>Not available in governed source</x:v>
      </x:c>
      <x:c r="AC306" t="str">
        <x:v>FY2025/26</x:v>
      </x:c>
      <x:c r="AD306" t="str">
        <x:v>Modelled</x:v>
      </x:c>
      <x:c r="AE306" t="str">
        <x:v>2026 bridge AADT rebuilt from host-link traffic history, annual collection-link history, same-road corridor history and spatial count-station influence. Vehicle-class values are assigned from functional-class shares.</x:v>
      </x:c>
      <x:c r="AF306" t="str">
        <x:v>Placed on exact national road host link</x:v>
      </x:c>
    </x:row>
    <x:row r="307" ht="15" hidden="0" customHeight="1">
      <x:c r="A307" t="str">
        <x:v>bridge-306</x:v>
      </x:c>
      <x:c r="B307" t="str">
        <x:v>B308</x:v>
      </x:c>
      <x:c r="C307" t="str">
        <x:v>OMEE BRIDGE</x:v>
      </x:c>
      <x:c r="D307" t="str">
        <x:v>C686_Link02</x:v>
      </x:c>
      <x:c r="E307" t="str">
        <x:v>Amuru Junction - Awee</x:v>
      </x:c>
      <x:c r="F307" t="str">
        <x:v>C</x:v>
      </x:c>
      <x:c r="G307" t="str">
        <x:v>Northern</x:v>
      </x:c>
      <x:c r="H307" t="str">
        <x:v>Gulu</x:v>
      </x:c>
      <x:c r="I307" t="str">
        <x:v>OMEE RIVER</x:v>
      </x:c>
      <x:c r="J307" t="str">
        <x:v>Marginal</x:v>
      </x:c>
      <x:c r="K307" t="n">
        <x:v>31.761438</x:v>
      </x:c>
      <x:c r="L307" t="n">
        <x:v>2.853229</x:v>
      </x:c>
      <x:c r="M307" t="n">
        <x:v>31.760173</x:v>
      </x:c>
      <x:c r="N307" t="n">
        <x:v>2.853155</x:v>
      </x:c>
      <x:c r="O307" t="n">
        <x:v>1835.66</x:v>
      </x:c>
      <x:c r="P307" t="n">
        <x:f>IFERROR(INDEX(Assumptions!$B$9:$B$13,MATCH(F307,Assumptions!$A$9:$A$13,0)),0.15)</x:f>
        <x:v>0.28</x:v>
      </x:c>
      <x:c r="Q307" t="n">
        <x:f>ROUND(O307*(1-P307),0)</x:f>
        <x:v>1322</x:v>
      </x:c>
      <x:c r="R307" t="n">
        <x:f>ROUND(O307*P307,0)</x:f>
        <x:v>514</x:v>
      </x:c>
      <x:c r="S307" t="n">
        <x:f>ROUND(O307*IFERROR(INDEX(Assumptions!$C$9:$C$13,MATCH(F307,Assumptions!$A$9:$A$13,0)),0.55),0)</x:f>
        <x:v>918</x:v>
      </x:c>
      <x:c r="T307" t="n">
        <x:f>ROUND(O307*IFERROR(INDEX(Assumptions!$D$9:$D$13,MATCH(F307,Assumptions!$A$9:$A$13,0)),0.06),0)</x:f>
        <x:v>92</x:v>
      </x:c>
      <x:c r="U307" t="n">
        <x:f>ROUND(O307*IFERROR(INDEX(Assumptions!$E$9:$E$13,MATCH(F307,Assumptions!$A$9:$A$13,0)),0.15),0)</x:f>
        <x:v>202</x:v>
      </x:c>
      <x:c r="V307" t="n">
        <x:f>MAX(0,O307-SUM(R307:U307))</x:f>
        <x:v>109.66000000000008</x:v>
      </x:c>
      <x:c r="W307" t="n">
        <x:f>MIN(100,40+IF(O307&gt;0,20,0)+IF(M307&lt;&gt;"",20,0)+IF(AF307&lt;&gt;"",20,0))</x:f>
        <x:v>100</x:v>
      </x:c>
      <x:c r="X307" t="str">
        <x:v>Placed on exact national road host link</x:v>
      </x:c>
      <x:c r="Y307" t="str">
        <x:v>Unpaved</x:v>
      </x:c>
      <x:c r="Z307" t="str">
        <x:v>C</x:v>
      </x:c>
      <x:c r="AA307" t="str">
        <x:v>Not available in governed source</x:v>
      </x:c>
      <x:c r="AB307" t="str">
        <x:v>Not available in governed source</x:v>
      </x:c>
      <x:c r="AC307" t="str">
        <x:v>FY2025/26</x:v>
      </x:c>
      <x:c r="AD307" t="str">
        <x:v>Modelled</x:v>
      </x:c>
      <x:c r="AE307" t="str">
        <x:v>2026 bridge AADT rebuilt from host-link traffic history, annual collection-link history, same-road corridor history and spatial count-station influence. Vehicle-class values are assigned from functional-class shares.</x:v>
      </x:c>
      <x:c r="AF307" t="str">
        <x:v>Placed on exact national road host link</x:v>
      </x:c>
    </x:row>
    <x:row r="308" ht="15" hidden="0" customHeight="1">
      <x:c r="A308" t="str">
        <x:v>bridge-307</x:v>
      </x:c>
      <x:c r="B308" t="str">
        <x:v>B312</x:v>
      </x:c>
      <x:c r="C308" t="str">
        <x:v>APAA BRIDGE</x:v>
      </x:c>
      <x:c r="D308" t="str">
        <x:v>C686_Link03</x:v>
      </x:c>
      <x:c r="E308" t="str">
        <x:v>Awee - Omee Rhino Camp</x:v>
      </x:c>
      <x:c r="F308" t="str">
        <x:v>C</x:v>
      </x:c>
      <x:c r="G308" t="str">
        <x:v>Northern</x:v>
      </x:c>
      <x:c r="H308" t="str">
        <x:v>Gulu</x:v>
      </x:c>
      <x:c r="I308" t="str">
        <x:v>APAA RIVER</x:v>
      </x:c>
      <x:c r="J308" t="str">
        <x:v>Marginal</x:v>
      </x:c>
      <x:c r="K308" t="n">
        <x:v>31.664373</x:v>
      </x:c>
      <x:c r="L308" t="n">
        <x:v>2.87649</x:v>
      </x:c>
      <x:c r="M308" t="n">
        <x:v>31.562411</x:v>
      </x:c>
      <x:c r="N308" t="n">
        <x:v>2.889462</x:v>
      </x:c>
      <x:c r="O308" t="n">
        <x:v>1835.66</x:v>
      </x:c>
      <x:c r="P308" t="n">
        <x:f>IFERROR(INDEX(Assumptions!$B$9:$B$13,MATCH(F308,Assumptions!$A$9:$A$13,0)),0.15)</x:f>
        <x:v>0.28</x:v>
      </x:c>
      <x:c r="Q308" t="n">
        <x:f>ROUND(O308*(1-P308),0)</x:f>
        <x:v>1322</x:v>
      </x:c>
      <x:c r="R308" t="n">
        <x:f>ROUND(O308*P308,0)</x:f>
        <x:v>514</x:v>
      </x:c>
      <x:c r="S308" t="n">
        <x:f>ROUND(O308*IFERROR(INDEX(Assumptions!$C$9:$C$13,MATCH(F308,Assumptions!$A$9:$A$13,0)),0.55),0)</x:f>
        <x:v>918</x:v>
      </x:c>
      <x:c r="T308" t="n">
        <x:f>ROUND(O308*IFERROR(INDEX(Assumptions!$D$9:$D$13,MATCH(F308,Assumptions!$A$9:$A$13,0)),0.06),0)</x:f>
        <x:v>92</x:v>
      </x:c>
      <x:c r="U308" t="n">
        <x:f>ROUND(O308*IFERROR(INDEX(Assumptions!$E$9:$E$13,MATCH(F308,Assumptions!$A$9:$A$13,0)),0.15),0)</x:f>
        <x:v>202</x:v>
      </x:c>
      <x:c r="V308" t="n">
        <x:f>MAX(0,O308-SUM(R308:U308))</x:f>
        <x:v>109.66000000000008</x:v>
      </x:c>
      <x:c r="W308" t="n">
        <x:f>MIN(100,40+IF(O308&gt;0,20,0)+IF(M308&lt;&gt;"",20,0)+IF(AF308&lt;&gt;"",20,0))</x:f>
        <x:v>100</x:v>
      </x:c>
      <x:c r="X308" t="str">
        <x:v>Placed on exact national road host link</x:v>
      </x:c>
      <x:c r="Y308" t="str">
        <x:v>Unpaved</x:v>
      </x:c>
      <x:c r="Z308" t="str">
        <x:v>C</x:v>
      </x:c>
      <x:c r="AA308" t="str">
        <x:v>Not available in governed source</x:v>
      </x:c>
      <x:c r="AB308" t="str">
        <x:v>Not available in governed source</x:v>
      </x:c>
      <x:c r="AC308" t="str">
        <x:v>FY2025/26</x:v>
      </x:c>
      <x:c r="AD308" t="str">
        <x:v>Modelled</x:v>
      </x:c>
      <x:c r="AE308" t="str">
        <x:v>2026 bridge AADT rebuilt from host-link traffic history, annual collection-link history, same-road corridor history and spatial count-station influence. Vehicle-class values are assigned from functional-class shares.</x:v>
      </x:c>
      <x:c r="AF308" t="str">
        <x:v>Placed on exact national road host link</x:v>
      </x:c>
    </x:row>
    <x:row r="309" ht="15" hidden="0" customHeight="1">
      <x:c r="A309" t="str">
        <x:v>bridge-308</x:v>
      </x:c>
      <x:c r="B309" t="str">
        <x:v>B313</x:v>
      </x:c>
      <x:c r="C309" t="str">
        <x:v>OCIIP BRIDGE</x:v>
      </x:c>
      <x:c r="D309" t="str">
        <x:v>C686_Link03</x:v>
      </x:c>
      <x:c r="E309" t="str">
        <x:v>Awee - Omee Rhino Camp</x:v>
      </x:c>
      <x:c r="F309" t="str">
        <x:v>C</x:v>
      </x:c>
      <x:c r="G309" t="str">
        <x:v>Northern</x:v>
      </x:c>
      <x:c r="H309" t="str">
        <x:v>Gulu</x:v>
      </x:c>
      <x:c r="I309" t="str">
        <x:v>OCIIP RIVER</x:v>
      </x:c>
      <x:c r="J309" t="str">
        <x:v>Marginal</x:v>
      </x:c>
      <x:c r="K309" t="n">
        <x:v>31.585808</x:v>
      </x:c>
      <x:c r="L309" t="n">
        <x:v>2.873762</x:v>
      </x:c>
      <x:c r="M309" t="n">
        <x:v>31.586226</x:v>
      </x:c>
      <x:c r="N309" t="n">
        <x:v>2.876257</x:v>
      </x:c>
      <x:c r="O309" t="n">
        <x:v>1835.66</x:v>
      </x:c>
      <x:c r="P309" t="n">
        <x:f>IFERROR(INDEX(Assumptions!$B$9:$B$13,MATCH(F309,Assumptions!$A$9:$A$13,0)),0.15)</x:f>
        <x:v>0.28</x:v>
      </x:c>
      <x:c r="Q309" t="n">
        <x:f>ROUND(O309*(1-P309),0)</x:f>
        <x:v>1322</x:v>
      </x:c>
      <x:c r="R309" t="n">
        <x:f>ROUND(O309*P309,0)</x:f>
        <x:v>514</x:v>
      </x:c>
      <x:c r="S309" t="n">
        <x:f>ROUND(O309*IFERROR(INDEX(Assumptions!$C$9:$C$13,MATCH(F309,Assumptions!$A$9:$A$13,0)),0.55),0)</x:f>
        <x:v>918</x:v>
      </x:c>
      <x:c r="T309" t="n">
        <x:f>ROUND(O309*IFERROR(INDEX(Assumptions!$D$9:$D$13,MATCH(F309,Assumptions!$A$9:$A$13,0)),0.06),0)</x:f>
        <x:v>92</x:v>
      </x:c>
      <x:c r="U309" t="n">
        <x:f>ROUND(O309*IFERROR(INDEX(Assumptions!$E$9:$E$13,MATCH(F309,Assumptions!$A$9:$A$13,0)),0.15),0)</x:f>
        <x:v>202</x:v>
      </x:c>
      <x:c r="V309" t="n">
        <x:f>MAX(0,O309-SUM(R309:U309))</x:f>
        <x:v>109.66000000000008</x:v>
      </x:c>
      <x:c r="W309" t="n">
        <x:f>MIN(100,40+IF(O309&gt;0,20,0)+IF(M309&lt;&gt;"",20,0)+IF(AF309&lt;&gt;"",20,0))</x:f>
        <x:v>100</x:v>
      </x:c>
      <x:c r="X309" t="str">
        <x:v>Placed on exact national road host link</x:v>
      </x:c>
      <x:c r="Y309" t="str">
        <x:v>Unpaved</x:v>
      </x:c>
      <x:c r="Z309" t="str">
        <x:v>C</x:v>
      </x:c>
      <x:c r="AA309" t="str">
        <x:v>Not available in governed source</x:v>
      </x:c>
      <x:c r="AB309" t="str">
        <x:v>Not available in governed source</x:v>
      </x:c>
      <x:c r="AC309" t="str">
        <x:v>FY2025/26</x:v>
      </x:c>
      <x:c r="AD309" t="str">
        <x:v>Modelled</x:v>
      </x:c>
      <x:c r="AE309" t="str">
        <x:v>2026 bridge AADT rebuilt from host-link traffic history, annual collection-link history, same-road corridor history and spatial count-station influence. Vehicle-class values are assigned from functional-class shares.</x:v>
      </x:c>
      <x:c r="AF309" t="str">
        <x:v>Placed on exact national road host link</x:v>
      </x:c>
    </x:row>
    <x:row r="310" ht="15" hidden="0" customHeight="1">
      <x:c r="A310" t="str">
        <x:v>bridge-309</x:v>
      </x:c>
      <x:c r="B310" t="str">
        <x:v>B314</x:v>
      </x:c>
      <x:c r="C310" t="str">
        <x:v>OMEE</x:v>
      </x:c>
      <x:c r="D310" t="str">
        <x:v>C688_Link02</x:v>
      </x:c>
      <x:c r="E310" t="str">
        <x:v>Mungula - Adjumani</x:v>
      </x:c>
      <x:c r="F310" t="str">
        <x:v>C</x:v>
      </x:c>
      <x:c r="G310" t="str">
        <x:v>Northern</x:v>
      </x:c>
      <x:c r="H310" t="str">
        <x:v>Moyo</x:v>
      </x:c>
      <x:c r="I310" t="str">
        <x:v>OMEE</x:v>
      </x:c>
      <x:c r="J310" t="str">
        <x:v>Marginal</x:v>
      </x:c>
      <x:c r="K310" t="n">
        <x:v>31.865665</x:v>
      </x:c>
      <x:c r="L310" t="n">
        <x:v>2.96004</x:v>
      </x:c>
      <x:c r="M310" t="n">
        <x:v>31.861351</x:v>
      </x:c>
      <x:c r="N310" t="n">
        <x:v>2.9635</x:v>
      </x:c>
      <x:c r="O310" t="n">
        <x:v>1208.24</x:v>
      </x:c>
      <x:c r="P310" t="n">
        <x:f>IFERROR(INDEX(Assumptions!$B$9:$B$13,MATCH(F310,Assumptions!$A$9:$A$13,0)),0.15)</x:f>
        <x:v>0.28</x:v>
      </x:c>
      <x:c r="Q310" t="n">
        <x:f>ROUND(O310*(1-P310),0)</x:f>
        <x:v>870</x:v>
      </x:c>
      <x:c r="R310" t="n">
        <x:f>ROUND(O310*P310,0)</x:f>
        <x:v>338</x:v>
      </x:c>
      <x:c r="S310" t="n">
        <x:f>ROUND(O310*IFERROR(INDEX(Assumptions!$C$9:$C$13,MATCH(F310,Assumptions!$A$9:$A$13,0)),0.55),0)</x:f>
        <x:v>604</x:v>
      </x:c>
      <x:c r="T310" t="n">
        <x:f>ROUND(O310*IFERROR(INDEX(Assumptions!$D$9:$D$13,MATCH(F310,Assumptions!$A$9:$A$13,0)),0.06),0)</x:f>
        <x:v>60</x:v>
      </x:c>
      <x:c r="U310" t="n">
        <x:f>ROUND(O310*IFERROR(INDEX(Assumptions!$E$9:$E$13,MATCH(F310,Assumptions!$A$9:$A$13,0)),0.15),0)</x:f>
        <x:v>133</x:v>
      </x:c>
      <x:c r="V310" t="n">
        <x:f>MAX(0,O310-SUM(R310:U310))</x:f>
        <x:v>73.24000000000001</x:v>
      </x:c>
      <x:c r="W310" t="n">
        <x:f>MIN(100,40+IF(O310&gt;0,20,0)+IF(M310&lt;&gt;"",20,0)+IF(AF310&lt;&gt;"",20,0))</x:f>
        <x:v>100</x:v>
      </x:c>
      <x:c r="X310" t="str">
        <x:v>Placed on exact national road host link</x:v>
      </x:c>
      <x:c r="Y310" t="str">
        <x:v>Unpaved</x:v>
      </x:c>
      <x:c r="Z310" t="str">
        <x:v>C</x:v>
      </x:c>
      <x:c r="AA310" t="str">
        <x:v>Not available in governed source</x:v>
      </x:c>
      <x:c r="AB310" t="str">
        <x:v>Not available in governed source</x:v>
      </x:c>
      <x:c r="AC310" t="str">
        <x:v>FY2025/26</x:v>
      </x:c>
      <x:c r="AD310" t="str">
        <x:v>Modelled</x:v>
      </x:c>
      <x:c r="AE310" t="str">
        <x:v>2026 bridge AADT rebuilt from host-link traffic history, annual collection-link history, same-road corridor history and spatial count-station influence. Vehicle-class values are assigned from functional-class shares.</x:v>
      </x:c>
      <x:c r="AF310" t="str">
        <x:v>Placed on exact national road host link</x:v>
      </x:c>
    </x:row>
    <x:row r="311" ht="15" hidden="0" customHeight="1">
      <x:c r="A311" t="str">
        <x:v>bridge-310</x:v>
      </x:c>
      <x:c r="B311" t="str">
        <x:v>B315</x:v>
      </x:c>
      <x:c r="C311" t="str">
        <x:v>ZOKA BRIDGE</x:v>
      </x:c>
      <x:c r="D311" t="str">
        <x:v>C688_Link02</x:v>
      </x:c>
      <x:c r="E311" t="str">
        <x:v>Mungula - Adjumani</x:v>
      </x:c>
      <x:c r="F311" t="str">
        <x:v>C</x:v>
      </x:c>
      <x:c r="G311" t="str">
        <x:v>Northern</x:v>
      </x:c>
      <x:c r="H311" t="str">
        <x:v>Moyo</x:v>
      </x:c>
      <x:c r="I311" t="str">
        <x:v>ZOKA RIVER</x:v>
      </x:c>
      <x:c r="J311" t="str">
        <x:v>Marginal</x:v>
      </x:c>
      <x:c r="K311" t="n">
        <x:v>31.782351</x:v>
      </x:c>
      <x:c r="L311" t="n">
        <x:v>3.089018</x:v>
      </x:c>
      <x:c r="M311" t="n">
        <x:v>31.778776</x:v>
      </x:c>
      <x:c r="N311" t="n">
        <x:v>3.081947</x:v>
      </x:c>
      <x:c r="O311" t="n">
        <x:v>1208.24</x:v>
      </x:c>
      <x:c r="P311" t="n">
        <x:f>IFERROR(INDEX(Assumptions!$B$9:$B$13,MATCH(F311,Assumptions!$A$9:$A$13,0)),0.15)</x:f>
        <x:v>0.28</x:v>
      </x:c>
      <x:c r="Q311" t="n">
        <x:f>ROUND(O311*(1-P311),0)</x:f>
        <x:v>870</x:v>
      </x:c>
      <x:c r="R311" t="n">
        <x:f>ROUND(O311*P311,0)</x:f>
        <x:v>338</x:v>
      </x:c>
      <x:c r="S311" t="n">
        <x:f>ROUND(O311*IFERROR(INDEX(Assumptions!$C$9:$C$13,MATCH(F311,Assumptions!$A$9:$A$13,0)),0.55),0)</x:f>
        <x:v>604</x:v>
      </x:c>
      <x:c r="T311" t="n">
        <x:f>ROUND(O311*IFERROR(INDEX(Assumptions!$D$9:$D$13,MATCH(F311,Assumptions!$A$9:$A$13,0)),0.06),0)</x:f>
        <x:v>60</x:v>
      </x:c>
      <x:c r="U311" t="n">
        <x:f>ROUND(O311*IFERROR(INDEX(Assumptions!$E$9:$E$13,MATCH(F311,Assumptions!$A$9:$A$13,0)),0.15),0)</x:f>
        <x:v>133</x:v>
      </x:c>
      <x:c r="V311" t="n">
        <x:f>MAX(0,O311-SUM(R311:U311))</x:f>
        <x:v>73.24000000000001</x:v>
      </x:c>
      <x:c r="W311" t="n">
        <x:f>MIN(100,40+IF(O311&gt;0,20,0)+IF(M311&lt;&gt;"",20,0)+IF(AF311&lt;&gt;"",20,0))</x:f>
        <x:v>100</x:v>
      </x:c>
      <x:c r="X311" t="str">
        <x:v>Placed on exact national road host link</x:v>
      </x:c>
      <x:c r="Y311" t="str">
        <x:v>Unpaved</x:v>
      </x:c>
      <x:c r="Z311" t="str">
        <x:v>C</x:v>
      </x:c>
      <x:c r="AA311" t="str">
        <x:v>Not available in governed source</x:v>
      </x:c>
      <x:c r="AB311" t="str">
        <x:v>Not available in governed source</x:v>
      </x:c>
      <x:c r="AC311" t="str">
        <x:v>FY2025/26</x:v>
      </x:c>
      <x:c r="AD311" t="str">
        <x:v>Modelled</x:v>
      </x:c>
      <x:c r="AE311" t="str">
        <x:v>2026 bridge AADT rebuilt from host-link traffic history, annual collection-link history, same-road corridor history and spatial count-station influence. Vehicle-class values are assigned from functional-class shares.</x:v>
      </x:c>
      <x:c r="AF311" t="str">
        <x:v>Placed on exact national road host link</x:v>
      </x:c>
    </x:row>
    <x:row r="312" ht="15" hidden="0" customHeight="1">
      <x:c r="A312" t="str">
        <x:v>bridge-311</x:v>
      </x:c>
      <x:c r="B312" t="str">
        <x:v>B316</x:v>
      </x:c>
      <x:c r="C312" t="str">
        <x:v>AYUGI BRIDGE</x:v>
      </x:c>
      <x:c r="D312" t="str">
        <x:v>C689_Link01</x:v>
      </x:c>
      <x:c r="E312" t="str">
        <x:v>Pakele - Pabbo</x:v>
      </x:c>
      <x:c r="F312" t="str">
        <x:v>C</x:v>
      </x:c>
      <x:c r="G312" t="str">
        <x:v>Northern</x:v>
      </x:c>
      <x:c r="H312" t="str">
        <x:v>Moyo</x:v>
      </x:c>
      <x:c r="I312" t="str">
        <x:v>AYUGI RIVER</x:v>
      </x:c>
      <x:c r="J312" t="str">
        <x:v>Good</x:v>
      </x:c>
      <x:c r="K312" t="n">
        <x:v>32.080505</x:v>
      </x:c>
      <x:c r="L312" t="n">
        <x:v>3.110286</x:v>
      </x:c>
      <x:c r="M312" t="n">
        <x:v>32.083169</x:v>
      </x:c>
      <x:c r="N312" t="n">
        <x:v>3.107857</x:v>
      </x:c>
      <x:c r="O312" t="n">
        <x:v>1085.14</x:v>
      </x:c>
      <x:c r="P312" t="n">
        <x:f>IFERROR(INDEX(Assumptions!$B$9:$B$13,MATCH(F312,Assumptions!$A$9:$A$13,0)),0.15)</x:f>
        <x:v>0.28</x:v>
      </x:c>
      <x:c r="Q312" t="n">
        <x:f>ROUND(O312*(1-P312),0)</x:f>
        <x:v>781</x:v>
      </x:c>
      <x:c r="R312" t="n">
        <x:f>ROUND(O312*P312,0)</x:f>
        <x:v>304</x:v>
      </x:c>
      <x:c r="S312" t="n">
        <x:f>ROUND(O312*IFERROR(INDEX(Assumptions!$C$9:$C$13,MATCH(F312,Assumptions!$A$9:$A$13,0)),0.55),0)</x:f>
        <x:v>543</x:v>
      </x:c>
      <x:c r="T312" t="n">
        <x:f>ROUND(O312*IFERROR(INDEX(Assumptions!$D$9:$D$13,MATCH(F312,Assumptions!$A$9:$A$13,0)),0.06),0)</x:f>
        <x:v>54</x:v>
      </x:c>
      <x:c r="U312" t="n">
        <x:f>ROUND(O312*IFERROR(INDEX(Assumptions!$E$9:$E$13,MATCH(F312,Assumptions!$A$9:$A$13,0)),0.15),0)</x:f>
        <x:v>119</x:v>
      </x:c>
      <x:c r="V312" t="n">
        <x:f>MAX(0,O312-SUM(R312:U312))</x:f>
        <x:v>65.1400000000001</x:v>
      </x:c>
      <x:c r="W312" t="n">
        <x:f>MIN(100,40+IF(O312&gt;0,20,0)+IF(M312&lt;&gt;"",20,0)+IF(AF312&lt;&gt;"",20,0))</x:f>
        <x:v>100</x:v>
      </x:c>
      <x:c r="X312" t="str">
        <x:v>Placed on exact national road host link</x:v>
      </x:c>
      <x:c r="Y312" t="str">
        <x:v>Unpaved</x:v>
      </x:c>
      <x:c r="Z312" t="str">
        <x:v>C</x:v>
      </x:c>
      <x:c r="AA312" t="str">
        <x:v>Not available in governed source</x:v>
      </x:c>
      <x:c r="AB312" t="str">
        <x:v>Not available in governed source</x:v>
      </x:c>
      <x:c r="AC312" t="str">
        <x:v>FY2025/26</x:v>
      </x:c>
      <x:c r="AD312" t="str">
        <x:v>Modelled</x:v>
      </x:c>
      <x:c r="AE312" t="str">
        <x:v>2026 bridge AADT rebuilt from host-link traffic history, annual collection-link history, same-road corridor history and spatial count-station influence. Vehicle-class values are assigned from functional-class shares.</x:v>
      </x:c>
      <x:c r="AF312" t="str">
        <x:v>Placed on exact national road host link</x:v>
      </x:c>
    </x:row>
    <x:row r="313" ht="15" hidden="0" customHeight="1">
      <x:c r="A313" t="str">
        <x:v>bridge-312</x:v>
      </x:c>
      <x:c r="B313" t="str">
        <x:v>B317</x:v>
      </x:c>
      <x:c r="C313" t="str">
        <x:v>OPIO</x:v>
      </x:c>
      <x:c r="D313" t="str">
        <x:v>C689_Link01</x:v>
      </x:c>
      <x:c r="E313" t="str">
        <x:v>Pakele - Pabbo</x:v>
      </x:c>
      <x:c r="F313" t="str">
        <x:v>C</x:v>
      </x:c>
      <x:c r="G313" t="str">
        <x:v>Northern</x:v>
      </x:c>
      <x:c r="H313" t="str">
        <x:v>Moyo</x:v>
      </x:c>
      <x:c r="I313" t="str">
        <x:v>OPIO</x:v>
      </x:c>
      <x:c r="J313" t="str">
        <x:v>Poor</x:v>
      </x:c>
      <x:c r="K313" t="n">
        <x:v>32.0089</x:v>
      </x:c>
      <x:c r="L313" t="n">
        <x:v>3.20838</x:v>
      </x:c>
      <x:c r="M313" t="n">
        <x:v>32.029621</x:v>
      </x:c>
      <x:c r="N313" t="n">
        <x:v>3.200465</x:v>
      </x:c>
      <x:c r="O313" t="n">
        <x:v>1085.14</x:v>
      </x:c>
      <x:c r="P313" t="n">
        <x:f>IFERROR(INDEX(Assumptions!$B$9:$B$13,MATCH(F313,Assumptions!$A$9:$A$13,0)),0.15)</x:f>
        <x:v>0.28</x:v>
      </x:c>
      <x:c r="Q313" t="n">
        <x:f>ROUND(O313*(1-P313),0)</x:f>
        <x:v>781</x:v>
      </x:c>
      <x:c r="R313" t="n">
        <x:f>ROUND(O313*P313,0)</x:f>
        <x:v>304</x:v>
      </x:c>
      <x:c r="S313" t="n">
        <x:f>ROUND(O313*IFERROR(INDEX(Assumptions!$C$9:$C$13,MATCH(F313,Assumptions!$A$9:$A$13,0)),0.55),0)</x:f>
        <x:v>543</x:v>
      </x:c>
      <x:c r="T313" t="n">
        <x:f>ROUND(O313*IFERROR(INDEX(Assumptions!$D$9:$D$13,MATCH(F313,Assumptions!$A$9:$A$13,0)),0.06),0)</x:f>
        <x:v>54</x:v>
      </x:c>
      <x:c r="U313" t="n">
        <x:f>ROUND(O313*IFERROR(INDEX(Assumptions!$E$9:$E$13,MATCH(F313,Assumptions!$A$9:$A$13,0)),0.15),0)</x:f>
        <x:v>119</x:v>
      </x:c>
      <x:c r="V313" t="n">
        <x:f>MAX(0,O313-SUM(R313:U313))</x:f>
        <x:v>65.1400000000001</x:v>
      </x:c>
      <x:c r="W313" t="n">
        <x:f>MIN(100,40+IF(O313&gt;0,20,0)+IF(M313&lt;&gt;"",20,0)+IF(AF313&lt;&gt;"",20,0))</x:f>
        <x:v>100</x:v>
      </x:c>
      <x:c r="X313" t="str">
        <x:v>Placed on exact national road host link</x:v>
      </x:c>
      <x:c r="Y313" t="str">
        <x:v>Unpaved</x:v>
      </x:c>
      <x:c r="Z313" t="str">
        <x:v>C</x:v>
      </x:c>
      <x:c r="AA313" t="str">
        <x:v>Not available in governed source</x:v>
      </x:c>
      <x:c r="AB313" t="str">
        <x:v>Not available in governed source</x:v>
      </x:c>
      <x:c r="AC313" t="str">
        <x:v>FY2025/26</x:v>
      </x:c>
      <x:c r="AD313" t="str">
        <x:v>Modelled</x:v>
      </x:c>
      <x:c r="AE313" t="str">
        <x:v>2026 bridge AADT rebuilt from host-link traffic history, annual collection-link history, same-road corridor history and spatial count-station influence. Vehicle-class values are assigned from functional-class shares.</x:v>
      </x:c>
      <x:c r="AF313" t="str">
        <x:v>Placed on exact national road host link</x:v>
      </x:c>
    </x:row>
    <x:row r="314" ht="15" hidden="0" customHeight="1">
      <x:c r="A314" t="str">
        <x:v>bridge-313</x:v>
      </x:c>
      <x:c r="B314" t="str">
        <x:v>B318</x:v>
      </x:c>
      <x:c r="C314" t="str">
        <x:v>AMORO</x:v>
      </x:c>
      <x:c r="D314" t="str">
        <x:v>C689_Link01</x:v>
      </x:c>
      <x:c r="E314" t="str">
        <x:v>Pakele - Pabbo</x:v>
      </x:c>
      <x:c r="F314" t="str">
        <x:v>C</x:v>
      </x:c>
      <x:c r="G314" t="str">
        <x:v>Northern</x:v>
      </x:c>
      <x:c r="H314" t="str">
        <x:v>Moyo</x:v>
      </x:c>
      <x:c r="I314" t="str">
        <x:v>AMORO</x:v>
      </x:c>
      <x:c r="J314" t="str">
        <x:v>Marginal</x:v>
      </x:c>
      <x:c r="K314" t="n">
        <x:v>32.000912</x:v>
      </x:c>
      <x:c r="L314" t="n">
        <x:v>3.209628</x:v>
      </x:c>
      <x:c r="M314" t="n">
        <x:v>32.014659</x:v>
      </x:c>
      <x:c r="N314" t="n">
        <x:v>3.203394</x:v>
      </x:c>
      <x:c r="O314" t="n">
        <x:v>1085.14</x:v>
      </x:c>
      <x:c r="P314" t="n">
        <x:f>IFERROR(INDEX(Assumptions!$B$9:$B$13,MATCH(F314,Assumptions!$A$9:$A$13,0)),0.15)</x:f>
        <x:v>0.28</x:v>
      </x:c>
      <x:c r="Q314" t="n">
        <x:f>ROUND(O314*(1-P314),0)</x:f>
        <x:v>781</x:v>
      </x:c>
      <x:c r="R314" t="n">
        <x:f>ROUND(O314*P314,0)</x:f>
        <x:v>304</x:v>
      </x:c>
      <x:c r="S314" t="n">
        <x:f>ROUND(O314*IFERROR(INDEX(Assumptions!$C$9:$C$13,MATCH(F314,Assumptions!$A$9:$A$13,0)),0.55),0)</x:f>
        <x:v>543</x:v>
      </x:c>
      <x:c r="T314" t="n">
        <x:f>ROUND(O314*IFERROR(INDEX(Assumptions!$D$9:$D$13,MATCH(F314,Assumptions!$A$9:$A$13,0)),0.06),0)</x:f>
        <x:v>54</x:v>
      </x:c>
      <x:c r="U314" t="n">
        <x:f>ROUND(O314*IFERROR(INDEX(Assumptions!$E$9:$E$13,MATCH(F314,Assumptions!$A$9:$A$13,0)),0.15),0)</x:f>
        <x:v>119</x:v>
      </x:c>
      <x:c r="V314" t="n">
        <x:f>MAX(0,O314-SUM(R314:U314))</x:f>
        <x:v>65.1400000000001</x:v>
      </x:c>
      <x:c r="W314" t="n">
        <x:f>MIN(100,40+IF(O314&gt;0,20,0)+IF(M314&lt;&gt;"",20,0)+IF(AF314&lt;&gt;"",20,0))</x:f>
        <x:v>100</x:v>
      </x:c>
      <x:c r="X314" t="str">
        <x:v>Placed on exact national road host link</x:v>
      </x:c>
      <x:c r="Y314" t="str">
        <x:v>Unpaved</x:v>
      </x:c>
      <x:c r="Z314" t="str">
        <x:v>C</x:v>
      </x:c>
      <x:c r="AA314" t="str">
        <x:v>Not available in governed source</x:v>
      </x:c>
      <x:c r="AB314" t="str">
        <x:v>Not available in governed source</x:v>
      </x:c>
      <x:c r="AC314" t="str">
        <x:v>FY2025/26</x:v>
      </x:c>
      <x:c r="AD314" t="str">
        <x:v>Modelled</x:v>
      </x:c>
      <x:c r="AE314" t="str">
        <x:v>2026 bridge AADT rebuilt from host-link traffic history, annual collection-link history, same-road corridor history and spatial count-station influence. Vehicle-class values are assigned from functional-class shares.</x:v>
      </x:c>
      <x:c r="AF314" t="str">
        <x:v>Placed on exact national road host link</x:v>
      </x:c>
    </x:row>
    <x:row r="315" ht="15" hidden="0" customHeight="1">
      <x:c r="A315" t="str">
        <x:v>bridge-314</x:v>
      </x:c>
      <x:c r="B315" t="str">
        <x:v>B319</x:v>
      </x:c>
      <x:c r="C315" t="str">
        <x:v>YUBA BRIDGE</x:v>
      </x:c>
      <x:c r="D315" t="str">
        <x:v>C689_Link01</x:v>
      </x:c>
      <x:c r="E315" t="str">
        <x:v>Pakele - Pabbo</x:v>
      </x:c>
      <x:c r="F315" t="str">
        <x:v>C</x:v>
      </x:c>
      <x:c r="G315" t="str">
        <x:v>Northern</x:v>
      </x:c>
      <x:c r="H315" t="str">
        <x:v>Moyo</x:v>
      </x:c>
      <x:c r="I315" t="str">
        <x:v>YUBA RIVER</x:v>
      </x:c>
      <x:c r="J315" t="str">
        <x:v>Marginal</x:v>
      </x:c>
      <x:c r="K315" t="n">
        <x:v>31.938696</x:v>
      </x:c>
      <x:c r="L315" t="n">
        <x:v>3.239908</x:v>
      </x:c>
      <x:c r="M315" t="n">
        <x:v>32.008854</x:v>
      </x:c>
      <x:c r="N315" t="n">
        <x:v>3.208294</x:v>
      </x:c>
      <x:c r="O315" t="n">
        <x:v>1085.14</x:v>
      </x:c>
      <x:c r="P315" t="n">
        <x:f>IFERROR(INDEX(Assumptions!$B$9:$B$13,MATCH(F315,Assumptions!$A$9:$A$13,0)),0.15)</x:f>
        <x:v>0.28</x:v>
      </x:c>
      <x:c r="Q315" t="n">
        <x:f>ROUND(O315*(1-P315),0)</x:f>
        <x:v>781</x:v>
      </x:c>
      <x:c r="R315" t="n">
        <x:f>ROUND(O315*P315,0)</x:f>
        <x:v>304</x:v>
      </x:c>
      <x:c r="S315" t="n">
        <x:f>ROUND(O315*IFERROR(INDEX(Assumptions!$C$9:$C$13,MATCH(F315,Assumptions!$A$9:$A$13,0)),0.55),0)</x:f>
        <x:v>543</x:v>
      </x:c>
      <x:c r="T315" t="n">
        <x:f>ROUND(O315*IFERROR(INDEX(Assumptions!$D$9:$D$13,MATCH(F315,Assumptions!$A$9:$A$13,0)),0.06),0)</x:f>
        <x:v>54</x:v>
      </x:c>
      <x:c r="U315" t="n">
        <x:f>ROUND(O315*IFERROR(INDEX(Assumptions!$E$9:$E$13,MATCH(F315,Assumptions!$A$9:$A$13,0)),0.15),0)</x:f>
        <x:v>119</x:v>
      </x:c>
      <x:c r="V315" t="n">
        <x:f>MAX(0,O315-SUM(R315:U315))</x:f>
        <x:v>65.1400000000001</x:v>
      </x:c>
      <x:c r="W315" t="n">
        <x:f>MIN(100,40+IF(O315&gt;0,20,0)+IF(M315&lt;&gt;"",20,0)+IF(AF315&lt;&gt;"",20,0))</x:f>
        <x:v>100</x:v>
      </x:c>
      <x:c r="X315" t="str">
        <x:v>Placed on exact national road host link</x:v>
      </x:c>
      <x:c r="Y315" t="str">
        <x:v>Unpaved</x:v>
      </x:c>
      <x:c r="Z315" t="str">
        <x:v>C</x:v>
      </x:c>
      <x:c r="AA315" t="str">
        <x:v>Not available in governed source</x:v>
      </x:c>
      <x:c r="AB315" t="str">
        <x:v>Not available in governed source</x:v>
      </x:c>
      <x:c r="AC315" t="str">
        <x:v>FY2025/26</x:v>
      </x:c>
      <x:c r="AD315" t="str">
        <x:v>Modelled</x:v>
      </x:c>
      <x:c r="AE315" t="str">
        <x:v>2026 bridge AADT rebuilt from host-link traffic history, annual collection-link history, same-road corridor history and spatial count-station influence. Vehicle-class values are assigned from functional-class shares.</x:v>
      </x:c>
      <x:c r="AF315" t="str">
        <x:v>Placed on exact national road host link</x:v>
      </x:c>
    </x:row>
    <x:row r="316" ht="15" hidden="0" customHeight="1">
      <x:c r="A316" t="str">
        <x:v>bridge-315</x:v>
      </x:c>
      <x:c r="B316" t="str">
        <x:v>B320</x:v>
      </x:c>
      <x:c r="C316" t="str">
        <x:v>ADIDI</x:v>
      </x:c>
      <x:c r="D316" t="str">
        <x:v>C689_Link01</x:v>
      </x:c>
      <x:c r="E316" t="str">
        <x:v>Pakele - Pabbo</x:v>
      </x:c>
      <x:c r="F316" t="str">
        <x:v>C</x:v>
      </x:c>
      <x:c r="G316" t="str">
        <x:v>Northern</x:v>
      </x:c>
      <x:c r="H316" t="str">
        <x:v>Moyo</x:v>
      </x:c>
      <x:c r="I316" t="str">
        <x:v>ADIDI</x:v>
      </x:c>
      <x:c r="J316" t="str">
        <x:v>Good</x:v>
      </x:c>
      <x:c r="K316" t="n">
        <x:v>31.891741</x:v>
      </x:c>
      <x:c r="L316" t="n">
        <x:v>3.31618</x:v>
      </x:c>
      <x:c r="M316" t="n">
        <x:v>31.945193</x:v>
      </x:c>
      <x:c r="N316" t="n">
        <x:v>3.236243</x:v>
      </x:c>
      <x:c r="O316" t="n">
        <x:v>1085.14</x:v>
      </x:c>
      <x:c r="P316" t="n">
        <x:f>IFERROR(INDEX(Assumptions!$B$9:$B$13,MATCH(F316,Assumptions!$A$9:$A$13,0)),0.15)</x:f>
        <x:v>0.28</x:v>
      </x:c>
      <x:c r="Q316" t="n">
        <x:f>ROUND(O316*(1-P316),0)</x:f>
        <x:v>781</x:v>
      </x:c>
      <x:c r="R316" t="n">
        <x:f>ROUND(O316*P316,0)</x:f>
        <x:v>304</x:v>
      </x:c>
      <x:c r="S316" t="n">
        <x:f>ROUND(O316*IFERROR(INDEX(Assumptions!$C$9:$C$13,MATCH(F316,Assumptions!$A$9:$A$13,0)),0.55),0)</x:f>
        <x:v>543</x:v>
      </x:c>
      <x:c r="T316" t="n">
        <x:f>ROUND(O316*IFERROR(INDEX(Assumptions!$D$9:$D$13,MATCH(F316,Assumptions!$A$9:$A$13,0)),0.06),0)</x:f>
        <x:v>54</x:v>
      </x:c>
      <x:c r="U316" t="n">
        <x:f>ROUND(O316*IFERROR(INDEX(Assumptions!$E$9:$E$13,MATCH(F316,Assumptions!$A$9:$A$13,0)),0.15),0)</x:f>
        <x:v>119</x:v>
      </x:c>
      <x:c r="V316" t="n">
        <x:f>MAX(0,O316-SUM(R316:U316))</x:f>
        <x:v>65.1400000000001</x:v>
      </x:c>
      <x:c r="W316" t="n">
        <x:f>MIN(100,40+IF(O316&gt;0,20,0)+IF(M316&lt;&gt;"",20,0)+IF(AF316&lt;&gt;"",20,0))</x:f>
        <x:v>100</x:v>
      </x:c>
      <x:c r="X316" t="str">
        <x:v>Placed on exact national road host link</x:v>
      </x:c>
      <x:c r="Y316" t="str">
        <x:v>Unpaved</x:v>
      </x:c>
      <x:c r="Z316" t="str">
        <x:v>C</x:v>
      </x:c>
      <x:c r="AA316" t="str">
        <x:v>Not available in governed source</x:v>
      </x:c>
      <x:c r="AB316" t="str">
        <x:v>Not available in governed source</x:v>
      </x:c>
      <x:c r="AC316" t="str">
        <x:v>FY2025/26</x:v>
      </x:c>
      <x:c r="AD316" t="str">
        <x:v>Modelled</x:v>
      </x:c>
      <x:c r="AE316" t="str">
        <x:v>2026 bridge AADT rebuilt from host-link traffic history, annual collection-link history, same-road corridor history and spatial count-station influence. Vehicle-class values are assigned from functional-class shares.</x:v>
      </x:c>
      <x:c r="AF316" t="str">
        <x:v>Placed on exact national road host link</x:v>
      </x:c>
    </x:row>
    <x:row r="317" ht="15" hidden="0" customHeight="1">
      <x:c r="A317" t="str">
        <x:v>bridge-316</x:v>
      </x:c>
      <x:c r="B317" t="str">
        <x:v>B321</x:v>
      </x:c>
      <x:c r="C317" t="str">
        <x:v>ODRAGI BRIDGE</x:v>
      </x:c>
      <x:c r="D317" t="str">
        <x:v>C689_Link01</x:v>
      </x:c>
      <x:c r="E317" t="str">
        <x:v>Pakele - Pabbo</x:v>
      </x:c>
      <x:c r="F317" t="str">
        <x:v>C</x:v>
      </x:c>
      <x:c r="G317" t="str">
        <x:v>Northern</x:v>
      </x:c>
      <x:c r="H317" t="str">
        <x:v>Moyo</x:v>
      </x:c>
      <x:c r="I317" t="str">
        <x:v>ODRAGI RIVER</x:v>
      </x:c>
      <x:c r="J317" t="str">
        <x:v>Marginal</x:v>
      </x:c>
      <x:c r="K317" t="n">
        <x:v>31.868849</x:v>
      </x:c>
      <x:c r="L317" t="n">
        <x:v>3.3366</x:v>
      </x:c>
      <x:c r="M317" t="n">
        <x:v>31.945193</x:v>
      </x:c>
      <x:c r="N317" t="n">
        <x:v>3.236243</x:v>
      </x:c>
      <x:c r="O317" t="n">
        <x:v>1085.14</x:v>
      </x:c>
      <x:c r="P317" t="n">
        <x:f>IFERROR(INDEX(Assumptions!$B$9:$B$13,MATCH(F317,Assumptions!$A$9:$A$13,0)),0.15)</x:f>
        <x:v>0.28</x:v>
      </x:c>
      <x:c r="Q317" t="n">
        <x:f>ROUND(O317*(1-P317),0)</x:f>
        <x:v>781</x:v>
      </x:c>
      <x:c r="R317" t="n">
        <x:f>ROUND(O317*P317,0)</x:f>
        <x:v>304</x:v>
      </x:c>
      <x:c r="S317" t="n">
        <x:f>ROUND(O317*IFERROR(INDEX(Assumptions!$C$9:$C$13,MATCH(F317,Assumptions!$A$9:$A$13,0)),0.55),0)</x:f>
        <x:v>543</x:v>
      </x:c>
      <x:c r="T317" t="n">
        <x:f>ROUND(O317*IFERROR(INDEX(Assumptions!$D$9:$D$13,MATCH(F317,Assumptions!$A$9:$A$13,0)),0.06),0)</x:f>
        <x:v>54</x:v>
      </x:c>
      <x:c r="U317" t="n">
        <x:f>ROUND(O317*IFERROR(INDEX(Assumptions!$E$9:$E$13,MATCH(F317,Assumptions!$A$9:$A$13,0)),0.15),0)</x:f>
        <x:v>119</x:v>
      </x:c>
      <x:c r="V317" t="n">
        <x:f>MAX(0,O317-SUM(R317:U317))</x:f>
        <x:v>65.1400000000001</x:v>
      </x:c>
      <x:c r="W317" t="n">
        <x:f>MIN(100,40+IF(O317&gt;0,20,0)+IF(M317&lt;&gt;"",20,0)+IF(AF317&lt;&gt;"",20,0))</x:f>
        <x:v>100</x:v>
      </x:c>
      <x:c r="X317" t="str">
        <x:v>Placed on exact national road host link</x:v>
      </x:c>
      <x:c r="Y317" t="str">
        <x:v>Unpaved</x:v>
      </x:c>
      <x:c r="Z317" t="str">
        <x:v>C</x:v>
      </x:c>
      <x:c r="AA317" t="str">
        <x:v>Not available in governed source</x:v>
      </x:c>
      <x:c r="AB317" t="str">
        <x:v>Not available in governed source</x:v>
      </x:c>
      <x:c r="AC317" t="str">
        <x:v>FY2025/26</x:v>
      </x:c>
      <x:c r="AD317" t="str">
        <x:v>Modelled</x:v>
      </x:c>
      <x:c r="AE317" t="str">
        <x:v>2026 bridge AADT rebuilt from host-link traffic history, annual collection-link history, same-road corridor history and spatial count-station influence. Vehicle-class values are assigned from functional-class shares.</x:v>
      </x:c>
      <x:c r="AF317" t="str">
        <x:v>Placed on exact national road host link</x:v>
      </x:c>
    </x:row>
    <x:row r="318" ht="15" hidden="0" customHeight="1">
      <x:c r="A318" t="str">
        <x:v>bridge-317</x:v>
      </x:c>
      <x:c r="B318" t="str">
        <x:v>B323</x:v>
      </x:c>
      <x:c r="C318" t="str">
        <x:v>AGAGURA</x:v>
      </x:c>
      <x:c r="D318" t="str">
        <x:v>C682_Link01</x:v>
      </x:c>
      <x:c r="E318" t="str">
        <x:v>Gulu - Logere - Adee</x:v>
      </x:c>
      <x:c r="F318" t="str">
        <x:v>C</x:v>
      </x:c>
      <x:c r="G318" t="str">
        <x:v>Northern</x:v>
      </x:c>
      <x:c r="H318" t="str">
        <x:v>Gulu</x:v>
      </x:c>
      <x:c r="I318" t="str">
        <x:v>AGUGURA</x:v>
      </x:c>
      <x:c r="J318" t="str">
        <x:v>Critical</x:v>
      </x:c>
      <x:c r="K318" t="n">
        <x:v>32.339451</x:v>
      </x:c>
      <x:c r="L318" t="n">
        <x:v>3.22894</x:v>
      </x:c>
      <x:c r="M318" t="n">
        <x:v>32.29396</x:v>
      </x:c>
      <x:c r="N318" t="n">
        <x:v>2.78376</x:v>
      </x:c>
      <x:c r="O318" t="n">
        <x:v>1651.62</x:v>
      </x:c>
      <x:c r="P318" t="n">
        <x:f>IFERROR(INDEX(Assumptions!$B$9:$B$13,MATCH(F318,Assumptions!$A$9:$A$13,0)),0.15)</x:f>
        <x:v>0.28</x:v>
      </x:c>
      <x:c r="Q318" t="n">
        <x:f>ROUND(O318*(1-P318),0)</x:f>
        <x:v>1189</x:v>
      </x:c>
      <x:c r="R318" t="n">
        <x:f>ROUND(O318*P318,0)</x:f>
        <x:v>462</x:v>
      </x:c>
      <x:c r="S318" t="n">
        <x:f>ROUND(O318*IFERROR(INDEX(Assumptions!$C$9:$C$13,MATCH(F318,Assumptions!$A$9:$A$13,0)),0.55),0)</x:f>
        <x:v>826</x:v>
      </x:c>
      <x:c r="T318" t="n">
        <x:f>ROUND(O318*IFERROR(INDEX(Assumptions!$D$9:$D$13,MATCH(F318,Assumptions!$A$9:$A$13,0)),0.06),0)</x:f>
        <x:v>83</x:v>
      </x:c>
      <x:c r="U318" t="n">
        <x:f>ROUND(O318*IFERROR(INDEX(Assumptions!$E$9:$E$13,MATCH(F318,Assumptions!$A$9:$A$13,0)),0.15),0)</x:f>
        <x:v>182</x:v>
      </x:c>
      <x:c r="V318" t="n">
        <x:f>MAX(0,O318-SUM(R318:U318))</x:f>
        <x:v>98.61999999999989</x:v>
      </x:c>
      <x:c r="W318" t="n">
        <x:f>MIN(100,40+IF(O318&gt;0,20,0)+IF(M318&lt;&gt;"",20,0)+IF(AF318&lt;&gt;"",20,0))</x:f>
        <x:v>100</x:v>
      </x:c>
      <x:c r="X318" t="str">
        <x:v>Placed on exact national road host link</x:v>
      </x:c>
      <x:c r="Y318" t="str">
        <x:v>Unpaved</x:v>
      </x:c>
      <x:c r="Z318" t="str">
        <x:v>C</x:v>
      </x:c>
      <x:c r="AA318" t="str">
        <x:v>Not available in governed source</x:v>
      </x:c>
      <x:c r="AB318" t="str">
        <x:v>Not available in governed source</x:v>
      </x:c>
      <x:c r="AC318" t="str">
        <x:v>FY2025/26</x:v>
      </x:c>
      <x:c r="AD318" t="str">
        <x:v>Modelled</x:v>
      </x:c>
      <x:c r="AE318" t="str">
        <x:v>2026 bridge AADT rebuilt from host-link traffic history, annual collection-link history, same-road corridor history and spatial count-station influence. Vehicle-class values are assigned from functional-class shares.</x:v>
      </x:c>
      <x:c r="AF318" t="str">
        <x:v>Placed on exact national road host link</x:v>
      </x:c>
    </x:row>
    <x:row r="319" ht="15" hidden="0" customHeight="1">
      <x:c r="A319" t="str">
        <x:v>bridge-318</x:v>
      </x:c>
      <x:c r="B319" t="str">
        <x:v>B324</x:v>
      </x:c>
      <x:c r="C319" t="str">
        <x:v>LAGWEL BRIDGE</x:v>
      </x:c>
      <x:c r="D319" t="str">
        <x:v>C704_Link01</x:v>
      </x:c>
      <x:c r="E319" t="str">
        <x:v>Palabek - Padibe</x:v>
      </x:c>
      <x:c r="F319" t="str">
        <x:v>C</x:v>
      </x:c>
      <x:c r="G319" t="str">
        <x:v>Northern</x:v>
      </x:c>
      <x:c r="H319" t="str">
        <x:v>Kitgum</x:v>
      </x:c>
      <x:c r="I319" t="str">
        <x:v>LAGWEL RIVER</x:v>
      </x:c>
      <x:c r="J319" t="str">
        <x:v>Marginal</x:v>
      </x:c>
      <x:c r="K319" t="n">
        <x:v>32.827736</x:v>
      </x:c>
      <x:c r="L319" t="n">
        <x:v>3.466091</x:v>
      </x:c>
      <x:c r="M319" t="n">
        <x:v>32.827749</x:v>
      </x:c>
      <x:c r="N319" t="n">
        <x:v>3.466212</x:v>
      </x:c>
      <x:c r="O319" t="n">
        <x:v>365.7</x:v>
      </x:c>
      <x:c r="P319" t="n">
        <x:f>IFERROR(INDEX(Assumptions!$B$9:$B$13,MATCH(F319,Assumptions!$A$9:$A$13,0)),0.15)</x:f>
        <x:v>0.28</x:v>
      </x:c>
      <x:c r="Q319" t="n">
        <x:f>ROUND(O319*(1-P319),0)</x:f>
        <x:v>263</x:v>
      </x:c>
      <x:c r="R319" t="n">
        <x:f>ROUND(O319*P319,0)</x:f>
        <x:v>102</x:v>
      </x:c>
      <x:c r="S319" t="n">
        <x:f>ROUND(O319*IFERROR(INDEX(Assumptions!$C$9:$C$13,MATCH(F319,Assumptions!$A$9:$A$13,0)),0.55),0)</x:f>
        <x:v>183</x:v>
      </x:c>
      <x:c r="T319" t="n">
        <x:f>ROUND(O319*IFERROR(INDEX(Assumptions!$D$9:$D$13,MATCH(F319,Assumptions!$A$9:$A$13,0)),0.06),0)</x:f>
        <x:v>18</x:v>
      </x:c>
      <x:c r="U319" t="n">
        <x:f>ROUND(O319*IFERROR(INDEX(Assumptions!$E$9:$E$13,MATCH(F319,Assumptions!$A$9:$A$13,0)),0.15),0)</x:f>
        <x:v>40</x:v>
      </x:c>
      <x:c r="V319" t="n">
        <x:f>MAX(0,O319-SUM(R319:U319))</x:f>
        <x:v>22.69999999999999</x:v>
      </x:c>
      <x:c r="W319" t="n">
        <x:f>MIN(100,40+IF(O319&gt;0,20,0)+IF(M319&lt;&gt;"",20,0)+IF(AF319&lt;&gt;"",20,0))</x:f>
        <x:v>100</x:v>
      </x:c>
      <x:c r="X319" t="str">
        <x:v>Placed on exact national road host link</x:v>
      </x:c>
      <x:c r="Y319" t="str">
        <x:v>Unpaved</x:v>
      </x:c>
      <x:c r="Z319" t="str">
        <x:v>C</x:v>
      </x:c>
      <x:c r="AA319" t="str">
        <x:v>Not available in governed source</x:v>
      </x:c>
      <x:c r="AB319" t="str">
        <x:v>Not available in governed source</x:v>
      </x:c>
      <x:c r="AC319" t="str">
        <x:v>FY2025/26</x:v>
      </x:c>
      <x:c r="AD319" t="str">
        <x:v>Modelled</x:v>
      </x:c>
      <x:c r="AE319" t="str">
        <x:v>2026 bridge AADT rebuilt from host-link traffic history, annual collection-link history, same-road corridor history and spatial count-station influence. Vehicle-class values are assigned from functional-class shares.</x:v>
      </x:c>
      <x:c r="AF319" t="str">
        <x:v>Placed on exact national road host link</x:v>
      </x:c>
    </x:row>
    <x:row r="320" ht="15" hidden="0" customHeight="1">
      <x:c r="A320" t="str">
        <x:v>bridge-319</x:v>
      </x:c>
      <x:c r="B320" t="str">
        <x:v>B325</x:v>
      </x:c>
      <x:c r="C320" t="str">
        <x:v>PAUO BRIDGE</x:v>
      </x:c>
      <x:c r="D320" t="str">
        <x:v>C704_Link01</x:v>
      </x:c>
      <x:c r="E320" t="str">
        <x:v>Palabek - Padibe</x:v>
      </x:c>
      <x:c r="F320" t="str">
        <x:v>C</x:v>
      </x:c>
      <x:c r="G320" t="str">
        <x:v>Northern</x:v>
      </x:c>
      <x:c r="H320" t="str">
        <x:v>Kitgum</x:v>
      </x:c>
      <x:c r="I320" t="str">
        <x:v>PAUO RIVER</x:v>
      </x:c>
      <x:c r="J320" t="str">
        <x:v>Marginal</x:v>
      </x:c>
      <x:c r="K320" t="n">
        <x:v>32.703831</x:v>
      </x:c>
      <x:c r="L320" t="n">
        <x:v>3.428221</x:v>
      </x:c>
      <x:c r="M320" t="n">
        <x:v>32.633378</x:v>
      </x:c>
      <x:c r="N320" t="n">
        <x:v>3.401589</x:v>
      </x:c>
      <x:c r="O320" t="n">
        <x:v>365.7</x:v>
      </x:c>
      <x:c r="P320" t="n">
        <x:f>IFERROR(INDEX(Assumptions!$B$9:$B$13,MATCH(F320,Assumptions!$A$9:$A$13,0)),0.15)</x:f>
        <x:v>0.28</x:v>
      </x:c>
      <x:c r="Q320" t="n">
        <x:f>ROUND(O320*(1-P320),0)</x:f>
        <x:v>263</x:v>
      </x:c>
      <x:c r="R320" t="n">
        <x:f>ROUND(O320*P320,0)</x:f>
        <x:v>102</x:v>
      </x:c>
      <x:c r="S320" t="n">
        <x:f>ROUND(O320*IFERROR(INDEX(Assumptions!$C$9:$C$13,MATCH(F320,Assumptions!$A$9:$A$13,0)),0.55),0)</x:f>
        <x:v>183</x:v>
      </x:c>
      <x:c r="T320" t="n">
        <x:f>ROUND(O320*IFERROR(INDEX(Assumptions!$D$9:$D$13,MATCH(F320,Assumptions!$A$9:$A$13,0)),0.06),0)</x:f>
        <x:v>18</x:v>
      </x:c>
      <x:c r="U320" t="n">
        <x:f>ROUND(O320*IFERROR(INDEX(Assumptions!$E$9:$E$13,MATCH(F320,Assumptions!$A$9:$A$13,0)),0.15),0)</x:f>
        <x:v>40</x:v>
      </x:c>
      <x:c r="V320" t="n">
        <x:f>MAX(0,O320-SUM(R320:U320))</x:f>
        <x:v>22.69999999999999</x:v>
      </x:c>
      <x:c r="W320" t="n">
        <x:f>MIN(100,40+IF(O320&gt;0,20,0)+IF(M320&lt;&gt;"",20,0)+IF(AF320&lt;&gt;"",20,0))</x:f>
        <x:v>100</x:v>
      </x:c>
      <x:c r="X320" t="str">
        <x:v>Placed on exact national road host link</x:v>
      </x:c>
      <x:c r="Y320" t="str">
        <x:v>Unpaved</x:v>
      </x:c>
      <x:c r="Z320" t="str">
        <x:v>C</x:v>
      </x:c>
      <x:c r="AA320" t="str">
        <x:v>Not available in governed source</x:v>
      </x:c>
      <x:c r="AB320" t="str">
        <x:v>Not available in governed source</x:v>
      </x:c>
      <x:c r="AC320" t="str">
        <x:v>FY2025/26</x:v>
      </x:c>
      <x:c r="AD320" t="str">
        <x:v>Modelled</x:v>
      </x:c>
      <x:c r="AE320" t="str">
        <x:v>2026 bridge AADT rebuilt from host-link traffic history, annual collection-link history, same-road corridor history and spatial count-station influence. Vehicle-class values are assigned from functional-class shares.</x:v>
      </x:c>
      <x:c r="AF320" t="str">
        <x:v>Placed on exact national road host link</x:v>
      </x:c>
    </x:row>
    <x:row r="321" ht="15" hidden="0" customHeight="1">
      <x:c r="A321" t="str">
        <x:v>bridge-320</x:v>
      </x:c>
      <x:c r="B321" t="str">
        <x:v>B326</x:v>
      </x:c>
      <x:c r="C321" t="str">
        <x:v>OKWORA BRIDGE</x:v>
      </x:c>
      <x:c r="D321" t="str">
        <x:v>C705_Link02</x:v>
      </x:c>
      <x:c r="E321" t="str">
        <x:v>Paloga - Madiopei</x:v>
      </x:c>
      <x:c r="F321" t="str">
        <x:v>C</x:v>
      </x:c>
      <x:c r="G321" t="str">
        <x:v>Northern</x:v>
      </x:c>
      <x:c r="H321" t="str">
        <x:v>Kitgum</x:v>
      </x:c>
      <x:c r="I321" t="str">
        <x:v>OKWORA BRIDGE</x:v>
      </x:c>
      <x:c r="J321" t="str">
        <x:v>Poor</x:v>
      </x:c>
      <x:c r="K321" t="n">
        <x:v>33.05547</x:v>
      </x:c>
      <x:c r="L321" t="n">
        <x:v>3.612535</x:v>
      </x:c>
      <x:c r="M321" t="n">
        <x:v>32.920853</x:v>
      </x:c>
      <x:c r="N321" t="n">
        <x:v>3.576726</x:v>
      </x:c>
      <x:c r="O321" t="n">
        <x:v>365.7</x:v>
      </x:c>
      <x:c r="P321" t="n">
        <x:f>IFERROR(INDEX(Assumptions!$B$9:$B$13,MATCH(F321,Assumptions!$A$9:$A$13,0)),0.15)</x:f>
        <x:v>0.28</x:v>
      </x:c>
      <x:c r="Q321" t="n">
        <x:f>ROUND(O321*(1-P321),0)</x:f>
        <x:v>263</x:v>
      </x:c>
      <x:c r="R321" t="n">
        <x:f>ROUND(O321*P321,0)</x:f>
        <x:v>102</x:v>
      </x:c>
      <x:c r="S321" t="n">
        <x:f>ROUND(O321*IFERROR(INDEX(Assumptions!$C$9:$C$13,MATCH(F321,Assumptions!$A$9:$A$13,0)),0.55),0)</x:f>
        <x:v>183</x:v>
      </x:c>
      <x:c r="T321" t="n">
        <x:f>ROUND(O321*IFERROR(INDEX(Assumptions!$D$9:$D$13,MATCH(F321,Assumptions!$A$9:$A$13,0)),0.06),0)</x:f>
        <x:v>18</x:v>
      </x:c>
      <x:c r="U321" t="n">
        <x:f>ROUND(O321*IFERROR(INDEX(Assumptions!$E$9:$E$13,MATCH(F321,Assumptions!$A$9:$A$13,0)),0.15),0)</x:f>
        <x:v>40</x:v>
      </x:c>
      <x:c r="V321" t="n">
        <x:f>MAX(0,O321-SUM(R321:U321))</x:f>
        <x:v>22.69999999999999</x:v>
      </x:c>
      <x:c r="W321" t="n">
        <x:f>MIN(100,40+IF(O321&gt;0,20,0)+IF(M321&lt;&gt;"",20,0)+IF(AF321&lt;&gt;"",20,0))</x:f>
        <x:v>100</x:v>
      </x:c>
      <x:c r="X321" t="str">
        <x:v>Placed on exact national road host link</x:v>
      </x:c>
      <x:c r="Y321" t="str">
        <x:v>Unpaved</x:v>
      </x:c>
      <x:c r="Z321" t="str">
        <x:v>C</x:v>
      </x:c>
      <x:c r="AA321" t="str">
        <x:v>Not available in governed source</x:v>
      </x:c>
      <x:c r="AB321" t="str">
        <x:v>Not available in governed source</x:v>
      </x:c>
      <x:c r="AC321" t="str">
        <x:v>FY2025/26</x:v>
      </x:c>
      <x:c r="AD321" t="str">
        <x:v>Modelled</x:v>
      </x:c>
      <x:c r="AE321" t="str">
        <x:v>2026 bridge AADT rebuilt from host-link traffic history, annual collection-link history, same-road corridor history and spatial count-station influence. Vehicle-class values are assigned from functional-class shares.</x:v>
      </x:c>
      <x:c r="AF321" t="str">
        <x:v>Placed on exact national road host link</x:v>
      </x:c>
    </x:row>
    <x:row r="322" ht="15" hidden="0" customHeight="1">
      <x:c r="A322" t="str">
        <x:v>bridge-321</x:v>
      </x:c>
      <x:c r="B322" t="str">
        <x:v>B327</x:v>
      </x:c>
      <x:c r="C322" t="str">
        <x:v>ARINGA BRIDGE</x:v>
      </x:c>
      <x:c r="D322" t="str">
        <x:v>C705_Link02</x:v>
      </x:c>
      <x:c r="E322" t="str">
        <x:v>Paloga - Madiopei</x:v>
      </x:c>
      <x:c r="F322" t="str">
        <x:v>C</x:v>
      </x:c>
      <x:c r="G322" t="str">
        <x:v>Northern</x:v>
      </x:c>
      <x:c r="H322" t="str">
        <x:v>Kitgum</x:v>
      </x:c>
      <x:c r="I322" t="str">
        <x:v>ARINGA RIVER</x:v>
      </x:c>
      <x:c r="J322" t="str">
        <x:v>Marginal</x:v>
      </x:c>
      <x:c r="K322" t="n">
        <x:v>32.950226</x:v>
      </x:c>
      <x:c r="L322" t="n">
        <x:v>3.592536</x:v>
      </x:c>
      <x:c r="M322" t="n">
        <x:v>32.94454</x:v>
      </x:c>
      <x:c r="N322" t="n">
        <x:v>3.58966</x:v>
      </x:c>
      <x:c r="O322" t="n">
        <x:v>365.7</x:v>
      </x:c>
      <x:c r="P322" t="n">
        <x:f>IFERROR(INDEX(Assumptions!$B$9:$B$13,MATCH(F322,Assumptions!$A$9:$A$13,0)),0.15)</x:f>
        <x:v>0.28</x:v>
      </x:c>
      <x:c r="Q322" t="n">
        <x:f>ROUND(O322*(1-P322),0)</x:f>
        <x:v>263</x:v>
      </x:c>
      <x:c r="R322" t="n">
        <x:f>ROUND(O322*P322,0)</x:f>
        <x:v>102</x:v>
      </x:c>
      <x:c r="S322" t="n">
        <x:f>ROUND(O322*IFERROR(INDEX(Assumptions!$C$9:$C$13,MATCH(F322,Assumptions!$A$9:$A$13,0)),0.55),0)</x:f>
        <x:v>183</x:v>
      </x:c>
      <x:c r="T322" t="n">
        <x:f>ROUND(O322*IFERROR(INDEX(Assumptions!$D$9:$D$13,MATCH(F322,Assumptions!$A$9:$A$13,0)),0.06),0)</x:f>
        <x:v>18</x:v>
      </x:c>
      <x:c r="U322" t="n">
        <x:f>ROUND(O322*IFERROR(INDEX(Assumptions!$E$9:$E$13,MATCH(F322,Assumptions!$A$9:$A$13,0)),0.15),0)</x:f>
        <x:v>40</x:v>
      </x:c>
      <x:c r="V322" t="n">
        <x:f>MAX(0,O322-SUM(R322:U322))</x:f>
        <x:v>22.69999999999999</x:v>
      </x:c>
      <x:c r="W322" t="n">
        <x:f>MIN(100,40+IF(O322&gt;0,20,0)+IF(M322&lt;&gt;"",20,0)+IF(AF322&lt;&gt;"",20,0))</x:f>
        <x:v>100</x:v>
      </x:c>
      <x:c r="X322" t="str">
        <x:v>Placed on exact national road host link</x:v>
      </x:c>
      <x:c r="Y322" t="str">
        <x:v>Unpaved</x:v>
      </x:c>
      <x:c r="Z322" t="str">
        <x:v>C</x:v>
      </x:c>
      <x:c r="AA322" t="str">
        <x:v>Not available in governed source</x:v>
      </x:c>
      <x:c r="AB322" t="str">
        <x:v>Not available in governed source</x:v>
      </x:c>
      <x:c r="AC322" t="str">
        <x:v>FY2025/26</x:v>
      </x:c>
      <x:c r="AD322" t="str">
        <x:v>Modelled</x:v>
      </x:c>
      <x:c r="AE322" t="str">
        <x:v>2026 bridge AADT rebuilt from host-link traffic history, annual collection-link history, same-road corridor history and spatial count-station influence. Vehicle-class values are assigned from functional-class shares.</x:v>
      </x:c>
      <x:c r="AF322" t="str">
        <x:v>Placed on exact national road host link</x:v>
      </x:c>
    </x:row>
    <x:row r="323" ht="15" hidden="0" customHeight="1">
      <x:c r="A323" t="str">
        <x:v>bridge-322</x:v>
      </x:c>
      <x:c r="B323" t="str">
        <x:v>B328</x:v>
      </x:c>
      <x:c r="C323" t="str">
        <x:v>ARINGA BRIDGE</x:v>
      </x:c>
      <x:c r="D323" t="str">
        <x:v>C706_Link02</x:v>
      </x:c>
      <x:c r="E323" t="str">
        <x:v>Potika - Lututur</x:v>
      </x:c>
      <x:c r="F323" t="str">
        <x:v>C</x:v>
      </x:c>
      <x:c r="G323" t="str">
        <x:v>Northern</x:v>
      </x:c>
      <x:c r="H323" t="str">
        <x:v>Kitgum</x:v>
      </x:c>
      <x:c r="I323" t="str">
        <x:v>ARINGA RIVER</x:v>
      </x:c>
      <x:c r="J323" t="str">
        <x:v>Satisfactory</x:v>
      </x:c>
      <x:c r="K323" t="n">
        <x:v>32.894608</x:v>
      </x:c>
      <x:c r="L323" t="n">
        <x:v>3.716738</x:v>
      </x:c>
      <x:c r="M323" t="n">
        <x:v>32.891259</x:v>
      </x:c>
      <x:c r="N323" t="n">
        <x:v>3.718161</x:v>
      </x:c>
      <x:c r="O323" t="n">
        <x:v>365.7</x:v>
      </x:c>
      <x:c r="P323" t="n">
        <x:f>IFERROR(INDEX(Assumptions!$B$9:$B$13,MATCH(F323,Assumptions!$A$9:$A$13,0)),0.15)</x:f>
        <x:v>0.28</x:v>
      </x:c>
      <x:c r="Q323" t="n">
        <x:f>ROUND(O323*(1-P323),0)</x:f>
        <x:v>263</x:v>
      </x:c>
      <x:c r="R323" t="n">
        <x:f>ROUND(O323*P323,0)</x:f>
        <x:v>102</x:v>
      </x:c>
      <x:c r="S323" t="n">
        <x:f>ROUND(O323*IFERROR(INDEX(Assumptions!$C$9:$C$13,MATCH(F323,Assumptions!$A$9:$A$13,0)),0.55),0)</x:f>
        <x:v>183</x:v>
      </x:c>
      <x:c r="T323" t="n">
        <x:f>ROUND(O323*IFERROR(INDEX(Assumptions!$D$9:$D$13,MATCH(F323,Assumptions!$A$9:$A$13,0)),0.06),0)</x:f>
        <x:v>18</x:v>
      </x:c>
      <x:c r="U323" t="n">
        <x:f>ROUND(O323*IFERROR(INDEX(Assumptions!$E$9:$E$13,MATCH(F323,Assumptions!$A$9:$A$13,0)),0.15),0)</x:f>
        <x:v>40</x:v>
      </x:c>
      <x:c r="V323" t="n">
        <x:f>MAX(0,O323-SUM(R323:U323))</x:f>
        <x:v>22.69999999999999</x:v>
      </x:c>
      <x:c r="W323" t="n">
        <x:f>MIN(100,40+IF(O323&gt;0,20,0)+IF(M323&lt;&gt;"",20,0)+IF(AF323&lt;&gt;"",20,0))</x:f>
        <x:v>100</x:v>
      </x:c>
      <x:c r="X323" t="str">
        <x:v>Placed on exact national road host link</x:v>
      </x:c>
      <x:c r="Y323" t="str">
        <x:v>Unpaved</x:v>
      </x:c>
      <x:c r="Z323" t="str">
        <x:v>C</x:v>
      </x:c>
      <x:c r="AA323" t="str">
        <x:v>Not available in governed source</x:v>
      </x:c>
      <x:c r="AB323" t="str">
        <x:v>Not available in governed source</x:v>
      </x:c>
      <x:c r="AC323" t="str">
        <x:v>FY2025/26</x:v>
      </x:c>
      <x:c r="AD323" t="str">
        <x:v>Modelled</x:v>
      </x:c>
      <x:c r="AE323" t="str">
        <x:v>2026 bridge AADT rebuilt from host-link traffic history, annual collection-link history, same-road corridor history and spatial count-station influence. Vehicle-class values are assigned from functional-class shares.</x:v>
      </x:c>
      <x:c r="AF323" t="str">
        <x:v>Placed on exact national road host link</x:v>
      </x:c>
    </x:row>
    <x:row r="324" ht="15" hidden="0" customHeight="1">
      <x:c r="A324" t="str">
        <x:v>bridge-323</x:v>
      </x:c>
      <x:c r="B324" t="str">
        <x:v>B330</x:v>
      </x:c>
      <x:c r="C324" t="str">
        <x:v>NGAGO BRIDGE</x:v>
      </x:c>
      <x:c r="D324" t="str">
        <x:v>C721_Link01</x:v>
      </x:c>
      <x:c r="E324" t="str">
        <x:v>Obongi - Kulikulinga</x:v>
      </x:c>
      <x:c r="F324" t="str">
        <x:v>C</x:v>
      </x:c>
      <x:c r="G324" t="str">
        <x:v>Northern</x:v>
      </x:c>
      <x:c r="H324" t="str">
        <x:v>Moyo</x:v>
      </x:c>
      <x:c r="I324" t="str">
        <x:v>GANGO RIVER</x:v>
      </x:c>
      <x:c r="J324" t="str">
        <x:v>Marginal</x:v>
      </x:c>
      <x:c r="K324" t="n">
        <x:v>31.459076</x:v>
      </x:c>
      <x:c r="L324" t="n">
        <x:v>3.230657</x:v>
      </x:c>
      <x:c r="M324" t="n">
        <x:v>31.33438</x:v>
      </x:c>
      <x:c r="N324" t="n">
        <x:v>3.308184</x:v>
      </x:c>
      <x:c r="O324" t="n">
        <x:v>2313.7</x:v>
      </x:c>
      <x:c r="P324" t="n">
        <x:f>IFERROR(INDEX(Assumptions!$B$9:$B$13,MATCH(F324,Assumptions!$A$9:$A$13,0)),0.15)</x:f>
        <x:v>0.28</x:v>
      </x:c>
      <x:c r="Q324" t="n">
        <x:f>ROUND(O324*(1-P324),0)</x:f>
        <x:v>1666</x:v>
      </x:c>
      <x:c r="R324" t="n">
        <x:f>ROUND(O324*P324,0)</x:f>
        <x:v>648</x:v>
      </x:c>
      <x:c r="S324" t="n">
        <x:f>ROUND(O324*IFERROR(INDEX(Assumptions!$C$9:$C$13,MATCH(F324,Assumptions!$A$9:$A$13,0)),0.55),0)</x:f>
        <x:v>1157</x:v>
      </x:c>
      <x:c r="T324" t="n">
        <x:f>ROUND(O324*IFERROR(INDEX(Assumptions!$D$9:$D$13,MATCH(F324,Assumptions!$A$9:$A$13,0)),0.06),0)</x:f>
        <x:v>116</x:v>
      </x:c>
      <x:c r="U324" t="n">
        <x:f>ROUND(O324*IFERROR(INDEX(Assumptions!$E$9:$E$13,MATCH(F324,Assumptions!$A$9:$A$13,0)),0.15),0)</x:f>
        <x:v>255</x:v>
      </x:c>
      <x:c r="V324" t="n">
        <x:f>MAX(0,O324-SUM(R324:U324))</x:f>
        <x:v>137.69999999999982</x:v>
      </x:c>
      <x:c r="W324" t="n">
        <x:f>MIN(100,40+IF(O324&gt;0,20,0)+IF(M324&lt;&gt;"",20,0)+IF(AF324&lt;&gt;"",20,0))</x:f>
        <x:v>100</x:v>
      </x:c>
      <x:c r="X324" t="str">
        <x:v>Placed on exact national road host link</x:v>
      </x:c>
      <x:c r="Y324" t="str">
        <x:v>Unpaved</x:v>
      </x:c>
      <x:c r="Z324" t="str">
        <x:v>C</x:v>
      </x:c>
      <x:c r="AA324" t="str">
        <x:v>Not available in governed source</x:v>
      </x:c>
      <x:c r="AB324" t="str">
        <x:v>Not available in governed source</x:v>
      </x:c>
      <x:c r="AC324" t="str">
        <x:v>FY2025/26</x:v>
      </x:c>
      <x:c r="AD324" t="str">
        <x:v>Modelled</x:v>
      </x:c>
      <x:c r="AE324" t="str">
        <x:v>2026 bridge AADT rebuilt from host-link traffic history, annual collection-link history, same-road corridor history and spatial count-station influence. Vehicle-class values are assigned from functional-class shares.</x:v>
      </x:c>
      <x:c r="AF324" t="str">
        <x:v>Placed on exact national road host link</x:v>
      </x:c>
    </x:row>
    <x:row r="325" ht="15" hidden="0" customHeight="1">
      <x:c r="A325" t="str">
        <x:v>bridge-324</x:v>
      </x:c>
      <x:c r="B325" t="str">
        <x:v>B331</x:v>
      </x:c>
      <x:c r="C325" t="str">
        <x:v>LEA BRIDGE</x:v>
      </x:c>
      <x:c r="D325" t="str">
        <x:v>C722_Link01</x:v>
      </x:c>
      <x:c r="E325" t="str">
        <x:v>Moyo - Obongi</x:v>
      </x:c>
      <x:c r="F325" t="str">
        <x:v>C</x:v>
      </x:c>
      <x:c r="G325" t="str">
        <x:v>Northern</x:v>
      </x:c>
      <x:c r="H325" t="str">
        <x:v>Moyo</x:v>
      </x:c>
      <x:c r="I325" t="str">
        <x:v>LEA RIVER</x:v>
      </x:c>
      <x:c r="J325" t="str">
        <x:v>Marginal</x:v>
      </x:c>
      <x:c r="K325" t="n">
        <x:v>31.651865</x:v>
      </x:c>
      <x:c r="L325" t="n">
        <x:v>3.605532</x:v>
      </x:c>
      <x:c r="M325" t="n">
        <x:v>31.651204</x:v>
      </x:c>
      <x:c r="N325" t="n">
        <x:v>3.603965</x:v>
      </x:c>
      <x:c r="O325" t="n">
        <x:v>482.82</x:v>
      </x:c>
      <x:c r="P325" t="n">
        <x:f>IFERROR(INDEX(Assumptions!$B$9:$B$13,MATCH(F325,Assumptions!$A$9:$A$13,0)),0.15)</x:f>
        <x:v>0.28</x:v>
      </x:c>
      <x:c r="Q325" t="n">
        <x:f>ROUND(O325*(1-P325),0)</x:f>
        <x:v>348</x:v>
      </x:c>
      <x:c r="R325" t="n">
        <x:f>ROUND(O325*P325,0)</x:f>
        <x:v>135</x:v>
      </x:c>
      <x:c r="S325" t="n">
        <x:f>ROUND(O325*IFERROR(INDEX(Assumptions!$C$9:$C$13,MATCH(F325,Assumptions!$A$9:$A$13,0)),0.55),0)</x:f>
        <x:v>241</x:v>
      </x:c>
      <x:c r="T325" t="n">
        <x:f>ROUND(O325*IFERROR(INDEX(Assumptions!$D$9:$D$13,MATCH(F325,Assumptions!$A$9:$A$13,0)),0.06),0)</x:f>
        <x:v>24</x:v>
      </x:c>
      <x:c r="U325" t="n">
        <x:f>ROUND(O325*IFERROR(INDEX(Assumptions!$E$9:$E$13,MATCH(F325,Assumptions!$A$9:$A$13,0)),0.15),0)</x:f>
        <x:v>53</x:v>
      </x:c>
      <x:c r="V325" t="n">
        <x:f>MAX(0,O325-SUM(R325:U325))</x:f>
        <x:v>29.819999999999993</x:v>
      </x:c>
      <x:c r="W325" t="n">
        <x:f>MIN(100,40+IF(O325&gt;0,20,0)+IF(M325&lt;&gt;"",20,0)+IF(AF325&lt;&gt;"",20,0))</x:f>
        <x:v>100</x:v>
      </x:c>
      <x:c r="X325" t="str">
        <x:v>Placed on exact national road host link</x:v>
      </x:c>
      <x:c r="Y325" t="str">
        <x:v>Unpaved</x:v>
      </x:c>
      <x:c r="Z325" t="str">
        <x:v>C</x:v>
      </x:c>
      <x:c r="AA325" t="str">
        <x:v>Not available in governed source</x:v>
      </x:c>
      <x:c r="AB325" t="str">
        <x:v>Not available in governed source</x:v>
      </x:c>
      <x:c r="AC325" t="str">
        <x:v>FY2025/26</x:v>
      </x:c>
      <x:c r="AD325" t="str">
        <x:v>Modelled</x:v>
      </x:c>
      <x:c r="AE325" t="str">
        <x:v>2026 bridge AADT rebuilt from host-link traffic history, annual collection-link history, same-road corridor history and spatial count-station influence. Vehicle-class values are assigned from functional-class shares.</x:v>
      </x:c>
      <x:c r="AF325" t="str">
        <x:v>Placed on exact national road host link</x:v>
      </x:c>
    </x:row>
    <x:row r="326" ht="15" hidden="0" customHeight="1">
      <x:c r="A326" t="str">
        <x:v>bridge-325</x:v>
      </x:c>
      <x:c r="B326" t="str">
        <x:v>B332</x:v>
      </x:c>
      <x:c r="C326" t="str">
        <x:v>NYAWA BRIDGE</x:v>
      </x:c>
      <x:c r="D326" t="str">
        <x:v>C722_Link01</x:v>
      </x:c>
      <x:c r="E326" t="str">
        <x:v>Moyo - Obongi</x:v>
      </x:c>
      <x:c r="F326" t="str">
        <x:v>C</x:v>
      </x:c>
      <x:c r="G326" t="str">
        <x:v>Northern</x:v>
      </x:c>
      <x:c r="H326" t="str">
        <x:v>Moyo</x:v>
      </x:c>
      <x:c r="I326" t="str">
        <x:v>NYAWA RIVER</x:v>
      </x:c>
      <x:c r="J326" t="str">
        <x:v>Marginal</x:v>
      </x:c>
      <x:c r="K326" t="n">
        <x:v>31.62635</x:v>
      </x:c>
      <x:c r="L326" t="n">
        <x:v>3.45086</x:v>
      </x:c>
      <x:c r="M326" t="n">
        <x:v>31.629762</x:v>
      </x:c>
      <x:c r="N326" t="n">
        <x:v>3.461738</x:v>
      </x:c>
      <x:c r="O326" t="n">
        <x:v>482.82</x:v>
      </x:c>
      <x:c r="P326" t="n">
        <x:f>IFERROR(INDEX(Assumptions!$B$9:$B$13,MATCH(F326,Assumptions!$A$9:$A$13,0)),0.15)</x:f>
        <x:v>0.28</x:v>
      </x:c>
      <x:c r="Q326" t="n">
        <x:f>ROUND(O326*(1-P326),0)</x:f>
        <x:v>348</x:v>
      </x:c>
      <x:c r="R326" t="n">
        <x:f>ROUND(O326*P326,0)</x:f>
        <x:v>135</x:v>
      </x:c>
      <x:c r="S326" t="n">
        <x:f>ROUND(O326*IFERROR(INDEX(Assumptions!$C$9:$C$13,MATCH(F326,Assumptions!$A$9:$A$13,0)),0.55),0)</x:f>
        <x:v>241</x:v>
      </x:c>
      <x:c r="T326" t="n">
        <x:f>ROUND(O326*IFERROR(INDEX(Assumptions!$D$9:$D$13,MATCH(F326,Assumptions!$A$9:$A$13,0)),0.06),0)</x:f>
        <x:v>24</x:v>
      </x:c>
      <x:c r="U326" t="n">
        <x:f>ROUND(O326*IFERROR(INDEX(Assumptions!$E$9:$E$13,MATCH(F326,Assumptions!$A$9:$A$13,0)),0.15),0)</x:f>
        <x:v>53</x:v>
      </x:c>
      <x:c r="V326" t="n">
        <x:f>MAX(0,O326-SUM(R326:U326))</x:f>
        <x:v>29.819999999999993</x:v>
      </x:c>
      <x:c r="W326" t="n">
        <x:f>MIN(100,40+IF(O326&gt;0,20,0)+IF(M326&lt;&gt;"",20,0)+IF(AF326&lt;&gt;"",20,0))</x:f>
        <x:v>100</x:v>
      </x:c>
      <x:c r="X326" t="str">
        <x:v>Placed on exact national road host link</x:v>
      </x:c>
      <x:c r="Y326" t="str">
        <x:v>Unpaved</x:v>
      </x:c>
      <x:c r="Z326" t="str">
        <x:v>C</x:v>
      </x:c>
      <x:c r="AA326" t="str">
        <x:v>Not available in governed source</x:v>
      </x:c>
      <x:c r="AB326" t="str">
        <x:v>Not available in governed source</x:v>
      </x:c>
      <x:c r="AC326" t="str">
        <x:v>FY2025/26</x:v>
      </x:c>
      <x:c r="AD326" t="str">
        <x:v>Modelled</x:v>
      </x:c>
      <x:c r="AE326" t="str">
        <x:v>2026 bridge AADT rebuilt from host-link traffic history, annual collection-link history, same-road corridor history and spatial count-station influence. Vehicle-class values are assigned from functional-class shares.</x:v>
      </x:c>
      <x:c r="AF326" t="str">
        <x:v>Placed on exact national road host link</x:v>
      </x:c>
    </x:row>
    <x:row r="327" ht="15" hidden="0" customHeight="1">
      <x:c r="A327" t="str">
        <x:v>bridge-326</x:v>
      </x:c>
      <x:c r="B327" t="str">
        <x:v>B333</x:v>
      </x:c>
      <x:c r="C327" t="str">
        <x:v>OMPOSO BRIDGE</x:v>
      </x:c>
      <x:c r="D327" t="str">
        <x:v>C722_Link01</x:v>
      </x:c>
      <x:c r="E327" t="str">
        <x:v>Moyo - Obongi</x:v>
      </x:c>
      <x:c r="F327" t="str">
        <x:v>C</x:v>
      </x:c>
      <x:c r="G327" t="str">
        <x:v>Northern</x:v>
      </x:c>
      <x:c r="H327" t="str">
        <x:v>Moyo</x:v>
      </x:c>
      <x:c r="I327" t="str">
        <x:v>OMPOSO</x:v>
      </x:c>
      <x:c r="J327" t="str">
        <x:v>Marginal</x:v>
      </x:c>
      <x:c r="K327" t="n">
        <x:v>31.563513</x:v>
      </x:c>
      <x:c r="L327" t="n">
        <x:v>3.370257</x:v>
      </x:c>
      <x:c r="M327" t="n">
        <x:v>31.56673</x:v>
      </x:c>
      <x:c r="N327" t="n">
        <x:v>3.383477</x:v>
      </x:c>
      <x:c r="O327" t="n">
        <x:v>482.82</x:v>
      </x:c>
      <x:c r="P327" t="n">
        <x:f>IFERROR(INDEX(Assumptions!$B$9:$B$13,MATCH(F327,Assumptions!$A$9:$A$13,0)),0.15)</x:f>
        <x:v>0.28</x:v>
      </x:c>
      <x:c r="Q327" t="n">
        <x:f>ROUND(O327*(1-P327),0)</x:f>
        <x:v>348</x:v>
      </x:c>
      <x:c r="R327" t="n">
        <x:f>ROUND(O327*P327,0)</x:f>
        <x:v>135</x:v>
      </x:c>
      <x:c r="S327" t="n">
        <x:f>ROUND(O327*IFERROR(INDEX(Assumptions!$C$9:$C$13,MATCH(F327,Assumptions!$A$9:$A$13,0)),0.55),0)</x:f>
        <x:v>241</x:v>
      </x:c>
      <x:c r="T327" t="n">
        <x:f>ROUND(O327*IFERROR(INDEX(Assumptions!$D$9:$D$13,MATCH(F327,Assumptions!$A$9:$A$13,0)),0.06),0)</x:f>
        <x:v>24</x:v>
      </x:c>
      <x:c r="U327" t="n">
        <x:f>ROUND(O327*IFERROR(INDEX(Assumptions!$E$9:$E$13,MATCH(F327,Assumptions!$A$9:$A$13,0)),0.15),0)</x:f>
        <x:v>53</x:v>
      </x:c>
      <x:c r="V327" t="n">
        <x:f>MAX(0,O327-SUM(R327:U327))</x:f>
        <x:v>29.819999999999993</x:v>
      </x:c>
      <x:c r="W327" t="n">
        <x:f>MIN(100,40+IF(O327&gt;0,20,0)+IF(M327&lt;&gt;"",20,0)+IF(AF327&lt;&gt;"",20,0))</x:f>
        <x:v>100</x:v>
      </x:c>
      <x:c r="X327" t="str">
        <x:v>Placed on exact national road host link</x:v>
      </x:c>
      <x:c r="Y327" t="str">
        <x:v>Unpaved</x:v>
      </x:c>
      <x:c r="Z327" t="str">
        <x:v>C</x:v>
      </x:c>
      <x:c r="AA327" t="str">
        <x:v>Not available in governed source</x:v>
      </x:c>
      <x:c r="AB327" t="str">
        <x:v>Not available in governed source</x:v>
      </x:c>
      <x:c r="AC327" t="str">
        <x:v>FY2025/26</x:v>
      </x:c>
      <x:c r="AD327" t="str">
        <x:v>Modelled</x:v>
      </x:c>
      <x:c r="AE327" t="str">
        <x:v>2026 bridge AADT rebuilt from host-link traffic history, annual collection-link history, same-road corridor history and spatial count-station influence. Vehicle-class values are assigned from functional-class shares.</x:v>
      </x:c>
      <x:c r="AF327" t="str">
        <x:v>Placed on exact national road host link</x:v>
      </x:c>
    </x:row>
    <x:row r="328" ht="15" hidden="0" customHeight="1">
      <x:c r="A328" t="str">
        <x:v>bridge-327</x:v>
      </x:c>
      <x:c r="B328" t="str">
        <x:v>B334</x:v>
      </x:c>
      <x:c r="C328" t="str">
        <x:v>TETE BRIDGE</x:v>
      </x:c>
      <x:c r="D328" t="str">
        <x:v>C727_Link01</x:v>
      </x:c>
      <x:c r="E328" t="str">
        <x:v>Tete - Nimule Border</x:v>
      </x:c>
      <x:c r="F328" t="str">
        <x:v>C</x:v>
      </x:c>
      <x:c r="G328" t="str">
        <x:v>Northern</x:v>
      </x:c>
      <x:c r="H328" t="str">
        <x:v>Moyo</x:v>
      </x:c>
      <x:c r="I328" t="str">
        <x:v>TETE RIVER</x:v>
      </x:c>
      <x:c r="J328" t="str">
        <x:v>Marginal</x:v>
      </x:c>
      <x:c r="K328" t="n">
        <x:v>32.011681</x:v>
      </x:c>
      <x:c r="L328" t="n">
        <x:v>3.484224</x:v>
      </x:c>
      <x:c r="M328" t="n">
        <x:v>32.044203</x:v>
      </x:c>
      <x:c r="N328" t="n">
        <x:v>3.566185</x:v>
      </x:c>
      <x:c r="O328" t="n">
        <x:v>1208.24</x:v>
      </x:c>
      <x:c r="P328" t="n">
        <x:f>IFERROR(INDEX(Assumptions!$B$9:$B$13,MATCH(F328,Assumptions!$A$9:$A$13,0)),0.15)</x:f>
        <x:v>0.28</x:v>
      </x:c>
      <x:c r="Q328" t="n">
        <x:f>ROUND(O328*(1-P328),0)</x:f>
        <x:v>870</x:v>
      </x:c>
      <x:c r="R328" t="n">
        <x:f>ROUND(O328*P328,0)</x:f>
        <x:v>338</x:v>
      </x:c>
      <x:c r="S328" t="n">
        <x:f>ROUND(O328*IFERROR(INDEX(Assumptions!$C$9:$C$13,MATCH(F328,Assumptions!$A$9:$A$13,0)),0.55),0)</x:f>
        <x:v>604</x:v>
      </x:c>
      <x:c r="T328" t="n">
        <x:f>ROUND(O328*IFERROR(INDEX(Assumptions!$D$9:$D$13,MATCH(F328,Assumptions!$A$9:$A$13,0)),0.06),0)</x:f>
        <x:v>60</x:v>
      </x:c>
      <x:c r="U328" t="n">
        <x:f>ROUND(O328*IFERROR(INDEX(Assumptions!$E$9:$E$13,MATCH(F328,Assumptions!$A$9:$A$13,0)),0.15),0)</x:f>
        <x:v>133</x:v>
      </x:c>
      <x:c r="V328" t="n">
        <x:f>MAX(0,O328-SUM(R328:U328))</x:f>
        <x:v>73.24000000000001</x:v>
      </x:c>
      <x:c r="W328" t="n">
        <x:f>MIN(100,40+IF(O328&gt;0,20,0)+IF(M328&lt;&gt;"",20,0)+IF(AF328&lt;&gt;"",20,0))</x:f>
        <x:v>100</x:v>
      </x:c>
      <x:c r="X328" t="str">
        <x:v>Placed on exact national road host link</x:v>
      </x:c>
      <x:c r="Y328" t="str">
        <x:v>Unpaved</x:v>
      </x:c>
      <x:c r="Z328" t="str">
        <x:v>C</x:v>
      </x:c>
      <x:c r="AA328" t="str">
        <x:v>Not available in governed source</x:v>
      </x:c>
      <x:c r="AB328" t="str">
        <x:v>Not available in governed source</x:v>
      </x:c>
      <x:c r="AC328" t="str">
        <x:v>FY2025/26</x:v>
      </x:c>
      <x:c r="AD328" t="str">
        <x:v>Modelled</x:v>
      </x:c>
      <x:c r="AE328" t="str">
        <x:v>2026 bridge AADT rebuilt from host-link traffic history, annual collection-link history, same-road corridor history and spatial count-station influence. Vehicle-class values are assigned from functional-class shares.</x:v>
      </x:c>
      <x:c r="AF328" t="str">
        <x:v>Placed on exact national road host link</x:v>
      </x:c>
    </x:row>
    <x:row r="329" ht="15" hidden="0" customHeight="1">
      <x:c r="A329" t="str">
        <x:v>bridge-328</x:v>
      </x:c>
      <x:c r="B329" t="str">
        <x:v>B335</x:v>
      </x:c>
      <x:c r="C329" t="str">
        <x:v>BALIBO</x:v>
      </x:c>
      <x:c r="D329" t="str">
        <x:v>C764_Link01</x:v>
      </x:c>
      <x:c r="E329" t="str">
        <x:v>Katrini - Nyadri</x:v>
      </x:c>
      <x:c r="F329" t="str">
        <x:v>C</x:v>
      </x:c>
      <x:c r="G329" t="str">
        <x:v>Northern</x:v>
      </x:c>
      <x:c r="H329" t="str">
        <x:v>Arua</x:v>
      </x:c>
      <x:c r="I329" t="str">
        <x:v>BALIBO</x:v>
      </x:c>
      <x:c r="J329" t="str">
        <x:v>Satisfactory</x:v>
      </x:c>
      <x:c r="K329" t="n">
        <x:v>30.972765</x:v>
      </x:c>
      <x:c r="L329" t="n">
        <x:v>3.178337</x:v>
      </x:c>
      <x:c r="M329" t="n">
        <x:v>30.970592</x:v>
      </x:c>
      <x:c r="N329" t="n">
        <x:v>3.198707</x:v>
      </x:c>
      <x:c r="O329" t="n">
        <x:v>988.34</x:v>
      </x:c>
      <x:c r="P329" t="n">
        <x:f>IFERROR(INDEX(Assumptions!$B$9:$B$13,MATCH(F329,Assumptions!$A$9:$A$13,0)),0.15)</x:f>
        <x:v>0.28</x:v>
      </x:c>
      <x:c r="Q329" t="n">
        <x:f>ROUND(O329*(1-P329),0)</x:f>
        <x:v>712</x:v>
      </x:c>
      <x:c r="R329" t="n">
        <x:f>ROUND(O329*P329,0)</x:f>
        <x:v>277</x:v>
      </x:c>
      <x:c r="S329" t="n">
        <x:f>ROUND(O329*IFERROR(INDEX(Assumptions!$C$9:$C$13,MATCH(F329,Assumptions!$A$9:$A$13,0)),0.55),0)</x:f>
        <x:v>494</x:v>
      </x:c>
      <x:c r="T329" t="n">
        <x:f>ROUND(O329*IFERROR(INDEX(Assumptions!$D$9:$D$13,MATCH(F329,Assumptions!$A$9:$A$13,0)),0.06),0)</x:f>
        <x:v>49</x:v>
      </x:c>
      <x:c r="U329" t="n">
        <x:f>ROUND(O329*IFERROR(INDEX(Assumptions!$E$9:$E$13,MATCH(F329,Assumptions!$A$9:$A$13,0)),0.15),0)</x:f>
        <x:v>109</x:v>
      </x:c>
      <x:c r="V329" t="n">
        <x:f>MAX(0,O329-SUM(R329:U329))</x:f>
        <x:v>59.34000000000003</x:v>
      </x:c>
      <x:c r="W329" t="n">
        <x:f>MIN(100,40+IF(O329&gt;0,20,0)+IF(M329&lt;&gt;"",20,0)+IF(AF329&lt;&gt;"",20,0))</x:f>
        <x:v>100</x:v>
      </x:c>
      <x:c r="X329" t="str">
        <x:v>Placed on exact national road host link</x:v>
      </x:c>
      <x:c r="Y329" t="str">
        <x:v>Unpaved</x:v>
      </x:c>
      <x:c r="Z329" t="str">
        <x:v>C</x:v>
      </x:c>
      <x:c r="AA329" t="str">
        <x:v>Not available in governed source</x:v>
      </x:c>
      <x:c r="AB329" t="str">
        <x:v>Not available in governed source</x:v>
      </x:c>
      <x:c r="AC329" t="str">
        <x:v>FY2025/26</x:v>
      </x:c>
      <x:c r="AD329" t="str">
        <x:v>Modelled</x:v>
      </x:c>
      <x:c r="AE329" t="str">
        <x:v>2026 bridge AADT rebuilt from host-link traffic history, annual collection-link history, same-road corridor history and spatial count-station influence. Vehicle-class values are assigned from functional-class shares.</x:v>
      </x:c>
      <x:c r="AF329" t="str">
        <x:v>Placed on exact national road host link</x:v>
      </x:c>
    </x:row>
    <x:row r="330" ht="15" hidden="0" customHeight="1">
      <x:c r="A330" t="str">
        <x:v>bridge-329</x:v>
      </x:c>
      <x:c r="B330" t="str">
        <x:v>B336</x:v>
      </x:c>
      <x:c r="C330" t="str">
        <x:v>OGUTA BRIDGE</x:v>
      </x:c>
      <x:c r="D330" t="str">
        <x:v>C747_Link01</x:v>
      </x:c>
      <x:c r="E330" t="str">
        <x:v>Panyimur - Paidha Via Erusi-Goli</x:v>
      </x:c>
      <x:c r="F330" t="str">
        <x:v>C</x:v>
      </x:c>
      <x:c r="G330" t="str">
        <x:v>Northern</x:v>
      </x:c>
      <x:c r="H330" t="str">
        <x:v>Arua</x:v>
      </x:c>
      <x:c r="I330" t="str">
        <x:v>OGUTA RIVER</x:v>
      </x:c>
      <x:c r="J330" t="str">
        <x:v>Marginal</x:v>
      </x:c>
      <x:c r="K330" t="n">
        <x:v>31.258675</x:v>
      </x:c>
      <x:c r="L330" t="n">
        <x:v>2.25057</x:v>
      </x:c>
      <x:c r="M330" t="n">
        <x:v>31.257187</x:v>
      </x:c>
      <x:c r="N330" t="n">
        <x:v>2.251194</x:v>
      </x:c>
      <x:c r="O330" t="n">
        <x:v>530.62</x:v>
      </x:c>
      <x:c r="P330" t="n">
        <x:f>IFERROR(INDEX(Assumptions!$B$9:$B$13,MATCH(F330,Assumptions!$A$9:$A$13,0)),0.15)</x:f>
        <x:v>0.28</x:v>
      </x:c>
      <x:c r="Q330" t="n">
        <x:f>ROUND(O330*(1-P330),0)</x:f>
        <x:v>382</x:v>
      </x:c>
      <x:c r="R330" t="n">
        <x:f>ROUND(O330*P330,0)</x:f>
        <x:v>149</x:v>
      </x:c>
      <x:c r="S330" t="n">
        <x:f>ROUND(O330*IFERROR(INDEX(Assumptions!$C$9:$C$13,MATCH(F330,Assumptions!$A$9:$A$13,0)),0.55),0)</x:f>
        <x:v>265</x:v>
      </x:c>
      <x:c r="T330" t="n">
        <x:f>ROUND(O330*IFERROR(INDEX(Assumptions!$D$9:$D$13,MATCH(F330,Assumptions!$A$9:$A$13,0)),0.06),0)</x:f>
        <x:v>27</x:v>
      </x:c>
      <x:c r="U330" t="n">
        <x:f>ROUND(O330*IFERROR(INDEX(Assumptions!$E$9:$E$13,MATCH(F330,Assumptions!$A$9:$A$13,0)),0.15),0)</x:f>
        <x:v>58</x:v>
      </x:c>
      <x:c r="V330" t="n">
        <x:f>MAX(0,O330-SUM(R330:U330))</x:f>
        <x:v>31.620000000000005</x:v>
      </x:c>
      <x:c r="W330" t="n">
        <x:f>MIN(100,40+IF(O330&gt;0,20,0)+IF(M330&lt;&gt;"",20,0)+IF(AF330&lt;&gt;"",20,0))</x:f>
        <x:v>100</x:v>
      </x:c>
      <x:c r="X330" t="str">
        <x:v>Placed on exact national road host link</x:v>
      </x:c>
      <x:c r="Y330" t="str">
        <x:v>Unpaved</x:v>
      </x:c>
      <x:c r="Z330" t="str">
        <x:v>C</x:v>
      </x:c>
      <x:c r="AA330" t="str">
        <x:v>Not available in governed source</x:v>
      </x:c>
      <x:c r="AB330" t="str">
        <x:v>Not available in governed source</x:v>
      </x:c>
      <x:c r="AC330" t="str">
        <x:v>FY2025/26</x:v>
      </x:c>
      <x:c r="AD330" t="str">
        <x:v>Modelled</x:v>
      </x:c>
      <x:c r="AE330" t="str">
        <x:v>2026 bridge AADT rebuilt from host-link traffic history, annual collection-link history, same-road corridor history and spatial count-station influence. Vehicle-class values are assigned from functional-class shares.</x:v>
      </x:c>
      <x:c r="AF330" t="str">
        <x:v>Placed on exact national road host link</x:v>
      </x:c>
    </x:row>
    <x:row r="331" ht="15" hidden="0" customHeight="1">
      <x:c r="A331" t="str">
        <x:v>bridge-330</x:v>
      </x:c>
      <x:c r="B331" t="str">
        <x:v>B337</x:v>
      </x:c>
      <x:c r="C331" t="str">
        <x:v>ARAGA BRIDGE</x:v>
      </x:c>
      <x:c r="D331" t="str">
        <x:v>C747_Link01</x:v>
      </x:c>
      <x:c r="E331" t="str">
        <x:v>Panyimur - Paidha Via Erusi-Goli</x:v>
      </x:c>
      <x:c r="F331" t="str">
        <x:v>C</x:v>
      </x:c>
      <x:c r="G331" t="str">
        <x:v>Northern</x:v>
      </x:c>
      <x:c r="H331" t="str">
        <x:v>Arua</x:v>
      </x:c>
      <x:c r="I331" t="str">
        <x:v>ARAGA RIVER</x:v>
      </x:c>
      <x:c r="J331" t="str">
        <x:v>Poor</x:v>
      </x:c>
      <x:c r="K331" t="n">
        <x:v>31.212103</x:v>
      </x:c>
      <x:c r="L331" t="n">
        <x:v>2.281648</x:v>
      </x:c>
      <x:c r="M331" t="n">
        <x:v>31.214317</x:v>
      </x:c>
      <x:c r="N331" t="n">
        <x:v>2.279649</x:v>
      </x:c>
      <x:c r="O331" t="n">
        <x:v>530.62</x:v>
      </x:c>
      <x:c r="P331" t="n">
        <x:f>IFERROR(INDEX(Assumptions!$B$9:$B$13,MATCH(F331,Assumptions!$A$9:$A$13,0)),0.15)</x:f>
        <x:v>0.28</x:v>
      </x:c>
      <x:c r="Q331" t="n">
        <x:f>ROUND(O331*(1-P331),0)</x:f>
        <x:v>382</x:v>
      </x:c>
      <x:c r="R331" t="n">
        <x:f>ROUND(O331*P331,0)</x:f>
        <x:v>149</x:v>
      </x:c>
      <x:c r="S331" t="n">
        <x:f>ROUND(O331*IFERROR(INDEX(Assumptions!$C$9:$C$13,MATCH(F331,Assumptions!$A$9:$A$13,0)),0.55),0)</x:f>
        <x:v>265</x:v>
      </x:c>
      <x:c r="T331" t="n">
        <x:f>ROUND(O331*IFERROR(INDEX(Assumptions!$D$9:$D$13,MATCH(F331,Assumptions!$A$9:$A$13,0)),0.06),0)</x:f>
        <x:v>27</x:v>
      </x:c>
      <x:c r="U331" t="n">
        <x:f>ROUND(O331*IFERROR(INDEX(Assumptions!$E$9:$E$13,MATCH(F331,Assumptions!$A$9:$A$13,0)),0.15),0)</x:f>
        <x:v>58</x:v>
      </x:c>
      <x:c r="V331" t="n">
        <x:f>MAX(0,O331-SUM(R331:U331))</x:f>
        <x:v>31.620000000000005</x:v>
      </x:c>
      <x:c r="W331" t="n">
        <x:f>MIN(100,40+IF(O331&gt;0,20,0)+IF(M331&lt;&gt;"",20,0)+IF(AF331&lt;&gt;"",20,0))</x:f>
        <x:v>100</x:v>
      </x:c>
      <x:c r="X331" t="str">
        <x:v>Placed on exact national road host link</x:v>
      </x:c>
      <x:c r="Y331" t="str">
        <x:v>Unpaved</x:v>
      </x:c>
      <x:c r="Z331" t="str">
        <x:v>C</x:v>
      </x:c>
      <x:c r="AA331" t="str">
        <x:v>Not available in governed source</x:v>
      </x:c>
      <x:c r="AB331" t="str">
        <x:v>Not available in governed source</x:v>
      </x:c>
      <x:c r="AC331" t="str">
        <x:v>FY2025/26</x:v>
      </x:c>
      <x:c r="AD331" t="str">
        <x:v>Modelled</x:v>
      </x:c>
      <x:c r="AE331" t="str">
        <x:v>2026 bridge AADT rebuilt from host-link traffic history, annual collection-link history, same-road corridor history and spatial count-station influence. Vehicle-class values are assigned from functional-class shares.</x:v>
      </x:c>
      <x:c r="AF331" t="str">
        <x:v>Placed on exact national road host link</x:v>
      </x:c>
    </x:row>
    <x:row r="332" ht="15" hidden="0" customHeight="1">
      <x:c r="A332" t="str">
        <x:v>bridge-331</x:v>
      </x:c>
      <x:c r="B332" t="str">
        <x:v>B338</x:v>
      </x:c>
      <x:c r="C332" t="str">
        <x:v>ACODHO BRIDGE</x:v>
      </x:c>
      <x:c r="D332" t="str">
        <x:v>C747_Link01</x:v>
      </x:c>
      <x:c r="E332" t="str">
        <x:v>Panyimur - Paidha Via Erusi-Goli</x:v>
      </x:c>
      <x:c r="F332" t="str">
        <x:v>C</x:v>
      </x:c>
      <x:c r="G332" t="str">
        <x:v>Northern</x:v>
      </x:c>
      <x:c r="H332" t="str">
        <x:v>Arua</x:v>
      </x:c>
      <x:c r="I332" t="str">
        <x:v>ACODHO RIVER</x:v>
      </x:c>
      <x:c r="J332" t="str">
        <x:v>Marginal</x:v>
      </x:c>
      <x:c r="K332" t="n">
        <x:v>31.209974</x:v>
      </x:c>
      <x:c r="L332" t="n">
        <x:v>2.295385</x:v>
      </x:c>
      <x:c r="M332" t="n">
        <x:v>31.209937</x:v>
      </x:c>
      <x:c r="N332" t="n">
        <x:v>2.292655</x:v>
      </x:c>
      <x:c r="O332" t="n">
        <x:v>530.62</x:v>
      </x:c>
      <x:c r="P332" t="n">
        <x:f>IFERROR(INDEX(Assumptions!$B$9:$B$13,MATCH(F332,Assumptions!$A$9:$A$13,0)),0.15)</x:f>
        <x:v>0.28</x:v>
      </x:c>
      <x:c r="Q332" t="n">
        <x:f>ROUND(O332*(1-P332),0)</x:f>
        <x:v>382</x:v>
      </x:c>
      <x:c r="R332" t="n">
        <x:f>ROUND(O332*P332,0)</x:f>
        <x:v>149</x:v>
      </x:c>
      <x:c r="S332" t="n">
        <x:f>ROUND(O332*IFERROR(INDEX(Assumptions!$C$9:$C$13,MATCH(F332,Assumptions!$A$9:$A$13,0)),0.55),0)</x:f>
        <x:v>265</x:v>
      </x:c>
      <x:c r="T332" t="n">
        <x:f>ROUND(O332*IFERROR(INDEX(Assumptions!$D$9:$D$13,MATCH(F332,Assumptions!$A$9:$A$13,0)),0.06),0)</x:f>
        <x:v>27</x:v>
      </x:c>
      <x:c r="U332" t="n">
        <x:f>ROUND(O332*IFERROR(INDEX(Assumptions!$E$9:$E$13,MATCH(F332,Assumptions!$A$9:$A$13,0)),0.15),0)</x:f>
        <x:v>58</x:v>
      </x:c>
      <x:c r="V332" t="n">
        <x:f>MAX(0,O332-SUM(R332:U332))</x:f>
        <x:v>31.620000000000005</x:v>
      </x:c>
      <x:c r="W332" t="n">
        <x:f>MIN(100,40+IF(O332&gt;0,20,0)+IF(M332&lt;&gt;"",20,0)+IF(AF332&lt;&gt;"",20,0))</x:f>
        <x:v>100</x:v>
      </x:c>
      <x:c r="X332" t="str">
        <x:v>Placed on exact national road host link</x:v>
      </x:c>
      <x:c r="Y332" t="str">
        <x:v>Unpaved</x:v>
      </x:c>
      <x:c r="Z332" t="str">
        <x:v>C</x:v>
      </x:c>
      <x:c r="AA332" t="str">
        <x:v>Not available in governed source</x:v>
      </x:c>
      <x:c r="AB332" t="str">
        <x:v>Not available in governed source</x:v>
      </x:c>
      <x:c r="AC332" t="str">
        <x:v>FY2025/26</x:v>
      </x:c>
      <x:c r="AD332" t="str">
        <x:v>Modelled</x:v>
      </x:c>
      <x:c r="AE332" t="str">
        <x:v>2026 bridge AADT rebuilt from host-link traffic history, annual collection-link history, same-road corridor history and spatial count-station influence. Vehicle-class values are assigned from functional-class shares.</x:v>
      </x:c>
      <x:c r="AF332" t="str">
        <x:v>Placed on exact national road host link</x:v>
      </x:c>
    </x:row>
    <x:row r="333" ht="15" hidden="0" customHeight="1">
      <x:c r="A333" t="str">
        <x:v>bridge-332</x:v>
      </x:c>
      <x:c r="B333" t="str">
        <x:v>B339</x:v>
      </x:c>
      <x:c r="C333" t="str">
        <x:v>CIDO BRIDGE</x:v>
      </x:c>
      <x:c r="D333" t="str">
        <x:v>C747_Link01</x:v>
      </x:c>
      <x:c r="E333" t="str">
        <x:v>Panyimur - Paidha Via Erusi-Goli</x:v>
      </x:c>
      <x:c r="F333" t="str">
        <x:v>C</x:v>
      </x:c>
      <x:c r="G333" t="str">
        <x:v>Northern</x:v>
      </x:c>
      <x:c r="H333" t="str">
        <x:v>Arua</x:v>
      </x:c>
      <x:c r="I333" t="str">
        <x:v>CIDO RIVER</x:v>
      </x:c>
      <x:c r="J333" t="str">
        <x:v>Satisfactory</x:v>
      </x:c>
      <x:c r="K333" t="n">
        <x:v>31.05999</x:v>
      </x:c>
      <x:c r="L333" t="n">
        <x:v>2.378301</x:v>
      </x:c>
      <x:c r="M333" t="n">
        <x:v>31.065521</x:v>
      </x:c>
      <x:c r="N333" t="n">
        <x:v>2.376011</x:v>
      </x:c>
      <x:c r="O333" t="n">
        <x:v>530.62</x:v>
      </x:c>
      <x:c r="P333" t="n">
        <x:f>IFERROR(INDEX(Assumptions!$B$9:$B$13,MATCH(F333,Assumptions!$A$9:$A$13,0)),0.15)</x:f>
        <x:v>0.28</x:v>
      </x:c>
      <x:c r="Q333" t="n">
        <x:f>ROUND(O333*(1-P333),0)</x:f>
        <x:v>382</x:v>
      </x:c>
      <x:c r="R333" t="n">
        <x:f>ROUND(O333*P333,0)</x:f>
        <x:v>149</x:v>
      </x:c>
      <x:c r="S333" t="n">
        <x:f>ROUND(O333*IFERROR(INDEX(Assumptions!$C$9:$C$13,MATCH(F333,Assumptions!$A$9:$A$13,0)),0.55),0)</x:f>
        <x:v>265</x:v>
      </x:c>
      <x:c r="T333" t="n">
        <x:f>ROUND(O333*IFERROR(INDEX(Assumptions!$D$9:$D$13,MATCH(F333,Assumptions!$A$9:$A$13,0)),0.06),0)</x:f>
        <x:v>27</x:v>
      </x:c>
      <x:c r="U333" t="n">
        <x:f>ROUND(O333*IFERROR(INDEX(Assumptions!$E$9:$E$13,MATCH(F333,Assumptions!$A$9:$A$13,0)),0.15),0)</x:f>
        <x:v>58</x:v>
      </x:c>
      <x:c r="V333" t="n">
        <x:f>MAX(0,O333-SUM(R333:U333))</x:f>
        <x:v>31.620000000000005</x:v>
      </x:c>
      <x:c r="W333" t="n">
        <x:f>MIN(100,40+IF(O333&gt;0,20,0)+IF(M333&lt;&gt;"",20,0)+IF(AF333&lt;&gt;"",20,0))</x:f>
        <x:v>100</x:v>
      </x:c>
      <x:c r="X333" t="str">
        <x:v>Placed on exact national road host link</x:v>
      </x:c>
      <x:c r="Y333" t="str">
        <x:v>Unpaved</x:v>
      </x:c>
      <x:c r="Z333" t="str">
        <x:v>C</x:v>
      </x:c>
      <x:c r="AA333" t="str">
        <x:v>Not available in governed source</x:v>
      </x:c>
      <x:c r="AB333" t="str">
        <x:v>Not available in governed source</x:v>
      </x:c>
      <x:c r="AC333" t="str">
        <x:v>FY2025/26</x:v>
      </x:c>
      <x:c r="AD333" t="str">
        <x:v>Modelled</x:v>
      </x:c>
      <x:c r="AE333" t="str">
        <x:v>2026 bridge AADT rebuilt from host-link traffic history, annual collection-link history, same-road corridor history and spatial count-station influence. Vehicle-class values are assigned from functional-class shares.</x:v>
      </x:c>
      <x:c r="AF333" t="str">
        <x:v>Placed on exact national road host link</x:v>
      </x:c>
    </x:row>
    <x:row r="334" ht="15" hidden="0" customHeight="1">
      <x:c r="A334" t="str">
        <x:v>bridge-333</x:v>
      </x:c>
      <x:c r="B334" t="str">
        <x:v>B340</x:v>
      </x:c>
      <x:c r="C334" t="str">
        <x:v>NYARWOTHO BRIDGE</x:v>
      </x:c>
      <x:c r="D334" t="str">
        <x:v>C747_Link01</x:v>
      </x:c>
      <x:c r="E334" t="str">
        <x:v>Panyimur - Paidha Via Erusi-Goli</x:v>
      </x:c>
      <x:c r="F334" t="str">
        <x:v>C</x:v>
      </x:c>
      <x:c r="G334" t="str">
        <x:v>Northern</x:v>
      </x:c>
      <x:c r="H334" t="str">
        <x:v>Arua</x:v>
      </x:c>
      <x:c r="I334" t="str">
        <x:v>NYARWOTHO RIVER</x:v>
      </x:c>
      <x:c r="J334" t="str">
        <x:v>Marginal</x:v>
      </x:c>
      <x:c r="K334" t="n">
        <x:v>31.046659</x:v>
      </x:c>
      <x:c r="L334" t="n">
        <x:v>2.380421</x:v>
      </x:c>
      <x:c r="M334" t="n">
        <x:v>31.049173</x:v>
      </x:c>
      <x:c r="N334" t="n">
        <x:v>2.377357</x:v>
      </x:c>
      <x:c r="O334" t="n">
        <x:v>530.62</x:v>
      </x:c>
      <x:c r="P334" t="n">
        <x:f>IFERROR(INDEX(Assumptions!$B$9:$B$13,MATCH(F334,Assumptions!$A$9:$A$13,0)),0.15)</x:f>
        <x:v>0.28</x:v>
      </x:c>
      <x:c r="Q334" t="n">
        <x:f>ROUND(O334*(1-P334),0)</x:f>
        <x:v>382</x:v>
      </x:c>
      <x:c r="R334" t="n">
        <x:f>ROUND(O334*P334,0)</x:f>
        <x:v>149</x:v>
      </x:c>
      <x:c r="S334" t="n">
        <x:f>ROUND(O334*IFERROR(INDEX(Assumptions!$C$9:$C$13,MATCH(F334,Assumptions!$A$9:$A$13,0)),0.55),0)</x:f>
        <x:v>265</x:v>
      </x:c>
      <x:c r="T334" t="n">
        <x:f>ROUND(O334*IFERROR(INDEX(Assumptions!$D$9:$D$13,MATCH(F334,Assumptions!$A$9:$A$13,0)),0.06),0)</x:f>
        <x:v>27</x:v>
      </x:c>
      <x:c r="U334" t="n">
        <x:f>ROUND(O334*IFERROR(INDEX(Assumptions!$E$9:$E$13,MATCH(F334,Assumptions!$A$9:$A$13,0)),0.15),0)</x:f>
        <x:v>58</x:v>
      </x:c>
      <x:c r="V334" t="n">
        <x:f>MAX(0,O334-SUM(R334:U334))</x:f>
        <x:v>31.620000000000005</x:v>
      </x:c>
      <x:c r="W334" t="n">
        <x:f>MIN(100,40+IF(O334&gt;0,20,0)+IF(M334&lt;&gt;"",20,0)+IF(AF334&lt;&gt;"",20,0))</x:f>
        <x:v>100</x:v>
      </x:c>
      <x:c r="X334" t="str">
        <x:v>Placed on exact national road host link</x:v>
      </x:c>
      <x:c r="Y334" t="str">
        <x:v>Unpaved</x:v>
      </x:c>
      <x:c r="Z334" t="str">
        <x:v>C</x:v>
      </x:c>
      <x:c r="AA334" t="str">
        <x:v>Not available in governed source</x:v>
      </x:c>
      <x:c r="AB334" t="str">
        <x:v>Not available in governed source</x:v>
      </x:c>
      <x:c r="AC334" t="str">
        <x:v>FY2025/26</x:v>
      </x:c>
      <x:c r="AD334" t="str">
        <x:v>Modelled</x:v>
      </x:c>
      <x:c r="AE334" t="str">
        <x:v>2026 bridge AADT rebuilt from host-link traffic history, annual collection-link history, same-road corridor history and spatial count-station influence. Vehicle-class values are assigned from functional-class shares.</x:v>
      </x:c>
      <x:c r="AF334" t="str">
        <x:v>Placed on exact national road host link</x:v>
      </x:c>
    </x:row>
    <x:row r="335" ht="15" hidden="0" customHeight="1">
      <x:c r="A335" t="str">
        <x:v>bridge-334</x:v>
      </x:c>
      <x:c r="B335" t="str">
        <x:v>B344</x:v>
      </x:c>
      <x:c r="C335" t="str">
        <x:v>ENYAU BRIDGE</x:v>
      </x:c>
      <x:c r="D335" t="str">
        <x:v>C752_Link01</x:v>
      </x:c>
      <x:c r="E335" t="str">
        <x:v>Arua - Lia</x:v>
      </x:c>
      <x:c r="F335" t="str">
        <x:v>C</x:v>
      </x:c>
      <x:c r="G335" t="str">
        <x:v>Northern</x:v>
      </x:c>
      <x:c r="H335" t="str">
        <x:v>Arua</x:v>
      </x:c>
      <x:c r="I335" t="str">
        <x:v>ENYAU RIVER</x:v>
      </x:c>
      <x:c r="J335" t="str">
        <x:v>Marginal</x:v>
      </x:c>
      <x:c r="K335" t="n">
        <x:v>30.892725</x:v>
      </x:c>
      <x:c r="L335" t="n">
        <x:v>3.035345</x:v>
      </x:c>
      <x:c r="M335" t="n">
        <x:v>30.894254</x:v>
      </x:c>
      <x:c r="N335" t="n">
        <x:v>3.035737</x:v>
      </x:c>
      <x:c r="O335" t="n">
        <x:v>1564.38</x:v>
      </x:c>
      <x:c r="P335" t="n">
        <x:f>IFERROR(INDEX(Assumptions!$B$9:$B$13,MATCH(F335,Assumptions!$A$9:$A$13,0)),0.15)</x:f>
        <x:v>0.28</x:v>
      </x:c>
      <x:c r="Q335" t="n">
        <x:f>ROUND(O335*(1-P335),0)</x:f>
        <x:v>1126</x:v>
      </x:c>
      <x:c r="R335" t="n">
        <x:f>ROUND(O335*P335,0)</x:f>
        <x:v>438</x:v>
      </x:c>
      <x:c r="S335" t="n">
        <x:f>ROUND(O335*IFERROR(INDEX(Assumptions!$C$9:$C$13,MATCH(F335,Assumptions!$A$9:$A$13,0)),0.55),0)</x:f>
        <x:v>782</x:v>
      </x:c>
      <x:c r="T335" t="n">
        <x:f>ROUND(O335*IFERROR(INDEX(Assumptions!$D$9:$D$13,MATCH(F335,Assumptions!$A$9:$A$13,0)),0.06),0)</x:f>
        <x:v>78</x:v>
      </x:c>
      <x:c r="U335" t="n">
        <x:f>ROUND(O335*IFERROR(INDEX(Assumptions!$E$9:$E$13,MATCH(F335,Assumptions!$A$9:$A$13,0)),0.15),0)</x:f>
        <x:v>172</x:v>
      </x:c>
      <x:c r="V335" t="n">
        <x:f>MAX(0,O335-SUM(R335:U335))</x:f>
        <x:v>94.38000000000011</x:v>
      </x:c>
      <x:c r="W335" t="n">
        <x:f>MIN(100,40+IF(O335&gt;0,20,0)+IF(M335&lt;&gt;"",20,0)+IF(AF335&lt;&gt;"",20,0))</x:f>
        <x:v>100</x:v>
      </x:c>
      <x:c r="X335" t="str">
        <x:v>Placed on exact national road host link</x:v>
      </x:c>
      <x:c r="Y335" t="str">
        <x:v>Unpaved</x:v>
      </x:c>
      <x:c r="Z335" t="str">
        <x:v>C</x:v>
      </x:c>
      <x:c r="AA335" t="str">
        <x:v>Not available in governed source</x:v>
      </x:c>
      <x:c r="AB335" t="str">
        <x:v>Not available in governed source</x:v>
      </x:c>
      <x:c r="AC335" t="str">
        <x:v>FY2025/26</x:v>
      </x:c>
      <x:c r="AD335" t="str">
        <x:v>Modelled</x:v>
      </x:c>
      <x:c r="AE335" t="str">
        <x:v>2026 bridge AADT rebuilt from host-link traffic history, annual collection-link history, same-road corridor history and spatial count-station influence. Vehicle-class values are assigned from functional-class shares.</x:v>
      </x:c>
      <x:c r="AF335" t="str">
        <x:v>Placed on exact national road host link</x:v>
      </x:c>
    </x:row>
    <x:row r="336" ht="15" hidden="0" customHeight="1">
      <x:c r="A336" t="str">
        <x:v>bridge-335</x:v>
      </x:c>
      <x:c r="B336" t="str">
        <x:v>B345</x:v>
      </x:c>
      <x:c r="C336" t="str">
        <x:v>OKAYIVA BRIDGE</x:v>
      </x:c>
      <x:c r="D336" t="str">
        <x:v>C752_Link01</x:v>
      </x:c>
      <x:c r="E336" t="str">
        <x:v>Arua - Lia</x:v>
      </x:c>
      <x:c r="F336" t="str">
        <x:v>C</x:v>
      </x:c>
      <x:c r="G336" t="str">
        <x:v>Northern</x:v>
      </x:c>
      <x:c r="H336" t="str">
        <x:v>Arua</x:v>
      </x:c>
      <x:c r="I336" t="str">
        <x:v>OKAYIVA</x:v>
      </x:c>
      <x:c r="J336" t="str">
        <x:v>Marginal</x:v>
      </x:c>
      <x:c r="K336" t="n">
        <x:v>30.883045</x:v>
      </x:c>
      <x:c r="L336" t="n">
        <x:v>3.043236</x:v>
      </x:c>
      <x:c r="M336" t="n">
        <x:v>30.884408</x:v>
      </x:c>
      <x:c r="N336" t="n">
        <x:v>3.042068</x:v>
      </x:c>
      <x:c r="O336" t="n">
        <x:v>1564.38</x:v>
      </x:c>
      <x:c r="P336" t="n">
        <x:f>IFERROR(INDEX(Assumptions!$B$9:$B$13,MATCH(F336,Assumptions!$A$9:$A$13,0)),0.15)</x:f>
        <x:v>0.28</x:v>
      </x:c>
      <x:c r="Q336" t="n">
        <x:f>ROUND(O336*(1-P336),0)</x:f>
        <x:v>1126</x:v>
      </x:c>
      <x:c r="R336" t="n">
        <x:f>ROUND(O336*P336,0)</x:f>
        <x:v>438</x:v>
      </x:c>
      <x:c r="S336" t="n">
        <x:f>ROUND(O336*IFERROR(INDEX(Assumptions!$C$9:$C$13,MATCH(F336,Assumptions!$A$9:$A$13,0)),0.55),0)</x:f>
        <x:v>782</x:v>
      </x:c>
      <x:c r="T336" t="n">
        <x:f>ROUND(O336*IFERROR(INDEX(Assumptions!$D$9:$D$13,MATCH(F336,Assumptions!$A$9:$A$13,0)),0.06),0)</x:f>
        <x:v>78</x:v>
      </x:c>
      <x:c r="U336" t="n">
        <x:f>ROUND(O336*IFERROR(INDEX(Assumptions!$E$9:$E$13,MATCH(F336,Assumptions!$A$9:$A$13,0)),0.15),0)</x:f>
        <x:v>172</x:v>
      </x:c>
      <x:c r="V336" t="n">
        <x:f>MAX(0,O336-SUM(R336:U336))</x:f>
        <x:v>94.38000000000011</x:v>
      </x:c>
      <x:c r="W336" t="n">
        <x:f>MIN(100,40+IF(O336&gt;0,20,0)+IF(M336&lt;&gt;"",20,0)+IF(AF336&lt;&gt;"",20,0))</x:f>
        <x:v>100</x:v>
      </x:c>
      <x:c r="X336" t="str">
        <x:v>Placed on exact national road host link</x:v>
      </x:c>
      <x:c r="Y336" t="str">
        <x:v>Unpaved</x:v>
      </x:c>
      <x:c r="Z336" t="str">
        <x:v>C</x:v>
      </x:c>
      <x:c r="AA336" t="str">
        <x:v>Not available in governed source</x:v>
      </x:c>
      <x:c r="AB336" t="str">
        <x:v>Not available in governed source</x:v>
      </x:c>
      <x:c r="AC336" t="str">
        <x:v>FY2025/26</x:v>
      </x:c>
      <x:c r="AD336" t="str">
        <x:v>Modelled</x:v>
      </x:c>
      <x:c r="AE336" t="str">
        <x:v>2026 bridge AADT rebuilt from host-link traffic history, annual collection-link history, same-road corridor history and spatial count-station influence. Vehicle-class values are assigned from functional-class shares.</x:v>
      </x:c>
      <x:c r="AF336" t="str">
        <x:v>Placed on exact national road host link</x:v>
      </x:c>
    </x:row>
    <x:row r="337" ht="15" hidden="0" customHeight="1">
      <x:c r="A337" t="str">
        <x:v>bridge-336</x:v>
      </x:c>
      <x:c r="B337" t="str">
        <x:v>B346</x:v>
      </x:c>
      <x:c r="C337" t="str">
        <x:v>ESI BRIDGE</x:v>
      </x:c>
      <x:c r="D337" t="str">
        <x:v>C752_Link01</x:v>
      </x:c>
      <x:c r="E337" t="str">
        <x:v>Arua - Lia</x:v>
      </x:c>
      <x:c r="F337" t="str">
        <x:v>C</x:v>
      </x:c>
      <x:c r="G337" t="str">
        <x:v>Northern</x:v>
      </x:c>
      <x:c r="H337" t="str">
        <x:v>Arua</x:v>
      </x:c>
      <x:c r="I337" t="str">
        <x:v>ESI RIVER</x:v>
      </x:c>
      <x:c r="J337" t="str">
        <x:v>Marginal</x:v>
      </x:c>
      <x:c r="K337" t="n">
        <x:v>30.827444</x:v>
      </x:c>
      <x:c r="L337" t="n">
        <x:v>3.054537</x:v>
      </x:c>
      <x:c r="M337" t="n">
        <x:v>30.830208</x:v>
      </x:c>
      <x:c r="N337" t="n">
        <x:v>3.054662</x:v>
      </x:c>
      <x:c r="O337" t="n">
        <x:v>1564.38</x:v>
      </x:c>
      <x:c r="P337" t="n">
        <x:f>IFERROR(INDEX(Assumptions!$B$9:$B$13,MATCH(F337,Assumptions!$A$9:$A$13,0)),0.15)</x:f>
        <x:v>0.28</x:v>
      </x:c>
      <x:c r="Q337" t="n">
        <x:f>ROUND(O337*(1-P337),0)</x:f>
        <x:v>1126</x:v>
      </x:c>
      <x:c r="R337" t="n">
        <x:f>ROUND(O337*P337,0)</x:f>
        <x:v>438</x:v>
      </x:c>
      <x:c r="S337" t="n">
        <x:f>ROUND(O337*IFERROR(INDEX(Assumptions!$C$9:$C$13,MATCH(F337,Assumptions!$A$9:$A$13,0)),0.55),0)</x:f>
        <x:v>782</x:v>
      </x:c>
      <x:c r="T337" t="n">
        <x:f>ROUND(O337*IFERROR(INDEX(Assumptions!$D$9:$D$13,MATCH(F337,Assumptions!$A$9:$A$13,0)),0.06),0)</x:f>
        <x:v>78</x:v>
      </x:c>
      <x:c r="U337" t="n">
        <x:f>ROUND(O337*IFERROR(INDEX(Assumptions!$E$9:$E$13,MATCH(F337,Assumptions!$A$9:$A$13,0)),0.15),0)</x:f>
        <x:v>172</x:v>
      </x:c>
      <x:c r="V337" t="n">
        <x:f>MAX(0,O337-SUM(R337:U337))</x:f>
        <x:v>94.38000000000011</x:v>
      </x:c>
      <x:c r="W337" t="n">
        <x:f>MIN(100,40+IF(O337&gt;0,20,0)+IF(M337&lt;&gt;"",20,0)+IF(AF337&lt;&gt;"",20,0))</x:f>
        <x:v>100</x:v>
      </x:c>
      <x:c r="X337" t="str">
        <x:v>Placed on exact national road host link</x:v>
      </x:c>
      <x:c r="Y337" t="str">
        <x:v>Unpaved</x:v>
      </x:c>
      <x:c r="Z337" t="str">
        <x:v>C</x:v>
      </x:c>
      <x:c r="AA337" t="str">
        <x:v>Not available in governed source</x:v>
      </x:c>
      <x:c r="AB337" t="str">
        <x:v>Not available in governed source</x:v>
      </x:c>
      <x:c r="AC337" t="str">
        <x:v>FY2025/26</x:v>
      </x:c>
      <x:c r="AD337" t="str">
        <x:v>Modelled</x:v>
      </x:c>
      <x:c r="AE337" t="str">
        <x:v>2026 bridge AADT rebuilt from host-link traffic history, annual collection-link history, same-road corridor history and spatial count-station influence. Vehicle-class values are assigned from functional-class shares.</x:v>
      </x:c>
      <x:c r="AF337" t="str">
        <x:v>Placed on exact national road host link</x:v>
      </x:c>
    </x:row>
    <x:row r="338" ht="15" hidden="0" customHeight="1">
      <x:c r="A338" t="str">
        <x:v>bridge-337</x:v>
      </x:c>
      <x:c r="B338" t="str">
        <x:v>B347</x:v>
      </x:c>
      <x:c r="C338" t="str">
        <x:v>ENYAWU-CHILLIO BRIDGE</x:v>
      </x:c>
      <x:c r="D338" t="str">
        <x:v>C755_Link01</x:v>
      </x:c>
      <x:c r="E338" t="str">
        <x:v>Owaffa - Kubala</x:v>
      </x:c>
      <x:c r="F338" t="str">
        <x:v>C</x:v>
      </x:c>
      <x:c r="G338" t="str">
        <x:v>Northern</x:v>
      </x:c>
      <x:c r="H338" t="str">
        <x:v>Arua</x:v>
      </x:c>
      <x:c r="I338" t="str">
        <x:v>ENYAWU RIVER</x:v>
      </x:c>
      <x:c r="J338" t="str">
        <x:v>Satisfactory</x:v>
      </x:c>
      <x:c r="K338" t="n">
        <x:v>31.030401</x:v>
      </x:c>
      <x:c r="L338" t="n">
        <x:v>3.201206</x:v>
      </x:c>
      <x:c r="M338" t="n">
        <x:v>31.029978</x:v>
      </x:c>
      <x:c r="N338" t="n">
        <x:v>3.201116</x:v>
      </x:c>
      <x:c r="O338" t="n">
        <x:v>988.34</x:v>
      </x:c>
      <x:c r="P338" t="n">
        <x:f>IFERROR(INDEX(Assumptions!$B$9:$B$13,MATCH(F338,Assumptions!$A$9:$A$13,0)),0.15)</x:f>
        <x:v>0.28</x:v>
      </x:c>
      <x:c r="Q338" t="n">
        <x:f>ROUND(O338*(1-P338),0)</x:f>
        <x:v>712</x:v>
      </x:c>
      <x:c r="R338" t="n">
        <x:f>ROUND(O338*P338,0)</x:f>
        <x:v>277</x:v>
      </x:c>
      <x:c r="S338" t="n">
        <x:f>ROUND(O338*IFERROR(INDEX(Assumptions!$C$9:$C$13,MATCH(F338,Assumptions!$A$9:$A$13,0)),0.55),0)</x:f>
        <x:v>494</x:v>
      </x:c>
      <x:c r="T338" t="n">
        <x:f>ROUND(O338*IFERROR(INDEX(Assumptions!$D$9:$D$13,MATCH(F338,Assumptions!$A$9:$A$13,0)),0.06),0)</x:f>
        <x:v>49</x:v>
      </x:c>
      <x:c r="U338" t="n">
        <x:f>ROUND(O338*IFERROR(INDEX(Assumptions!$E$9:$E$13,MATCH(F338,Assumptions!$A$9:$A$13,0)),0.15),0)</x:f>
        <x:v>109</x:v>
      </x:c>
      <x:c r="V338" t="n">
        <x:f>MAX(0,O338-SUM(R338:U338))</x:f>
        <x:v>59.34000000000003</x:v>
      </x:c>
      <x:c r="W338" t="n">
        <x:f>MIN(100,40+IF(O338&gt;0,20,0)+IF(M338&lt;&gt;"",20,0)+IF(AF338&lt;&gt;"",20,0))</x:f>
        <x:v>100</x:v>
      </x:c>
      <x:c r="X338" t="str">
        <x:v>Placed on exact national road host link</x:v>
      </x:c>
      <x:c r="Y338" t="str">
        <x:v>Unpaved</x:v>
      </x:c>
      <x:c r="Z338" t="str">
        <x:v>C</x:v>
      </x:c>
      <x:c r="AA338" t="str">
        <x:v>Not available in governed source</x:v>
      </x:c>
      <x:c r="AB338" t="str">
        <x:v>Not available in governed source</x:v>
      </x:c>
      <x:c r="AC338" t="str">
        <x:v>FY2025/26</x:v>
      </x:c>
      <x:c r="AD338" t="str">
        <x:v>Modelled</x:v>
      </x:c>
      <x:c r="AE338" t="str">
        <x:v>2026 bridge AADT rebuilt from host-link traffic history, annual collection-link history, same-road corridor history and spatial count-station influence. Vehicle-class values are assigned from functional-class shares.</x:v>
      </x:c>
      <x:c r="AF338" t="str">
        <x:v>Placed on exact national road host link</x:v>
      </x:c>
    </x:row>
    <x:row r="339" ht="15" hidden="0" customHeight="1">
      <x:c r="A339" t="str">
        <x:v>bridge-338</x:v>
      </x:c>
      <x:c r="B339" t="str">
        <x:v>B348</x:v>
      </x:c>
      <x:c r="C339" t="str">
        <x:v>KOCHI</x:v>
      </x:c>
      <x:c r="D339" t="str">
        <x:v>C758_Link01</x:v>
      </x:c>
      <x:c r="E339" t="str">
        <x:v>Keriri - Midigo</x:v>
      </x:c>
      <x:c r="F339" t="str">
        <x:v>C</x:v>
      </x:c>
      <x:c r="G339" t="str">
        <x:v>Northern</x:v>
      </x:c>
      <x:c r="H339" t="str">
        <x:v>Moyo</x:v>
      </x:c>
      <x:c r="I339" t="str">
        <x:v>KOCHI</x:v>
      </x:c>
      <x:c r="J339" t="str">
        <x:v>Critical</x:v>
      </x:c>
      <x:c r="K339" t="n">
        <x:v>31.25313</x:v>
      </x:c>
      <x:c r="L339" t="n">
        <x:v>3.550001</x:v>
      </x:c>
      <x:c r="M339" t="n">
        <x:v>31.253703</x:v>
      </x:c>
      <x:c r="N339" t="n">
        <x:v>3.55024</x:v>
      </x:c>
      <x:c r="O339" t="n">
        <x:v>1501.04</x:v>
      </x:c>
      <x:c r="P339" t="n">
        <x:f>IFERROR(INDEX(Assumptions!$B$9:$B$13,MATCH(F339,Assumptions!$A$9:$A$13,0)),0.15)</x:f>
        <x:v>0.28</x:v>
      </x:c>
      <x:c r="Q339" t="n">
        <x:f>ROUND(O339*(1-P339),0)</x:f>
        <x:v>1081</x:v>
      </x:c>
      <x:c r="R339" t="n">
        <x:f>ROUND(O339*P339,0)</x:f>
        <x:v>420</x:v>
      </x:c>
      <x:c r="S339" t="n">
        <x:f>ROUND(O339*IFERROR(INDEX(Assumptions!$C$9:$C$13,MATCH(F339,Assumptions!$A$9:$A$13,0)),0.55),0)</x:f>
        <x:v>751</x:v>
      </x:c>
      <x:c r="T339" t="n">
        <x:f>ROUND(O339*IFERROR(INDEX(Assumptions!$D$9:$D$13,MATCH(F339,Assumptions!$A$9:$A$13,0)),0.06),0)</x:f>
        <x:v>75</x:v>
      </x:c>
      <x:c r="U339" t="n">
        <x:f>ROUND(O339*IFERROR(INDEX(Assumptions!$E$9:$E$13,MATCH(F339,Assumptions!$A$9:$A$13,0)),0.15),0)</x:f>
        <x:v>165</x:v>
      </x:c>
      <x:c r="V339" t="n">
        <x:f>MAX(0,O339-SUM(R339:U339))</x:f>
        <x:v>90.03999999999996</x:v>
      </x:c>
      <x:c r="W339" t="n">
        <x:f>MIN(100,40+IF(O339&gt;0,20,0)+IF(M339&lt;&gt;"",20,0)+IF(AF339&lt;&gt;"",20,0))</x:f>
        <x:v>100</x:v>
      </x:c>
      <x:c r="X339" t="str">
        <x:v>Placed on exact national road host link</x:v>
      </x:c>
      <x:c r="Y339" t="str">
        <x:v>Unpaved</x:v>
      </x:c>
      <x:c r="Z339" t="str">
        <x:v>C</x:v>
      </x:c>
      <x:c r="AA339" t="str">
        <x:v>Not available in governed source</x:v>
      </x:c>
      <x:c r="AB339" t="str">
        <x:v>Not available in governed source</x:v>
      </x:c>
      <x:c r="AC339" t="str">
        <x:v>FY2025/26</x:v>
      </x:c>
      <x:c r="AD339" t="str">
        <x:v>Modelled</x:v>
      </x:c>
      <x:c r="AE339" t="str">
        <x:v>2026 bridge AADT rebuilt from host-link traffic history, annual collection-link history, same-road corridor history and spatial count-station influence. Vehicle-class values are assigned from functional-class shares.</x:v>
      </x:c>
      <x:c r="AF339" t="str">
        <x:v>Placed on exact national road host link</x:v>
      </x:c>
    </x:row>
    <x:row r="340" ht="15" hidden="0" customHeight="1">
      <x:c r="A340" t="str">
        <x:v>bridge-339</x:v>
      </x:c>
      <x:c r="B340" t="str">
        <x:v>B349</x:v>
      </x:c>
      <x:c r="C340" t="str">
        <x:v>OSU</x:v>
      </x:c>
      <x:c r="D340" t="str">
        <x:v>C762_Link01</x:v>
      </x:c>
      <x:c r="E340" t="str">
        <x:v>Arua - Biliafe</x:v>
      </x:c>
      <x:c r="F340" t="str">
        <x:v>C</x:v>
      </x:c>
      <x:c r="G340" t="str">
        <x:v>Northern</x:v>
      </x:c>
      <x:c r="H340" t="str">
        <x:v>Arua</x:v>
      </x:c>
      <x:c r="I340" t="str">
        <x:v>ONZUA</x:v>
      </x:c>
      <x:c r="J340" t="str">
        <x:v>Poor</x:v>
      </x:c>
      <x:c r="K340" t="n">
        <x:v>31.0672</x:v>
      </x:c>
      <x:c r="L340" t="n">
        <x:v>3.05018</x:v>
      </x:c>
      <x:c r="M340" t="n">
        <x:v>31.067257</x:v>
      </x:c>
      <x:c r="N340" t="n">
        <x:v>3.049952</x:v>
      </x:c>
      <x:c r="O340" t="n">
        <x:v>330.44</x:v>
      </x:c>
      <x:c r="P340" t="n">
        <x:f>IFERROR(INDEX(Assumptions!$B$9:$B$13,MATCH(F340,Assumptions!$A$9:$A$13,0)),0.15)</x:f>
        <x:v>0.28</x:v>
      </x:c>
      <x:c r="Q340" t="n">
        <x:f>ROUND(O340*(1-P340),0)</x:f>
        <x:v>238</x:v>
      </x:c>
      <x:c r="R340" t="n">
        <x:f>ROUND(O340*P340,0)</x:f>
        <x:v>93</x:v>
      </x:c>
      <x:c r="S340" t="n">
        <x:f>ROUND(O340*IFERROR(INDEX(Assumptions!$C$9:$C$13,MATCH(F340,Assumptions!$A$9:$A$13,0)),0.55),0)</x:f>
        <x:v>165</x:v>
      </x:c>
      <x:c r="T340" t="n">
        <x:f>ROUND(O340*IFERROR(INDEX(Assumptions!$D$9:$D$13,MATCH(F340,Assumptions!$A$9:$A$13,0)),0.06),0)</x:f>
        <x:v>17</x:v>
      </x:c>
      <x:c r="U340" t="n">
        <x:f>ROUND(O340*IFERROR(INDEX(Assumptions!$E$9:$E$13,MATCH(F340,Assumptions!$A$9:$A$13,0)),0.15),0)</x:f>
        <x:v>36</x:v>
      </x:c>
      <x:c r="V340" t="n">
        <x:f>MAX(0,O340-SUM(R340:U340))</x:f>
        <x:v>19.439999999999998</x:v>
      </x:c>
      <x:c r="W340" t="n">
        <x:f>MIN(100,40+IF(O340&gt;0,20,0)+IF(M340&lt;&gt;"",20,0)+IF(AF340&lt;&gt;"",20,0))</x:f>
        <x:v>100</x:v>
      </x:c>
      <x:c r="X340" t="str">
        <x:v>Placed on exact national road host link</x:v>
      </x:c>
      <x:c r="Y340" t="str">
        <x:v>Unpaved</x:v>
      </x:c>
      <x:c r="Z340" t="str">
        <x:v>C</x:v>
      </x:c>
      <x:c r="AA340" t="str">
        <x:v>Not available in governed source</x:v>
      </x:c>
      <x:c r="AB340" t="str">
        <x:v>Not available in governed source</x:v>
      </x:c>
      <x:c r="AC340" t="str">
        <x:v>FY2025/26</x:v>
      </x:c>
      <x:c r="AD340" t="str">
        <x:v>Modelled</x:v>
      </x:c>
      <x:c r="AE340" t="str">
        <x:v>2026 bridge AADT rebuilt from host-link traffic history, annual collection-link history, same-road corridor history and spatial count-station influence. Vehicle-class values are assigned from functional-class shares.</x:v>
      </x:c>
      <x:c r="AF340" t="str">
        <x:v>Placed on exact national road host link</x:v>
      </x:c>
    </x:row>
    <x:row r="341" ht="15" hidden="0" customHeight="1">
      <x:c r="A341" t="str">
        <x:v>bridge-340</x:v>
      </x:c>
      <x:c r="B341" t="str">
        <x:v>B352</x:v>
      </x:c>
      <x:c r="C341" t="str">
        <x:v>KORUBUDE BRIDGE</x:v>
      </x:c>
      <x:c r="D341" t="str">
        <x:v>C836_Link02</x:v>
      </x:c>
      <x:c r="E341" t="str">
        <x:v>Mulanda - Nagongera</x:v>
      </x:c>
      <x:c r="F341" t="str">
        <x:v>C</x:v>
      </x:c>
      <x:c r="G341" t="str">
        <x:v>Eastern</x:v>
      </x:c>
      <x:c r="H341" t="str">
        <x:v>Tororo</x:v>
      </x:c>
      <x:c r="I341" t="str">
        <x:v>RIVER KORUBUDE</x:v>
      </x:c>
      <x:c r="J341" t="str">
        <x:v>Marginal</x:v>
      </x:c>
      <x:c r="K341" t="n">
        <x:v>34.01461</x:v>
      </x:c>
      <x:c r="L341" t="n">
        <x:v>0.71136</x:v>
      </x:c>
      <x:c r="M341" t="n">
        <x:v>34.013908</x:v>
      </x:c>
      <x:c r="N341" t="n">
        <x:v>0.711479</x:v>
      </x:c>
      <x:c r="O341" t="n">
        <x:v>5179.88</x:v>
      </x:c>
      <x:c r="P341" t="n">
        <x:f>IFERROR(INDEX(Assumptions!$B$9:$B$13,MATCH(F341,Assumptions!$A$9:$A$13,0)),0.15)</x:f>
        <x:v>0.28</x:v>
      </x:c>
      <x:c r="Q341" t="n">
        <x:f>ROUND(O341*(1-P341),0)</x:f>
        <x:v>3730</x:v>
      </x:c>
      <x:c r="R341" t="n">
        <x:f>ROUND(O341*P341,0)</x:f>
        <x:v>1450</x:v>
      </x:c>
      <x:c r="S341" t="n">
        <x:f>ROUND(O341*IFERROR(INDEX(Assumptions!$C$9:$C$13,MATCH(F341,Assumptions!$A$9:$A$13,0)),0.55),0)</x:f>
        <x:v>2590</x:v>
      </x:c>
      <x:c r="T341" t="n">
        <x:f>ROUND(O341*IFERROR(INDEX(Assumptions!$D$9:$D$13,MATCH(F341,Assumptions!$A$9:$A$13,0)),0.06),0)</x:f>
        <x:v>259</x:v>
      </x:c>
      <x:c r="U341" t="n">
        <x:f>ROUND(O341*IFERROR(INDEX(Assumptions!$E$9:$E$13,MATCH(F341,Assumptions!$A$9:$A$13,0)),0.15),0)</x:f>
        <x:v>570</x:v>
      </x:c>
      <x:c r="V341" t="n">
        <x:f>MAX(0,O341-SUM(R341:U341))</x:f>
        <x:v>310.8800000000001</x:v>
      </x:c>
      <x:c r="W341" t="n">
        <x:f>MIN(100,40+IF(O341&gt;0,20,0)+IF(M341&lt;&gt;"",20,0)+IF(AF341&lt;&gt;"",20,0))</x:f>
        <x:v>100</x:v>
      </x:c>
      <x:c r="X341" t="str">
        <x:v>Placed on exact national road host link</x:v>
      </x:c>
      <x:c r="Y341" t="str">
        <x:v>Unpaved</x:v>
      </x:c>
      <x:c r="Z341" t="str">
        <x:v>C</x:v>
      </x:c>
      <x:c r="AA341" t="str">
        <x:v>Not available in governed source</x:v>
      </x:c>
      <x:c r="AB341" t="str">
        <x:v>Not available in governed source</x:v>
      </x:c>
      <x:c r="AC341" t="str">
        <x:v>FY2025/26</x:v>
      </x:c>
      <x:c r="AD341" t="str">
        <x:v>Modelled</x:v>
      </x:c>
      <x:c r="AE341" t="str">
        <x:v>2026 bridge AADT rebuilt from host-link traffic history, annual collection-link history, same-road corridor history and spatial count-station influence. Vehicle-class values are assigned from functional-class shares.</x:v>
      </x:c>
      <x:c r="AF341" t="str">
        <x:v>Placed on exact national road host link</x:v>
      </x:c>
    </x:row>
    <x:row r="342" ht="15" hidden="0" customHeight="1">
      <x:c r="A342" t="str">
        <x:v>bridge-341</x:v>
      </x:c>
      <x:c r="B342" t="str">
        <x:v>B354</x:v>
      </x:c>
      <x:c r="C342" t="str">
        <x:v>KAMINIMA</x:v>
      </x:c>
      <x:c r="D342" t="str">
        <x:v>C837_Link01</x:v>
      </x:c>
      <x:c r="E342" t="str">
        <x:v>Nagongera - Merikit - Kidoko</x:v>
      </x:c>
      <x:c r="F342" t="str">
        <x:v>C</x:v>
      </x:c>
      <x:c r="G342" t="str">
        <x:v>Eastern</x:v>
      </x:c>
      <x:c r="H342" t="str">
        <x:v>Tororo</x:v>
      </x:c>
      <x:c r="I342" t="str">
        <x:v>KAMINIMA</x:v>
      </x:c>
      <x:c r="J342" t="str">
        <x:v>Marginal</x:v>
      </x:c>
      <x:c r="K342" t="n">
        <x:v>34.110409</x:v>
      </x:c>
      <x:c r="L342" t="n">
        <x:v>0.86777</x:v>
      </x:c>
      <x:c r="M342" t="n">
        <x:v>34.115139</x:v>
      </x:c>
      <x:c r="N342" t="n">
        <x:v>0.880765</x:v>
      </x:c>
      <x:c r="O342" t="n">
        <x:v>1393.09</x:v>
      </x:c>
      <x:c r="P342" t="n">
        <x:f>IFERROR(INDEX(Assumptions!$B$9:$B$13,MATCH(F342,Assumptions!$A$9:$A$13,0)),0.15)</x:f>
        <x:v>0.28</x:v>
      </x:c>
      <x:c r="Q342" t="n">
        <x:f>ROUND(O342*(1-P342),0)</x:f>
        <x:v>1003</x:v>
      </x:c>
      <x:c r="R342" t="n">
        <x:f>ROUND(O342*P342,0)</x:f>
        <x:v>390</x:v>
      </x:c>
      <x:c r="S342" t="n">
        <x:f>ROUND(O342*IFERROR(INDEX(Assumptions!$C$9:$C$13,MATCH(F342,Assumptions!$A$9:$A$13,0)),0.55),0)</x:f>
        <x:v>697</x:v>
      </x:c>
      <x:c r="T342" t="n">
        <x:f>ROUND(O342*IFERROR(INDEX(Assumptions!$D$9:$D$13,MATCH(F342,Assumptions!$A$9:$A$13,0)),0.06),0)</x:f>
        <x:v>70</x:v>
      </x:c>
      <x:c r="U342" t="n">
        <x:f>ROUND(O342*IFERROR(INDEX(Assumptions!$E$9:$E$13,MATCH(F342,Assumptions!$A$9:$A$13,0)),0.15),0)</x:f>
        <x:v>153</x:v>
      </x:c>
      <x:c r="V342" t="n">
        <x:f>MAX(0,O342-SUM(R342:U342))</x:f>
        <x:v>83.08999999999992</x:v>
      </x:c>
      <x:c r="W342" t="n">
        <x:f>MIN(100,40+IF(O342&gt;0,20,0)+IF(M342&lt;&gt;"",20,0)+IF(AF342&lt;&gt;"",20,0))</x:f>
        <x:v>100</x:v>
      </x:c>
      <x:c r="X342" t="str">
        <x:v>Placed on exact national road host link</x:v>
      </x:c>
      <x:c r="Y342" t="str">
        <x:v>Unpaved</x:v>
      </x:c>
      <x:c r="Z342" t="str">
        <x:v>C</x:v>
      </x:c>
      <x:c r="AA342" t="str">
        <x:v>Not available in governed source</x:v>
      </x:c>
      <x:c r="AB342" t="str">
        <x:v>Not available in governed source</x:v>
      </x:c>
      <x:c r="AC342" t="str">
        <x:v>FY2025/26</x:v>
      </x:c>
      <x:c r="AD342" t="str">
        <x:v>Modelled</x:v>
      </x:c>
      <x:c r="AE342" t="str">
        <x:v>2026 bridge AADT rebuilt from host-link traffic history, annual collection-link history, same-road corridor history and spatial count-station influence. Vehicle-class values are assigned from functional-class shares.</x:v>
      </x:c>
      <x:c r="AF342" t="str">
        <x:v>Placed on exact national road host link</x:v>
      </x:c>
    </x:row>
    <x:row r="343" ht="15" hidden="0" customHeight="1">
      <x:c r="A343" t="str">
        <x:v>bridge-342</x:v>
      </x:c>
      <x:c r="B343" t="str">
        <x:v>B355</x:v>
      </x:c>
      <x:c r="C343" t="str">
        <x:v>KAMUNIMA</x:v>
      </x:c>
      <x:c r="D343" t="str">
        <x:v>C837_Link01</x:v>
      </x:c>
      <x:c r="E343" t="str">
        <x:v>Nagongera - Merikit - Kidoko</x:v>
      </x:c>
      <x:c r="F343" t="str">
        <x:v>C</x:v>
      </x:c>
      <x:c r="G343" t="str">
        <x:v>Eastern</x:v>
      </x:c>
      <x:c r="H343" t="str">
        <x:v>Tororo</x:v>
      </x:c>
      <x:c r="I343" t="str">
        <x:v>Kamunima</x:v>
      </x:c>
      <x:c r="J343" t="str">
        <x:v>Marginal</x:v>
      </x:c>
      <x:c r="K343" t="n">
        <x:v>34.111382</x:v>
      </x:c>
      <x:c r="L343" t="n">
        <x:v>0.87055</x:v>
      </x:c>
      <x:c r="M343" t="n">
        <x:v>34.115139</x:v>
      </x:c>
      <x:c r="N343" t="n">
        <x:v>0.880765</x:v>
      </x:c>
      <x:c r="O343" t="n">
        <x:v>1393.09</x:v>
      </x:c>
      <x:c r="P343" t="n">
        <x:f>IFERROR(INDEX(Assumptions!$B$9:$B$13,MATCH(F343,Assumptions!$A$9:$A$13,0)),0.15)</x:f>
        <x:v>0.28</x:v>
      </x:c>
      <x:c r="Q343" t="n">
        <x:f>ROUND(O343*(1-P343),0)</x:f>
        <x:v>1003</x:v>
      </x:c>
      <x:c r="R343" t="n">
        <x:f>ROUND(O343*P343,0)</x:f>
        <x:v>390</x:v>
      </x:c>
      <x:c r="S343" t="n">
        <x:f>ROUND(O343*IFERROR(INDEX(Assumptions!$C$9:$C$13,MATCH(F343,Assumptions!$A$9:$A$13,0)),0.55),0)</x:f>
        <x:v>697</x:v>
      </x:c>
      <x:c r="T343" t="n">
        <x:f>ROUND(O343*IFERROR(INDEX(Assumptions!$D$9:$D$13,MATCH(F343,Assumptions!$A$9:$A$13,0)),0.06),0)</x:f>
        <x:v>70</x:v>
      </x:c>
      <x:c r="U343" t="n">
        <x:f>ROUND(O343*IFERROR(INDEX(Assumptions!$E$9:$E$13,MATCH(F343,Assumptions!$A$9:$A$13,0)),0.15),0)</x:f>
        <x:v>153</x:v>
      </x:c>
      <x:c r="V343" t="n">
        <x:f>MAX(0,O343-SUM(R343:U343))</x:f>
        <x:v>83.08999999999992</x:v>
      </x:c>
      <x:c r="W343" t="n">
        <x:f>MIN(100,40+IF(O343&gt;0,20,0)+IF(M343&lt;&gt;"",20,0)+IF(AF343&lt;&gt;"",20,0))</x:f>
        <x:v>100</x:v>
      </x:c>
      <x:c r="X343" t="str">
        <x:v>Placed on exact national road host link</x:v>
      </x:c>
      <x:c r="Y343" t="str">
        <x:v>Unpaved</x:v>
      </x:c>
      <x:c r="Z343" t="str">
        <x:v>C</x:v>
      </x:c>
      <x:c r="AA343" t="str">
        <x:v>Not available in governed source</x:v>
      </x:c>
      <x:c r="AB343" t="str">
        <x:v>Not available in governed source</x:v>
      </x:c>
      <x:c r="AC343" t="str">
        <x:v>FY2025/26</x:v>
      </x:c>
      <x:c r="AD343" t="str">
        <x:v>Modelled</x:v>
      </x:c>
      <x:c r="AE343" t="str">
        <x:v>2026 bridge AADT rebuilt from host-link traffic history, annual collection-link history, same-road corridor history and spatial count-station influence. Vehicle-class values are assigned from functional-class shares.</x:v>
      </x:c>
      <x:c r="AF343" t="str">
        <x:v>Placed on exact national road host link</x:v>
      </x:c>
    </x:row>
    <x:row r="344" ht="15" hidden="0" customHeight="1">
      <x:c r="A344" t="str">
        <x:v>bridge-343</x:v>
      </x:c>
      <x:c r="B344" t="str">
        <x:v>B357</x:v>
      </x:c>
      <x:c r="C344" t="str">
        <x:v>Kapisa Bridge</x:v>
      </x:c>
      <x:c r="D344" t="str">
        <x:v>C838_Link02</x:v>
      </x:c>
      <x:c r="E344" t="str">
        <x:v>Kidoko - Kachonga</x:v>
      </x:c>
      <x:c r="F344" t="str">
        <x:v>C</x:v>
      </x:c>
      <x:c r="G344" t="str">
        <x:v>Eastern</x:v>
      </x:c>
      <x:c r="H344" t="str">
        <x:v>Tororo</x:v>
      </x:c>
      <x:c r="I344" t="str">
        <x:v>Kapisa River</x:v>
      </x:c>
      <x:c r="J344" t="str">
        <x:v>Poor</x:v>
      </x:c>
      <x:c r="K344" t="n">
        <x:v>34.065819</x:v>
      </x:c>
      <x:c r="L344" t="n">
        <x:v>0.94015</x:v>
      </x:c>
      <x:c r="M344" t="n">
        <x:v>34.089446</x:v>
      </x:c>
      <x:c r="N344" t="n">
        <x:v>0.904873</x:v>
      </x:c>
      <x:c r="O344" t="n">
        <x:v>5179.88</x:v>
      </x:c>
      <x:c r="P344" t="n">
        <x:f>IFERROR(INDEX(Assumptions!$B$9:$B$13,MATCH(F344,Assumptions!$A$9:$A$13,0)),0.15)</x:f>
        <x:v>0.28</x:v>
      </x:c>
      <x:c r="Q344" t="n">
        <x:f>ROUND(O344*(1-P344),0)</x:f>
        <x:v>3730</x:v>
      </x:c>
      <x:c r="R344" t="n">
        <x:f>ROUND(O344*P344,0)</x:f>
        <x:v>1450</x:v>
      </x:c>
      <x:c r="S344" t="n">
        <x:f>ROUND(O344*IFERROR(INDEX(Assumptions!$C$9:$C$13,MATCH(F344,Assumptions!$A$9:$A$13,0)),0.55),0)</x:f>
        <x:v>2590</x:v>
      </x:c>
      <x:c r="T344" t="n">
        <x:f>ROUND(O344*IFERROR(INDEX(Assumptions!$D$9:$D$13,MATCH(F344,Assumptions!$A$9:$A$13,0)),0.06),0)</x:f>
        <x:v>259</x:v>
      </x:c>
      <x:c r="U344" t="n">
        <x:f>ROUND(O344*IFERROR(INDEX(Assumptions!$E$9:$E$13,MATCH(F344,Assumptions!$A$9:$A$13,0)),0.15),0)</x:f>
        <x:v>570</x:v>
      </x:c>
      <x:c r="V344" t="n">
        <x:f>MAX(0,O344-SUM(R344:U344))</x:f>
        <x:v>310.8800000000001</x:v>
      </x:c>
      <x:c r="W344" t="n">
        <x:f>MIN(100,40+IF(O344&gt;0,20,0)+IF(M344&lt;&gt;"",20,0)+IF(AF344&lt;&gt;"",20,0))</x:f>
        <x:v>100</x:v>
      </x:c>
      <x:c r="X344" t="str">
        <x:v>Placed on exact national road host link</x:v>
      </x:c>
      <x:c r="Y344" t="str">
        <x:v>Unpaved</x:v>
      </x:c>
      <x:c r="Z344" t="str">
        <x:v>C</x:v>
      </x:c>
      <x:c r="AA344" t="str">
        <x:v>Not available in governed source</x:v>
      </x:c>
      <x:c r="AB344" t="str">
        <x:v>Not available in governed source</x:v>
      </x:c>
      <x:c r="AC344" t="str">
        <x:v>FY2025/26</x:v>
      </x:c>
      <x:c r="AD344" t="str">
        <x:v>Modelled</x:v>
      </x:c>
      <x:c r="AE344" t="str">
        <x:v>2026 bridge AADT rebuilt from host-link traffic history, annual collection-link history, same-road corridor history and spatial count-station influence. Vehicle-class values are assigned from functional-class shares.</x:v>
      </x:c>
      <x:c r="AF344" t="str">
        <x:v>Placed on exact national road host link</x:v>
      </x:c>
    </x:row>
    <x:row r="345" ht="15" hidden="0" customHeight="1">
      <x:c r="A345" t="str">
        <x:v>bridge-344</x:v>
      </x:c>
      <x:c r="B345" t="str">
        <x:v>B359</x:v>
      </x:c>
      <x:c r="C345" t="str">
        <x:v>NAMULO</x:v>
      </x:c>
      <x:c r="D345" t="str">
        <x:v>C839_Link01</x:v>
      </x:c>
      <x:c r="E345" t="str">
        <x:v>Doho - Namulo - Amuro</x:v>
      </x:c>
      <x:c r="F345" t="str">
        <x:v>C</x:v>
      </x:c>
      <x:c r="G345" t="str">
        <x:v>Eastern</x:v>
      </x:c>
      <x:c r="H345" t="str">
        <x:v>Tororo</x:v>
      </x:c>
      <x:c r="I345" t="str">
        <x:v>MANAFA</x:v>
      </x:c>
      <x:c r="J345" t="str">
        <x:v>Marginal</x:v>
      </x:c>
      <x:c r="K345" t="n">
        <x:v>34.025162</x:v>
      </x:c>
      <x:c r="L345" t="n">
        <x:v>0.91808</x:v>
      </x:c>
      <x:c r="M345" t="n">
        <x:v>34.103293</x:v>
      </x:c>
      <x:c r="N345" t="n">
        <x:v>0.886811</x:v>
      </x:c>
      <x:c r="O345" t="n">
        <x:v>5179.88</x:v>
      </x:c>
      <x:c r="P345" t="n">
        <x:f>IFERROR(INDEX(Assumptions!$B$9:$B$13,MATCH(F345,Assumptions!$A$9:$A$13,0)),0.15)</x:f>
        <x:v>0.28</x:v>
      </x:c>
      <x:c r="Q345" t="n">
        <x:f>ROUND(O345*(1-P345),0)</x:f>
        <x:v>3730</x:v>
      </x:c>
      <x:c r="R345" t="n">
        <x:f>ROUND(O345*P345,0)</x:f>
        <x:v>1450</x:v>
      </x:c>
      <x:c r="S345" t="n">
        <x:f>ROUND(O345*IFERROR(INDEX(Assumptions!$C$9:$C$13,MATCH(F345,Assumptions!$A$9:$A$13,0)),0.55),0)</x:f>
        <x:v>2590</x:v>
      </x:c>
      <x:c r="T345" t="n">
        <x:f>ROUND(O345*IFERROR(INDEX(Assumptions!$D$9:$D$13,MATCH(F345,Assumptions!$A$9:$A$13,0)),0.06),0)</x:f>
        <x:v>259</x:v>
      </x:c>
      <x:c r="U345" t="n">
        <x:f>ROUND(O345*IFERROR(INDEX(Assumptions!$E$9:$E$13,MATCH(F345,Assumptions!$A$9:$A$13,0)),0.15),0)</x:f>
        <x:v>570</x:v>
      </x:c>
      <x:c r="V345" t="n">
        <x:f>MAX(0,O345-SUM(R345:U345))</x:f>
        <x:v>310.8800000000001</x:v>
      </x:c>
      <x:c r="W345" t="n">
        <x:f>MIN(100,40+IF(O345&gt;0,20,0)+IF(M345&lt;&gt;"",20,0)+IF(AF345&lt;&gt;"",20,0))</x:f>
        <x:v>100</x:v>
      </x:c>
      <x:c r="X345" t="str">
        <x:v>Placed on exact national road host link</x:v>
      </x:c>
      <x:c r="Y345" t="str">
        <x:v>Unpaved</x:v>
      </x:c>
      <x:c r="Z345" t="str">
        <x:v>C</x:v>
      </x:c>
      <x:c r="AA345" t="str">
        <x:v>Not available in governed source</x:v>
      </x:c>
      <x:c r="AB345" t="str">
        <x:v>Not available in governed source</x:v>
      </x:c>
      <x:c r="AC345" t="str">
        <x:v>FY2025/26</x:v>
      </x:c>
      <x:c r="AD345" t="str">
        <x:v>Modelled</x:v>
      </x:c>
      <x:c r="AE345" t="str">
        <x:v>2026 bridge AADT rebuilt from host-link traffic history, annual collection-link history, same-road corridor history and spatial count-station influence. Vehicle-class values are assigned from functional-class shares.</x:v>
      </x:c>
      <x:c r="AF345" t="str">
        <x:v>Placed on exact national road host link</x:v>
      </x:c>
    </x:row>
    <x:row r="346" ht="15" hidden="0" customHeight="1">
      <x:c r="A346" t="str">
        <x:v>bridge-345</x:v>
      </x:c>
      <x:c r="B346" t="str">
        <x:v>B360</x:v>
      </x:c>
      <x:c r="C346" t="str">
        <x:v>PAYA</x:v>
      </x:c>
      <x:c r="D346" t="str">
        <x:v>C847_Link01</x:v>
      </x:c>
      <x:c r="E346" t="str">
        <x:v>Nagongera - Paya - Leresi</x:v>
      </x:c>
      <x:c r="F346" t="str">
        <x:v>C</x:v>
      </x:c>
      <x:c r="G346" t="str">
        <x:v>Eastern</x:v>
      </x:c>
      <x:c r="H346" t="str">
        <x:v>Tororo</x:v>
      </x:c>
      <x:c r="I346" t="str">
        <x:v>NAGONGERA</x:v>
      </x:c>
      <x:c r="J346" t="str">
        <x:v>Marginal</x:v>
      </x:c>
      <x:c r="K346" t="n">
        <x:v>34.015369</x:v>
      </x:c>
      <x:c r="L346" t="n">
        <x:v>0.82397</x:v>
      </x:c>
      <x:c r="M346" t="n">
        <x:v>33.982725</x:v>
      </x:c>
      <x:c r="N346" t="n">
        <x:v>0.924678</x:v>
      </x:c>
      <x:c r="O346" t="n">
        <x:v>5179.88</x:v>
      </x:c>
      <x:c r="P346" t="n">
        <x:f>IFERROR(INDEX(Assumptions!$B$9:$B$13,MATCH(F346,Assumptions!$A$9:$A$13,0)),0.15)</x:f>
        <x:v>0.28</x:v>
      </x:c>
      <x:c r="Q346" t="n">
        <x:f>ROUND(O346*(1-P346),0)</x:f>
        <x:v>3730</x:v>
      </x:c>
      <x:c r="R346" t="n">
        <x:f>ROUND(O346*P346,0)</x:f>
        <x:v>1450</x:v>
      </x:c>
      <x:c r="S346" t="n">
        <x:f>ROUND(O346*IFERROR(INDEX(Assumptions!$C$9:$C$13,MATCH(F346,Assumptions!$A$9:$A$13,0)),0.55),0)</x:f>
        <x:v>2590</x:v>
      </x:c>
      <x:c r="T346" t="n">
        <x:f>ROUND(O346*IFERROR(INDEX(Assumptions!$D$9:$D$13,MATCH(F346,Assumptions!$A$9:$A$13,0)),0.06),0)</x:f>
        <x:v>259</x:v>
      </x:c>
      <x:c r="U346" t="n">
        <x:f>ROUND(O346*IFERROR(INDEX(Assumptions!$E$9:$E$13,MATCH(F346,Assumptions!$A$9:$A$13,0)),0.15),0)</x:f>
        <x:v>570</x:v>
      </x:c>
      <x:c r="V346" t="n">
        <x:f>MAX(0,O346-SUM(R346:U346))</x:f>
        <x:v>310.8800000000001</x:v>
      </x:c>
      <x:c r="W346" t="n">
        <x:f>MIN(100,40+IF(O346&gt;0,20,0)+IF(M346&lt;&gt;"",20,0)+IF(AF346&lt;&gt;"",20,0))</x:f>
        <x:v>100</x:v>
      </x:c>
      <x:c r="X346" t="str">
        <x:v>Placed on exact national road host link</x:v>
      </x:c>
      <x:c r="Y346" t="str">
        <x:v>Unpaved</x:v>
      </x:c>
      <x:c r="Z346" t="str">
        <x:v>C</x:v>
      </x:c>
      <x:c r="AA346" t="str">
        <x:v>Not available in governed source</x:v>
      </x:c>
      <x:c r="AB346" t="str">
        <x:v>Not available in governed source</x:v>
      </x:c>
      <x:c r="AC346" t="str">
        <x:v>FY2025/26</x:v>
      </x:c>
      <x:c r="AD346" t="str">
        <x:v>Modelled</x:v>
      </x:c>
      <x:c r="AE346" t="str">
        <x:v>2026 bridge AADT rebuilt from host-link traffic history, annual collection-link history, same-road corridor history and spatial count-station influence. Vehicle-class values are assigned from functional-class shares.</x:v>
      </x:c>
      <x:c r="AF346" t="str">
        <x:v>Placed on exact national road host link</x:v>
      </x:c>
    </x:row>
    <x:row r="347" ht="15" hidden="0" customHeight="1">
      <x:c r="A347" t="str">
        <x:v>bridge-346</x:v>
      </x:c>
      <x:c r="B347" t="str">
        <x:v>B361</x:v>
      </x:c>
      <x:c r="C347" t="str">
        <x:v>JALANJA</x:v>
      </x:c>
      <x:c r="D347" t="str">
        <x:v>C873_Link01</x:v>
      </x:c>
      <x:c r="E347" t="str">
        <x:v>Nabiganda - Kaiti</x:v>
      </x:c>
      <x:c r="F347" t="str">
        <x:v>C</x:v>
      </x:c>
      <x:c r="G347" t="str">
        <x:v>Eastern</x:v>
      </x:c>
      <x:c r="H347" t="str">
        <x:v>Mbale</x:v>
      </x:c>
      <x:c r="I347" t="str">
        <x:v>JALAJA</x:v>
      </x:c>
      <x:c r="J347" t="str">
        <x:v>Marginal</x:v>
      </x:c>
      <x:c r="K347" t="n">
        <x:v>34.036201</x:v>
      </x:c>
      <x:c r="L347" t="n">
        <x:v>1.0219</x:v>
      </x:c>
      <x:c r="M347" t="n">
        <x:v>34.053336</x:v>
      </x:c>
      <x:c r="N347" t="n">
        <x:v>0.998565</x:v>
      </x:c>
      <x:c r="O347" t="n">
        <x:v>1417.91</x:v>
      </x:c>
      <x:c r="P347" t="n">
        <x:f>IFERROR(INDEX(Assumptions!$B$9:$B$13,MATCH(F347,Assumptions!$A$9:$A$13,0)),0.15)</x:f>
        <x:v>0.28</x:v>
      </x:c>
      <x:c r="Q347" t="n">
        <x:f>ROUND(O347*(1-P347),0)</x:f>
        <x:v>1021</x:v>
      </x:c>
      <x:c r="R347" t="n">
        <x:f>ROUND(O347*P347,0)</x:f>
        <x:v>397</x:v>
      </x:c>
      <x:c r="S347" t="n">
        <x:f>ROUND(O347*IFERROR(INDEX(Assumptions!$C$9:$C$13,MATCH(F347,Assumptions!$A$9:$A$13,0)),0.55),0)</x:f>
        <x:v>709</x:v>
      </x:c>
      <x:c r="T347" t="n">
        <x:f>ROUND(O347*IFERROR(INDEX(Assumptions!$D$9:$D$13,MATCH(F347,Assumptions!$A$9:$A$13,0)),0.06),0)</x:f>
        <x:v>71</x:v>
      </x:c>
      <x:c r="U347" t="n">
        <x:f>ROUND(O347*IFERROR(INDEX(Assumptions!$E$9:$E$13,MATCH(F347,Assumptions!$A$9:$A$13,0)),0.15),0)</x:f>
        <x:v>156</x:v>
      </x:c>
      <x:c r="V347" t="n">
        <x:f>MAX(0,O347-SUM(R347:U347))</x:f>
        <x:v>84.91000000000008</x:v>
      </x:c>
      <x:c r="W347" t="n">
        <x:f>MIN(100,40+IF(O347&gt;0,20,0)+IF(M347&lt;&gt;"",20,0)+IF(AF347&lt;&gt;"",20,0))</x:f>
        <x:v>100</x:v>
      </x:c>
      <x:c r="X347" t="str">
        <x:v>Placed on exact national road host link</x:v>
      </x:c>
      <x:c r="Y347" t="str">
        <x:v>Unpaved</x:v>
      </x:c>
      <x:c r="Z347" t="str">
        <x:v>C</x:v>
      </x:c>
      <x:c r="AA347" t="str">
        <x:v>Not available in governed source</x:v>
      </x:c>
      <x:c r="AB347" t="str">
        <x:v>Not available in governed source</x:v>
      </x:c>
      <x:c r="AC347" t="str">
        <x:v>FY2025/26</x:v>
      </x:c>
      <x:c r="AD347" t="str">
        <x:v>Modelled</x:v>
      </x:c>
      <x:c r="AE347" t="str">
        <x:v>2026 bridge AADT rebuilt from host-link traffic history, annual collection-link history, same-road corridor history and spatial count-station influence. Vehicle-class values are assigned from functional-class shares.</x:v>
      </x:c>
      <x:c r="AF347" t="str">
        <x:v>Placed on exact national road host link</x:v>
      </x:c>
    </x:row>
    <x:row r="348" ht="15" hidden="0" customHeight="1">
      <x:c r="A348" t="str">
        <x:v>bridge-347</x:v>
      </x:c>
      <x:c r="B348" t="str">
        <x:v>B362</x:v>
      </x:c>
      <x:c r="C348" t="str">
        <x:v>NAHAMYA</x:v>
      </x:c>
      <x:c r="D348" t="str">
        <x:v>C873_Link01</x:v>
      </x:c>
      <x:c r="E348" t="str">
        <x:v>Nabiganda - Kaiti</x:v>
      </x:c>
      <x:c r="F348" t="str">
        <x:v>C</x:v>
      </x:c>
      <x:c r="G348" t="str">
        <x:v>Eastern</x:v>
      </x:c>
      <x:c r="H348" t="str">
        <x:v>Mbale</x:v>
      </x:c>
      <x:c r="I348" t="str">
        <x:v>Nahamya River</x:v>
      </x:c>
      <x:c r="J348" t="str">
        <x:v>Marginal</x:v>
      </x:c>
      <x:c r="K348" t="n">
        <x:v>34.04174</x:v>
      </x:c>
      <x:c r="L348" t="n">
        <x:v>1.01686</x:v>
      </x:c>
      <x:c r="M348" t="n">
        <x:v>34.054074</x:v>
      </x:c>
      <x:c r="N348" t="n">
        <x:v>0.995067</x:v>
      </x:c>
      <x:c r="O348" t="n">
        <x:v>1417.91</x:v>
      </x:c>
      <x:c r="P348" t="n">
        <x:f>IFERROR(INDEX(Assumptions!$B$9:$B$13,MATCH(F348,Assumptions!$A$9:$A$13,0)),0.15)</x:f>
        <x:v>0.28</x:v>
      </x:c>
      <x:c r="Q348" t="n">
        <x:f>ROUND(O348*(1-P348),0)</x:f>
        <x:v>1021</x:v>
      </x:c>
      <x:c r="R348" t="n">
        <x:f>ROUND(O348*P348,0)</x:f>
        <x:v>397</x:v>
      </x:c>
      <x:c r="S348" t="n">
        <x:f>ROUND(O348*IFERROR(INDEX(Assumptions!$C$9:$C$13,MATCH(F348,Assumptions!$A$9:$A$13,0)),0.55),0)</x:f>
        <x:v>709</x:v>
      </x:c>
      <x:c r="T348" t="n">
        <x:f>ROUND(O348*IFERROR(INDEX(Assumptions!$D$9:$D$13,MATCH(F348,Assumptions!$A$9:$A$13,0)),0.06),0)</x:f>
        <x:v>71</x:v>
      </x:c>
      <x:c r="U348" t="n">
        <x:f>ROUND(O348*IFERROR(INDEX(Assumptions!$E$9:$E$13,MATCH(F348,Assumptions!$A$9:$A$13,0)),0.15),0)</x:f>
        <x:v>156</x:v>
      </x:c>
      <x:c r="V348" t="n">
        <x:f>MAX(0,O348-SUM(R348:U348))</x:f>
        <x:v>84.91000000000008</x:v>
      </x:c>
      <x:c r="W348" t="n">
        <x:f>MIN(100,40+IF(O348&gt;0,20,0)+IF(M348&lt;&gt;"",20,0)+IF(AF348&lt;&gt;"",20,0))</x:f>
        <x:v>100</x:v>
      </x:c>
      <x:c r="X348" t="str">
        <x:v>Placed on exact national road host link</x:v>
      </x:c>
      <x:c r="Y348" t="str">
        <x:v>Unpaved</x:v>
      </x:c>
      <x:c r="Z348" t="str">
        <x:v>C</x:v>
      </x:c>
      <x:c r="AA348" t="str">
        <x:v>Not available in governed source</x:v>
      </x:c>
      <x:c r="AB348" t="str">
        <x:v>Not available in governed source</x:v>
      </x:c>
      <x:c r="AC348" t="str">
        <x:v>FY2025/26</x:v>
      </x:c>
      <x:c r="AD348" t="str">
        <x:v>Modelled</x:v>
      </x:c>
      <x:c r="AE348" t="str">
        <x:v>2026 bridge AADT rebuilt from host-link traffic history, annual collection-link history, same-road corridor history and spatial count-station influence. Vehicle-class values are assigned from functional-class shares.</x:v>
      </x:c>
      <x:c r="AF348" t="str">
        <x:v>Placed on exact national road host link</x:v>
      </x:c>
    </x:row>
    <x:row r="349" ht="15" hidden="0" customHeight="1">
      <x:c r="A349" t="str">
        <x:v>bridge-348</x:v>
      </x:c>
      <x:c r="B349" t="str">
        <x:v>B363</x:v>
      </x:c>
      <x:c r="C349" t="str">
        <x:v>KITOIKAWUNONI</x:v>
      </x:c>
      <x:c r="D349" t="str">
        <x:v>C878_Link01</x:v>
      </x:c>
      <x:c r="E349" t="str">
        <x:v>Nakaloke-Kabwangasi-Butebo</x:v>
      </x:c>
      <x:c r="F349" t="str">
        <x:v>C</x:v>
      </x:c>
      <x:c r="G349" t="str">
        <x:v>Eastern</x:v>
      </x:c>
      <x:c r="H349" t="str">
        <x:v>Mbale</x:v>
      </x:c>
      <x:c r="I349" t="str">
        <x:v>KITOIKAWUNONI</x:v>
      </x:c>
      <x:c r="J349" t="str">
        <x:v>Marginal</x:v>
      </x:c>
      <x:c r="K349" t="n">
        <x:v>33.971031</x:v>
      </x:c>
      <x:c r="L349" t="n">
        <x:v>1.19822</x:v>
      </x:c>
      <x:c r="M349" t="n">
        <x:v>33.923348</x:v>
      </x:c>
      <x:c r="N349" t="n">
        <x:v>1.194367</x:v>
      </x:c>
      <x:c r="O349" t="n">
        <x:v>1909.69</x:v>
      </x:c>
      <x:c r="P349" t="n">
        <x:f>IFERROR(INDEX(Assumptions!$B$9:$B$13,MATCH(F349,Assumptions!$A$9:$A$13,0)),0.15)</x:f>
        <x:v>0.28</x:v>
      </x:c>
      <x:c r="Q349" t="n">
        <x:f>ROUND(O349*(1-P349),0)</x:f>
        <x:v>1375</x:v>
      </x:c>
      <x:c r="R349" t="n">
        <x:f>ROUND(O349*P349,0)</x:f>
        <x:v>535</x:v>
      </x:c>
      <x:c r="S349" t="n">
        <x:f>ROUND(O349*IFERROR(INDEX(Assumptions!$C$9:$C$13,MATCH(F349,Assumptions!$A$9:$A$13,0)),0.55),0)</x:f>
        <x:v>955</x:v>
      </x:c>
      <x:c r="T349" t="n">
        <x:f>ROUND(O349*IFERROR(INDEX(Assumptions!$D$9:$D$13,MATCH(F349,Assumptions!$A$9:$A$13,0)),0.06),0)</x:f>
        <x:v>95</x:v>
      </x:c>
      <x:c r="U349" t="n">
        <x:f>ROUND(O349*IFERROR(INDEX(Assumptions!$E$9:$E$13,MATCH(F349,Assumptions!$A$9:$A$13,0)),0.15),0)</x:f>
        <x:v>210</x:v>
      </x:c>
      <x:c r="V349" t="n">
        <x:f>MAX(0,O349-SUM(R349:U349))</x:f>
        <x:v>114.69000000000005</x:v>
      </x:c>
      <x:c r="W349" t="n">
        <x:f>MIN(100,40+IF(O349&gt;0,20,0)+IF(M349&lt;&gt;"",20,0)+IF(AF349&lt;&gt;"",20,0))</x:f>
        <x:v>100</x:v>
      </x:c>
      <x:c r="X349" t="str">
        <x:v>Placed on exact national road host link</x:v>
      </x:c>
      <x:c r="Y349" t="str">
        <x:v>Unpaved</x:v>
      </x:c>
      <x:c r="Z349" t="str">
        <x:v>C</x:v>
      </x:c>
      <x:c r="AA349" t="str">
        <x:v>Not available in governed source</x:v>
      </x:c>
      <x:c r="AB349" t="str">
        <x:v>Not available in governed source</x:v>
      </x:c>
      <x:c r="AC349" t="str">
        <x:v>FY2025/26</x:v>
      </x:c>
      <x:c r="AD349" t="str">
        <x:v>Modelled</x:v>
      </x:c>
      <x:c r="AE349" t="str">
        <x:v>2026 bridge AADT rebuilt from host-link traffic history, annual collection-link history, same-road corridor history and spatial count-station influence. Vehicle-class values are assigned from functional-class shares.</x:v>
      </x:c>
      <x:c r="AF349" t="str">
        <x:v>Placed on exact national road host link</x:v>
      </x:c>
    </x:row>
    <x:row r="350" ht="15" hidden="0" customHeight="1">
      <x:c r="A350" t="str">
        <x:v>bridge-349</x:v>
      </x:c>
      <x:c r="B350" t="str">
        <x:v>B364</x:v>
      </x:c>
      <x:c r="C350" t="str">
        <x:v>BUSAMAGA</x:v>
      </x:c>
      <x:c r="D350" t="str">
        <x:v>C880_Link01</x:v>
      </x:c>
      <x:c r="E350" t="str">
        <x:v>Mbale-Bufumbo</x:v>
      </x:c>
      <x:c r="F350" t="str">
        <x:v>C</x:v>
      </x:c>
      <x:c r="G350" t="str">
        <x:v>Eastern</x:v>
      </x:c>
      <x:c r="H350" t="str">
        <x:v>Mbale</x:v>
      </x:c>
      <x:c r="I350" t="str">
        <x:v>NAMATYALE</x:v>
      </x:c>
      <x:c r="J350" t="str">
        <x:v>Satisfactory</x:v>
      </x:c>
      <x:c r="K350" t="n">
        <x:v>34.188309</x:v>
      </x:c>
      <x:c r="L350" t="n">
        <x:v>1.08333</x:v>
      </x:c>
      <x:c r="M350" t="n">
        <x:v>34.281843</x:v>
      </x:c>
      <x:c r="N350" t="n">
        <x:v>1.118726</x:v>
      </x:c>
      <x:c r="O350" t="n">
        <x:v>2272.7</x:v>
      </x:c>
      <x:c r="P350" t="n">
        <x:f>IFERROR(INDEX(Assumptions!$B$9:$B$13,MATCH(F350,Assumptions!$A$9:$A$13,0)),0.15)</x:f>
        <x:v>0.28</x:v>
      </x:c>
      <x:c r="Q350" t="n">
        <x:f>ROUND(O350*(1-P350),0)</x:f>
        <x:v>1636</x:v>
      </x:c>
      <x:c r="R350" t="n">
        <x:f>ROUND(O350*P350,0)</x:f>
        <x:v>636</x:v>
      </x:c>
      <x:c r="S350" t="n">
        <x:f>ROUND(O350*IFERROR(INDEX(Assumptions!$C$9:$C$13,MATCH(F350,Assumptions!$A$9:$A$13,0)),0.55),0)</x:f>
        <x:v>1136</x:v>
      </x:c>
      <x:c r="T350" t="n">
        <x:f>ROUND(O350*IFERROR(INDEX(Assumptions!$D$9:$D$13,MATCH(F350,Assumptions!$A$9:$A$13,0)),0.06),0)</x:f>
        <x:v>114</x:v>
      </x:c>
      <x:c r="U350" t="n">
        <x:f>ROUND(O350*IFERROR(INDEX(Assumptions!$E$9:$E$13,MATCH(F350,Assumptions!$A$9:$A$13,0)),0.15),0)</x:f>
        <x:v>250</x:v>
      </x:c>
      <x:c r="V350" t="n">
        <x:f>MAX(0,O350-SUM(R350:U350))</x:f>
        <x:v>136.69999999999982</x:v>
      </x:c>
      <x:c r="W350" t="n">
        <x:f>MIN(100,40+IF(O350&gt;0,20,0)+IF(M350&lt;&gt;"",20,0)+IF(AF350&lt;&gt;"",20,0))</x:f>
        <x:v>100</x:v>
      </x:c>
      <x:c r="X350" t="str">
        <x:v>Placed on exact national road host link</x:v>
      </x:c>
      <x:c r="Y350" t="str">
        <x:v>Unpaved</x:v>
      </x:c>
      <x:c r="Z350" t="str">
        <x:v>C</x:v>
      </x:c>
      <x:c r="AA350" t="str">
        <x:v>Not available in governed source</x:v>
      </x:c>
      <x:c r="AB350" t="str">
        <x:v>Not available in governed source</x:v>
      </x:c>
      <x:c r="AC350" t="str">
        <x:v>FY2025/26</x:v>
      </x:c>
      <x:c r="AD350" t="str">
        <x:v>Modelled</x:v>
      </x:c>
      <x:c r="AE350" t="str">
        <x:v>2026 bridge AADT rebuilt from host-link traffic history, annual collection-link history, same-road corridor history and spatial count-station influence. Vehicle-class values are assigned from functional-class shares.</x:v>
      </x:c>
      <x:c r="AF350" t="str">
        <x:v>Placed on exact national road host link</x:v>
      </x:c>
    </x:row>
    <x:row r="351" ht="15" hidden="0" customHeight="1">
      <x:c r="A351" t="str">
        <x:v>bridge-350</x:v>
      </x:c>
      <x:c r="B351" t="str">
        <x:v>B365</x:v>
      </x:c>
      <x:c r="C351" t="str">
        <x:v>NAMATYALE</x:v>
      </x:c>
      <x:c r="D351" t="str">
        <x:v>C880_Link01</x:v>
      </x:c>
      <x:c r="E351" t="str">
        <x:v>Mbale-Bufumbo</x:v>
      </x:c>
      <x:c r="F351" t="str">
        <x:v>C</x:v>
      </x:c>
      <x:c r="G351" t="str">
        <x:v>Eastern</x:v>
      </x:c>
      <x:c r="H351" t="str">
        <x:v>Mbale</x:v>
      </x:c>
      <x:c r="I351" t="str">
        <x:v>NAMATYALE</x:v>
      </x:c>
      <x:c r="J351" t="str">
        <x:v>Poor</x:v>
      </x:c>
      <x:c r="K351" t="n">
        <x:v>34.279011</x:v>
      </x:c>
      <x:c r="L351" t="n">
        <x:v>1.10528</x:v>
      </x:c>
      <x:c r="M351" t="n">
        <x:v>34.281843</x:v>
      </x:c>
      <x:c r="N351" t="n">
        <x:v>1.118726</x:v>
      </x:c>
      <x:c r="O351" t="n">
        <x:v>2272.7</x:v>
      </x:c>
      <x:c r="P351" t="n">
        <x:f>IFERROR(INDEX(Assumptions!$B$9:$B$13,MATCH(F351,Assumptions!$A$9:$A$13,0)),0.15)</x:f>
        <x:v>0.28</x:v>
      </x:c>
      <x:c r="Q351" t="n">
        <x:f>ROUND(O351*(1-P351),0)</x:f>
        <x:v>1636</x:v>
      </x:c>
      <x:c r="R351" t="n">
        <x:f>ROUND(O351*P351,0)</x:f>
        <x:v>636</x:v>
      </x:c>
      <x:c r="S351" t="n">
        <x:f>ROUND(O351*IFERROR(INDEX(Assumptions!$C$9:$C$13,MATCH(F351,Assumptions!$A$9:$A$13,0)),0.55),0)</x:f>
        <x:v>1136</x:v>
      </x:c>
      <x:c r="T351" t="n">
        <x:f>ROUND(O351*IFERROR(INDEX(Assumptions!$D$9:$D$13,MATCH(F351,Assumptions!$A$9:$A$13,0)),0.06),0)</x:f>
        <x:v>114</x:v>
      </x:c>
      <x:c r="U351" t="n">
        <x:f>ROUND(O351*IFERROR(INDEX(Assumptions!$E$9:$E$13,MATCH(F351,Assumptions!$A$9:$A$13,0)),0.15),0)</x:f>
        <x:v>250</x:v>
      </x:c>
      <x:c r="V351" t="n">
        <x:f>MAX(0,O351-SUM(R351:U351))</x:f>
        <x:v>136.69999999999982</x:v>
      </x:c>
      <x:c r="W351" t="n">
        <x:f>MIN(100,40+IF(O351&gt;0,20,0)+IF(M351&lt;&gt;"",20,0)+IF(AF351&lt;&gt;"",20,0))</x:f>
        <x:v>100</x:v>
      </x:c>
      <x:c r="X351" t="str">
        <x:v>Placed on exact national road host link</x:v>
      </x:c>
      <x:c r="Y351" t="str">
        <x:v>Unpaved</x:v>
      </x:c>
      <x:c r="Z351" t="str">
        <x:v>C</x:v>
      </x:c>
      <x:c r="AA351" t="str">
        <x:v>Not available in governed source</x:v>
      </x:c>
      <x:c r="AB351" t="str">
        <x:v>Not available in governed source</x:v>
      </x:c>
      <x:c r="AC351" t="str">
        <x:v>FY2025/26</x:v>
      </x:c>
      <x:c r="AD351" t="str">
        <x:v>Modelled</x:v>
      </x:c>
      <x:c r="AE351" t="str">
        <x:v>2026 bridge AADT rebuilt from host-link traffic history, annual collection-link history, same-road corridor history and spatial count-station influence. Vehicle-class values are assigned from functional-class shares.</x:v>
      </x:c>
      <x:c r="AF351" t="str">
        <x:v>Placed on exact national road host link</x:v>
      </x:c>
    </x:row>
    <x:row r="352" ht="15" hidden="0" customHeight="1">
      <x:c r="A352" t="str">
        <x:v>bridge-351</x:v>
      </x:c>
      <x:c r="B352" t="str">
        <x:v>B366</x:v>
      </x:c>
      <x:c r="C352" t="str">
        <x:v>PONDO</x:v>
      </x:c>
      <x:c r="D352" t="str">
        <x:v>C884_Link01</x:v>
      </x:c>
      <x:c r="E352" t="str">
        <x:v>Buyaga - Buluganya</x:v>
      </x:c>
      <x:c r="F352" t="str">
        <x:v>C</x:v>
      </x:c>
      <x:c r="G352" t="str">
        <x:v>Eastern</x:v>
      </x:c>
      <x:c r="H352" t="str">
        <x:v>Mbale</x:v>
      </x:c>
      <x:c r="I352" t="str">
        <x:v>SIMU</x:v>
      </x:c>
      <x:c r="J352" t="str">
        <x:v>Marginal</x:v>
      </x:c>
      <x:c r="K352" t="n">
        <x:v>34.304482</x:v>
      </x:c>
      <x:c r="L352" t="n">
        <x:v>1.28164</x:v>
      </x:c>
      <x:c r="M352" t="n">
        <x:v>34.362165</x:v>
      </x:c>
      <x:c r="N352" t="n">
        <x:v>1.226544</x:v>
      </x:c>
      <x:c r="O352" t="n">
        <x:v>854.78</x:v>
      </x:c>
      <x:c r="P352" t="n">
        <x:f>IFERROR(INDEX(Assumptions!$B$9:$B$13,MATCH(F352,Assumptions!$A$9:$A$13,0)),0.15)</x:f>
        <x:v>0.28</x:v>
      </x:c>
      <x:c r="Q352" t="n">
        <x:f>ROUND(O352*(1-P352),0)</x:f>
        <x:v>615</x:v>
      </x:c>
      <x:c r="R352" t="n">
        <x:f>ROUND(O352*P352,0)</x:f>
        <x:v>239</x:v>
      </x:c>
      <x:c r="S352" t="n">
        <x:f>ROUND(O352*IFERROR(INDEX(Assumptions!$C$9:$C$13,MATCH(F352,Assumptions!$A$9:$A$13,0)),0.55),0)</x:f>
        <x:v>427</x:v>
      </x:c>
      <x:c r="T352" t="n">
        <x:f>ROUND(O352*IFERROR(INDEX(Assumptions!$D$9:$D$13,MATCH(F352,Assumptions!$A$9:$A$13,0)),0.06),0)</x:f>
        <x:v>43</x:v>
      </x:c>
      <x:c r="U352" t="n">
        <x:f>ROUND(O352*IFERROR(INDEX(Assumptions!$E$9:$E$13,MATCH(F352,Assumptions!$A$9:$A$13,0)),0.15),0)</x:f>
        <x:v>94</x:v>
      </x:c>
      <x:c r="V352" t="n">
        <x:f>MAX(0,O352-SUM(R352:U352))</x:f>
        <x:v>51.77999999999997</x:v>
      </x:c>
      <x:c r="W352" t="n">
        <x:f>MIN(100,40+IF(O352&gt;0,20,0)+IF(M352&lt;&gt;"",20,0)+IF(AF352&lt;&gt;"",20,0))</x:f>
        <x:v>100</x:v>
      </x:c>
      <x:c r="X352" t="str">
        <x:v>Placed on exact national road host link</x:v>
      </x:c>
      <x:c r="Y352" t="str">
        <x:v>Unpaved</x:v>
      </x:c>
      <x:c r="Z352" t="str">
        <x:v>C</x:v>
      </x:c>
      <x:c r="AA352" t="str">
        <x:v>Not available in governed source</x:v>
      </x:c>
      <x:c r="AB352" t="str">
        <x:v>Not available in governed source</x:v>
      </x:c>
      <x:c r="AC352" t="str">
        <x:v>FY2025/26</x:v>
      </x:c>
      <x:c r="AD352" t="str">
        <x:v>Modelled</x:v>
      </x:c>
      <x:c r="AE352" t="str">
        <x:v>2026 bridge AADT rebuilt from host-link traffic history, annual collection-link history, same-road corridor history and spatial count-station influence. Vehicle-class values are assigned from functional-class shares.</x:v>
      </x:c>
      <x:c r="AF352" t="str">
        <x:v>Placed on exact national road host link</x:v>
      </x:c>
    </x:row>
    <x:row r="353" ht="15" hidden="0" customHeight="1">
      <x:c r="A353" t="str">
        <x:v>bridge-352</x:v>
      </x:c>
      <x:c r="B353" t="str">
        <x:v>B367</x:v>
      </x:c>
      <x:c r="C353" t="str">
        <x:v>SIMU</x:v>
      </x:c>
      <x:c r="D353" t="str">
        <x:v>C884_Link01</x:v>
      </x:c>
      <x:c r="E353" t="str">
        <x:v>Buyaga - Buluganya</x:v>
      </x:c>
      <x:c r="F353" t="str">
        <x:v>C</x:v>
      </x:c>
      <x:c r="G353" t="str">
        <x:v>Eastern</x:v>
      </x:c>
      <x:c r="H353" t="str">
        <x:v>Mbale</x:v>
      </x:c>
      <x:c r="I353" t="str">
        <x:v>SIMU</x:v>
      </x:c>
      <x:c r="J353" t="str">
        <x:v>Marginal</x:v>
      </x:c>
      <x:c r="K353" t="n">
        <x:v>34.341091</x:v>
      </x:c>
      <x:c r="L353" t="n">
        <x:v>1.2446</x:v>
      </x:c>
      <x:c r="M353" t="n">
        <x:v>34.362165</x:v>
      </x:c>
      <x:c r="N353" t="n">
        <x:v>1.226544</x:v>
      </x:c>
      <x:c r="O353" t="n">
        <x:v>854.78</x:v>
      </x:c>
      <x:c r="P353" t="n">
        <x:f>IFERROR(INDEX(Assumptions!$B$9:$B$13,MATCH(F353,Assumptions!$A$9:$A$13,0)),0.15)</x:f>
        <x:v>0.28</x:v>
      </x:c>
      <x:c r="Q353" t="n">
        <x:f>ROUND(O353*(1-P353),0)</x:f>
        <x:v>615</x:v>
      </x:c>
      <x:c r="R353" t="n">
        <x:f>ROUND(O353*P353,0)</x:f>
        <x:v>239</x:v>
      </x:c>
      <x:c r="S353" t="n">
        <x:f>ROUND(O353*IFERROR(INDEX(Assumptions!$C$9:$C$13,MATCH(F353,Assumptions!$A$9:$A$13,0)),0.55),0)</x:f>
        <x:v>427</x:v>
      </x:c>
      <x:c r="T353" t="n">
        <x:f>ROUND(O353*IFERROR(INDEX(Assumptions!$D$9:$D$13,MATCH(F353,Assumptions!$A$9:$A$13,0)),0.06),0)</x:f>
        <x:v>43</x:v>
      </x:c>
      <x:c r="U353" t="n">
        <x:f>ROUND(O353*IFERROR(INDEX(Assumptions!$E$9:$E$13,MATCH(F353,Assumptions!$A$9:$A$13,0)),0.15),0)</x:f>
        <x:v>94</x:v>
      </x:c>
      <x:c r="V353" t="n">
        <x:f>MAX(0,O353-SUM(R353:U353))</x:f>
        <x:v>51.77999999999997</x:v>
      </x:c>
      <x:c r="W353" t="n">
        <x:f>MIN(100,40+IF(O353&gt;0,20,0)+IF(M353&lt;&gt;"",20,0)+IF(AF353&lt;&gt;"",20,0))</x:f>
        <x:v>100</x:v>
      </x:c>
      <x:c r="X353" t="str">
        <x:v>Placed on exact national road host link</x:v>
      </x:c>
      <x:c r="Y353" t="str">
        <x:v>Unpaved</x:v>
      </x:c>
      <x:c r="Z353" t="str">
        <x:v>C</x:v>
      </x:c>
      <x:c r="AA353" t="str">
        <x:v>Not available in governed source</x:v>
      </x:c>
      <x:c r="AB353" t="str">
        <x:v>Not available in governed source</x:v>
      </x:c>
      <x:c r="AC353" t="str">
        <x:v>FY2025/26</x:v>
      </x:c>
      <x:c r="AD353" t="str">
        <x:v>Modelled</x:v>
      </x:c>
      <x:c r="AE353" t="str">
        <x:v>2026 bridge AADT rebuilt from host-link traffic history, annual collection-link history, same-road corridor history and spatial count-station influence. Vehicle-class values are assigned from functional-class shares.</x:v>
      </x:c>
      <x:c r="AF353" t="str">
        <x:v>Placed on exact national road host link</x:v>
      </x:c>
    </x:row>
    <x:row r="354" ht="15" hidden="0" customHeight="1">
      <x:c r="A354" t="str">
        <x:v>bridge-353</x:v>
      </x:c>
      <x:c r="B354" t="str">
        <x:v>B368</x:v>
      </x:c>
      <x:c r="C354" t="str">
        <x:v>SISI</x:v>
      </x:c>
      <x:c r="D354" t="str">
        <x:v>C885_Link01</x:v>
      </x:c>
      <x:c r="E354" t="str">
        <x:v>Buginyanya Agriculture Research Station</x:v>
      </x:c>
      <x:c r="F354" t="str">
        <x:v>C</x:v>
      </x:c>
      <x:c r="G354" t="str">
        <x:v>Eastern</x:v>
      </x:c>
      <x:c r="H354" t="str">
        <x:v>Mbale</x:v>
      </x:c>
      <x:c r="I354" t="str">
        <x:v>SISI</x:v>
      </x:c>
      <x:c r="J354" t="str">
        <x:v>Poor</x:v>
      </x:c>
      <x:c r="K354" t="n">
        <x:v>34.353828</x:v>
      </x:c>
      <x:c r="L354" t="n">
        <x:v>1.26338</x:v>
      </x:c>
      <x:c r="M354" t="n">
        <x:v>34.379555</x:v>
      </x:c>
      <x:c r="N354" t="n">
        <x:v>1.284326</x:v>
      </x:c>
      <x:c r="O354" t="n">
        <x:v>854.78</x:v>
      </x:c>
      <x:c r="P354" t="n">
        <x:f>IFERROR(INDEX(Assumptions!$B$9:$B$13,MATCH(F354,Assumptions!$A$9:$A$13,0)),0.15)</x:f>
        <x:v>0.28</x:v>
      </x:c>
      <x:c r="Q354" t="n">
        <x:f>ROUND(O354*(1-P354),0)</x:f>
        <x:v>615</x:v>
      </x:c>
      <x:c r="R354" t="n">
        <x:f>ROUND(O354*P354,0)</x:f>
        <x:v>239</x:v>
      </x:c>
      <x:c r="S354" t="n">
        <x:f>ROUND(O354*IFERROR(INDEX(Assumptions!$C$9:$C$13,MATCH(F354,Assumptions!$A$9:$A$13,0)),0.55),0)</x:f>
        <x:v>427</x:v>
      </x:c>
      <x:c r="T354" t="n">
        <x:f>ROUND(O354*IFERROR(INDEX(Assumptions!$D$9:$D$13,MATCH(F354,Assumptions!$A$9:$A$13,0)),0.06),0)</x:f>
        <x:v>43</x:v>
      </x:c>
      <x:c r="U354" t="n">
        <x:f>ROUND(O354*IFERROR(INDEX(Assumptions!$E$9:$E$13,MATCH(F354,Assumptions!$A$9:$A$13,0)),0.15),0)</x:f>
        <x:v>94</x:v>
      </x:c>
      <x:c r="V354" t="n">
        <x:f>MAX(0,O354-SUM(R354:U354))</x:f>
        <x:v>51.77999999999997</x:v>
      </x:c>
      <x:c r="W354" t="n">
        <x:f>MIN(100,40+IF(O354&gt;0,20,0)+IF(M354&lt;&gt;"",20,0)+IF(AF354&lt;&gt;"",20,0))</x:f>
        <x:v>100</x:v>
      </x:c>
      <x:c r="X354" t="str">
        <x:v>Placed on exact national road host link</x:v>
      </x:c>
      <x:c r="Y354" t="str">
        <x:v>Unpaved</x:v>
      </x:c>
      <x:c r="Z354" t="str">
        <x:v>C</x:v>
      </x:c>
      <x:c r="AA354" t="str">
        <x:v>Not available in governed source</x:v>
      </x:c>
      <x:c r="AB354" t="str">
        <x:v>Not available in governed source</x:v>
      </x:c>
      <x:c r="AC354" t="str">
        <x:v>FY2025/26</x:v>
      </x:c>
      <x:c r="AD354" t="str">
        <x:v>Modelled</x:v>
      </x:c>
      <x:c r="AE354" t="str">
        <x:v>2026 bridge AADT rebuilt from host-link traffic history, annual collection-link history, same-road corridor history and spatial count-station influence. Vehicle-class values are assigned from functional-class shares.</x:v>
      </x:c>
      <x:c r="AF354" t="str">
        <x:v>Placed on exact national road host link</x:v>
      </x:c>
    </x:row>
    <x:row r="355" ht="15" hidden="0" customHeight="1">
      <x:c r="A355" t="str">
        <x:v>bridge-354</x:v>
      </x:c>
      <x:c r="B355" t="str">
        <x:v>B369</x:v>
      </x:c>
      <x:c r="C355" t="str">
        <x:v>KUFFU</x:v>
      </x:c>
      <x:c r="D355" t="str">
        <x:v>C891_Link01</x:v>
      </x:c>
      <x:c r="E355" t="str">
        <x:v>Buseta - Bugiri</x:v>
      </x:c>
      <x:c r="F355" t="str">
        <x:v>C</x:v>
      </x:c>
      <x:c r="G355" t="str">
        <x:v>Eastern</x:v>
      </x:c>
      <x:c r="H355" t="str">
        <x:v>Mbale</x:v>
      </x:c>
      <x:c r="I355" t="str">
        <x:v>KUFFU</x:v>
      </x:c>
      <x:c r="J355" t="str">
        <x:v>Marginal</x:v>
      </x:c>
      <x:c r="K355" t="n">
        <x:v>34.295952</x:v>
      </x:c>
      <x:c r="L355" t="n">
        <x:v>0.93083</x:v>
      </x:c>
      <x:c r="M355" t="n">
        <x:v>33.693601</x:v>
      </x:c>
      <x:c r="N355" t="n">
        <x:v>1.055516</x:v>
      </x:c>
      <x:c r="O355" t="n">
        <x:v>1808.85</x:v>
      </x:c>
      <x:c r="P355" t="n">
        <x:f>IFERROR(INDEX(Assumptions!$B$9:$B$13,MATCH(F355,Assumptions!$A$9:$A$13,0)),0.15)</x:f>
        <x:v>0.28</x:v>
      </x:c>
      <x:c r="Q355" t="n">
        <x:f>ROUND(O355*(1-P355),0)</x:f>
        <x:v>1302</x:v>
      </x:c>
      <x:c r="R355" t="n">
        <x:f>ROUND(O355*P355,0)</x:f>
        <x:v>506</x:v>
      </x:c>
      <x:c r="S355" t="n">
        <x:f>ROUND(O355*IFERROR(INDEX(Assumptions!$C$9:$C$13,MATCH(F355,Assumptions!$A$9:$A$13,0)),0.55),0)</x:f>
        <x:v>904</x:v>
      </x:c>
      <x:c r="T355" t="n">
        <x:f>ROUND(O355*IFERROR(INDEX(Assumptions!$D$9:$D$13,MATCH(F355,Assumptions!$A$9:$A$13,0)),0.06),0)</x:f>
        <x:v>90</x:v>
      </x:c>
      <x:c r="U355" t="n">
        <x:f>ROUND(O355*IFERROR(INDEX(Assumptions!$E$9:$E$13,MATCH(F355,Assumptions!$A$9:$A$13,0)),0.15),0)</x:f>
        <x:v>199</x:v>
      </x:c>
      <x:c r="V355" t="n">
        <x:f>MAX(0,O355-SUM(R355:U355))</x:f>
        <x:v>109.84999999999991</x:v>
      </x:c>
      <x:c r="W355" t="n">
        <x:f>MIN(100,40+IF(O355&gt;0,20,0)+IF(M355&lt;&gt;"",20,0)+IF(AF355&lt;&gt;"",20,0))</x:f>
        <x:v>100</x:v>
      </x:c>
      <x:c r="X355" t="str">
        <x:v>Placed on exact national road host link</x:v>
      </x:c>
      <x:c r="Y355" t="str">
        <x:v>Unpaved</x:v>
      </x:c>
      <x:c r="Z355" t="str">
        <x:v>C</x:v>
      </x:c>
      <x:c r="AA355" t="str">
        <x:v>Not available in governed source</x:v>
      </x:c>
      <x:c r="AB355" t="str">
        <x:v>Not available in governed source</x:v>
      </x:c>
      <x:c r="AC355" t="str">
        <x:v>FY2025/26</x:v>
      </x:c>
      <x:c r="AD355" t="str">
        <x:v>Modelled</x:v>
      </x:c>
      <x:c r="AE355" t="str">
        <x:v>2026 bridge AADT rebuilt from host-link traffic history, annual collection-link history, same-road corridor history and spatial count-station influence. Vehicle-class values are assigned from functional-class shares.</x:v>
      </x:c>
      <x:c r="AF355" t="str">
        <x:v>Placed on exact national road host link</x:v>
      </x:c>
    </x:row>
    <x:row r="356" ht="15" hidden="0" customHeight="1">
      <x:c r="A356" t="str">
        <x:v>bridge-355</x:v>
      </x:c>
      <x:c r="B356" t="str">
        <x:v>B370</x:v>
      </x:c>
      <x:c r="C356" t="str">
        <x:v>NABUKHYA</x:v>
      </x:c>
      <x:c r="D356" t="str">
        <x:v>C891_Link01</x:v>
      </x:c>
      <x:c r="E356" t="str">
        <x:v>Buseta - Bugiri</x:v>
      </x:c>
      <x:c r="F356" t="str">
        <x:v>C</x:v>
      </x:c>
      <x:c r="G356" t="str">
        <x:v>Eastern</x:v>
      </x:c>
      <x:c r="H356" t="str">
        <x:v>Mbale</x:v>
      </x:c>
      <x:c r="I356" t="str">
        <x:v>NABUKHYA</x:v>
      </x:c>
      <x:c r="J356" t="str">
        <x:v>Satisfactory</x:v>
      </x:c>
      <x:c r="K356" t="n">
        <x:v>34.307739</x:v>
      </x:c>
      <x:c r="L356" t="n">
        <x:v>0.92459</x:v>
      </x:c>
      <x:c r="M356" t="n">
        <x:v>33.69344</x:v>
      </x:c>
      <x:c r="N356" t="n">
        <x:v>1.05509</x:v>
      </x:c>
      <x:c r="O356" t="n">
        <x:v>1808.85</x:v>
      </x:c>
      <x:c r="P356" t="n">
        <x:f>IFERROR(INDEX(Assumptions!$B$9:$B$13,MATCH(F356,Assumptions!$A$9:$A$13,0)),0.15)</x:f>
        <x:v>0.28</x:v>
      </x:c>
      <x:c r="Q356" t="n">
        <x:f>ROUND(O356*(1-P356),0)</x:f>
        <x:v>1302</x:v>
      </x:c>
      <x:c r="R356" t="n">
        <x:f>ROUND(O356*P356,0)</x:f>
        <x:v>506</x:v>
      </x:c>
      <x:c r="S356" t="n">
        <x:f>ROUND(O356*IFERROR(INDEX(Assumptions!$C$9:$C$13,MATCH(F356,Assumptions!$A$9:$A$13,0)),0.55),0)</x:f>
        <x:v>904</x:v>
      </x:c>
      <x:c r="T356" t="n">
        <x:f>ROUND(O356*IFERROR(INDEX(Assumptions!$D$9:$D$13,MATCH(F356,Assumptions!$A$9:$A$13,0)),0.06),0)</x:f>
        <x:v>90</x:v>
      </x:c>
      <x:c r="U356" t="n">
        <x:f>ROUND(O356*IFERROR(INDEX(Assumptions!$E$9:$E$13,MATCH(F356,Assumptions!$A$9:$A$13,0)),0.15),0)</x:f>
        <x:v>199</x:v>
      </x:c>
      <x:c r="V356" t="n">
        <x:f>MAX(0,O356-SUM(R356:U356))</x:f>
        <x:v>109.84999999999991</x:v>
      </x:c>
      <x:c r="W356" t="n">
        <x:f>MIN(100,40+IF(O356&gt;0,20,0)+IF(M356&lt;&gt;"",20,0)+IF(AF356&lt;&gt;"",20,0))</x:f>
        <x:v>100</x:v>
      </x:c>
      <x:c r="X356" t="str">
        <x:v>Placed on exact national road host link</x:v>
      </x:c>
      <x:c r="Y356" t="str">
        <x:v>Unpaved</x:v>
      </x:c>
      <x:c r="Z356" t="str">
        <x:v>C</x:v>
      </x:c>
      <x:c r="AA356" t="str">
        <x:v>Not available in governed source</x:v>
      </x:c>
      <x:c r="AB356" t="str">
        <x:v>Not available in governed source</x:v>
      </x:c>
      <x:c r="AC356" t="str">
        <x:v>FY2025/26</x:v>
      </x:c>
      <x:c r="AD356" t="str">
        <x:v>Modelled</x:v>
      </x:c>
      <x:c r="AE356" t="str">
        <x:v>2026 bridge AADT rebuilt from host-link traffic history, annual collection-link history, same-road corridor history and spatial count-station influence. Vehicle-class values are assigned from functional-class shares.</x:v>
      </x:c>
      <x:c r="AF356" t="str">
        <x:v>Placed on exact national road host link</x:v>
      </x:c>
    </x:row>
    <x:row r="357" ht="15" hidden="0" customHeight="1">
      <x:c r="A357" t="str">
        <x:v>bridge-356</x:v>
      </x:c>
      <x:c r="B357" t="str">
        <x:v>B372</x:v>
      </x:c>
      <x:c r="C357" t="str">
        <x:v>Methi</x:v>
      </x:c>
      <x:c r="D357" t="str">
        <x:v>C891_Link01</x:v>
      </x:c>
      <x:c r="E357" t="str">
        <x:v>Buseta - Bugiri</x:v>
      </x:c>
      <x:c r="F357" t="str">
        <x:v>C</x:v>
      </x:c>
      <x:c r="G357" t="str">
        <x:v>Eastern</x:v>
      </x:c>
      <x:c r="H357" t="str">
        <x:v>Mbale</x:v>
      </x:c>
      <x:c r="I357" t="str">
        <x:v>Methi-Meru</x:v>
      </x:c>
      <x:c r="J357" t="str">
        <x:v>Under Construction</x:v>
      </x:c>
      <x:c r="K357" t="n">
        <x:v>34.35997</x:v>
      </x:c>
      <x:c r="L357" t="n">
        <x:v>0.91622</x:v>
      </x:c>
      <x:c r="M357" t="n">
        <x:v>33.69344</x:v>
      </x:c>
      <x:c r="N357" t="n">
        <x:v>1.05509</x:v>
      </x:c>
      <x:c r="O357" t="n">
        <x:v>1808.85</x:v>
      </x:c>
      <x:c r="P357" t="n">
        <x:f>IFERROR(INDEX(Assumptions!$B$9:$B$13,MATCH(F357,Assumptions!$A$9:$A$13,0)),0.15)</x:f>
        <x:v>0.28</x:v>
      </x:c>
      <x:c r="Q357" t="n">
        <x:f>ROUND(O357*(1-P357),0)</x:f>
        <x:v>1302</x:v>
      </x:c>
      <x:c r="R357" t="n">
        <x:f>ROUND(O357*P357,0)</x:f>
        <x:v>506</x:v>
      </x:c>
      <x:c r="S357" t="n">
        <x:f>ROUND(O357*IFERROR(INDEX(Assumptions!$C$9:$C$13,MATCH(F357,Assumptions!$A$9:$A$13,0)),0.55),0)</x:f>
        <x:v>904</x:v>
      </x:c>
      <x:c r="T357" t="n">
        <x:f>ROUND(O357*IFERROR(INDEX(Assumptions!$D$9:$D$13,MATCH(F357,Assumptions!$A$9:$A$13,0)),0.06),0)</x:f>
        <x:v>90</x:v>
      </x:c>
      <x:c r="U357" t="n">
        <x:f>ROUND(O357*IFERROR(INDEX(Assumptions!$E$9:$E$13,MATCH(F357,Assumptions!$A$9:$A$13,0)),0.15),0)</x:f>
        <x:v>199</x:v>
      </x:c>
      <x:c r="V357" t="n">
        <x:f>MAX(0,O357-SUM(R357:U357))</x:f>
        <x:v>109.84999999999991</x:v>
      </x:c>
      <x:c r="W357" t="n">
        <x:f>MIN(100,40+IF(O357&gt;0,20,0)+IF(M357&lt;&gt;"",20,0)+IF(AF357&lt;&gt;"",20,0))</x:f>
        <x:v>100</x:v>
      </x:c>
      <x:c r="X357" t="str">
        <x:v>Placed on exact national road host link</x:v>
      </x:c>
      <x:c r="Y357" t="str">
        <x:v>Unpaved</x:v>
      </x:c>
      <x:c r="Z357" t="str">
        <x:v>C</x:v>
      </x:c>
      <x:c r="AA357" t="str">
        <x:v>Not available in governed source</x:v>
      </x:c>
      <x:c r="AB357" t="str">
        <x:v>Not available in governed source</x:v>
      </x:c>
      <x:c r="AC357" t="str">
        <x:v>FY2025/26</x:v>
      </x:c>
      <x:c r="AD357" t="str">
        <x:v>Modelled</x:v>
      </x:c>
      <x:c r="AE357" t="str">
        <x:v>2026 bridge AADT rebuilt from host-link traffic history, annual collection-link history, same-road corridor history and spatial count-station influence. Vehicle-class values are assigned from functional-class shares.</x:v>
      </x:c>
      <x:c r="AF357" t="str">
        <x:v>Placed on exact national road host link</x:v>
      </x:c>
    </x:row>
    <x:row r="358" ht="15" hidden="0" customHeight="1">
      <x:c r="A358" t="str">
        <x:v>bridge-357</x:v>
      </x:c>
      <x:c r="B358" t="str">
        <x:v>B373</x:v>
      </x:c>
      <x:c r="C358" t="str">
        <x:v>NAMISINDWA</x:v>
      </x:c>
      <x:c r="D358" t="str">
        <x:v>C891_Link01</x:v>
      </x:c>
      <x:c r="E358" t="str">
        <x:v>Buseta - Bugiri</x:v>
      </x:c>
      <x:c r="F358" t="str">
        <x:v>C</x:v>
      </x:c>
      <x:c r="G358" t="str">
        <x:v>Eastern</x:v>
      </x:c>
      <x:c r="H358" t="str">
        <x:v>Mbale</x:v>
      </x:c>
      <x:c r="I358" t="str">
        <x:v>TSAKHANA</x:v>
      </x:c>
      <x:c r="J358" t="str">
        <x:v>Poor</x:v>
      </x:c>
      <x:c r="K358" t="n">
        <x:v>34.359661</x:v>
      </x:c>
      <x:c r="L358" t="n">
        <x:v>0.90774</x:v>
      </x:c>
      <x:c r="M358" t="n">
        <x:v>34.378366</x:v>
      </x:c>
      <x:c r="N358" t="n">
        <x:v>0.805545</x:v>
      </x:c>
      <x:c r="O358" t="n">
        <x:v>1588.56</x:v>
      </x:c>
      <x:c r="P358" t="n">
        <x:f>IFERROR(INDEX(Assumptions!$B$9:$B$13,MATCH(F358,Assumptions!$A$9:$A$13,0)),0.15)</x:f>
        <x:v>0.28</x:v>
      </x:c>
      <x:c r="Q358" t="n">
        <x:f>ROUND(O358*(1-P358),0)</x:f>
        <x:v>1144</x:v>
      </x:c>
      <x:c r="R358" t="n">
        <x:f>ROUND(O358*P358,0)</x:f>
        <x:v>445</x:v>
      </x:c>
      <x:c r="S358" t="n">
        <x:f>ROUND(O358*IFERROR(INDEX(Assumptions!$C$9:$C$13,MATCH(F358,Assumptions!$A$9:$A$13,0)),0.55),0)</x:f>
        <x:v>794</x:v>
      </x:c>
      <x:c r="T358" t="n">
        <x:f>ROUND(O358*IFERROR(INDEX(Assumptions!$D$9:$D$13,MATCH(F358,Assumptions!$A$9:$A$13,0)),0.06),0)</x:f>
        <x:v>79</x:v>
      </x:c>
      <x:c r="U358" t="n">
        <x:f>ROUND(O358*IFERROR(INDEX(Assumptions!$E$9:$E$13,MATCH(F358,Assumptions!$A$9:$A$13,0)),0.15),0)</x:f>
        <x:v>175</x:v>
      </x:c>
      <x:c r="V358" t="n">
        <x:f>MAX(0,O358-SUM(R358:U358))</x:f>
        <x:v>95.55999999999995</x:v>
      </x:c>
      <x:c r="W358" t="n">
        <x:f>MIN(100,40+IF(O358&gt;0,20,0)+IF(M358&lt;&gt;"",20,0)+IF(AF358&lt;&gt;"",20,0))</x:f>
        <x:v>100</x:v>
      </x:c>
      <x:c r="X358" t="str">
        <x:v>Placed on exact national road host link</x:v>
      </x:c>
      <x:c r="Y358" t="str">
        <x:v>Unpaved</x:v>
      </x:c>
      <x:c r="Z358" t="str">
        <x:v>C</x:v>
      </x:c>
      <x:c r="AA358" t="str">
        <x:v>Not available in governed source</x:v>
      </x:c>
      <x:c r="AB358" t="str">
        <x:v>Not available in governed source</x:v>
      </x:c>
      <x:c r="AC358" t="str">
        <x:v>FY2025/26</x:v>
      </x:c>
      <x:c r="AD358" t="str">
        <x:v>Modelled</x:v>
      </x:c>
      <x:c r="AE358" t="str">
        <x:v>2026 bridge AADT rebuilt from host-link traffic history, annual collection-link history, same-road corridor history and spatial count-station influence. Vehicle-class values are assigned from functional-class shares.</x:v>
      </x:c>
      <x:c r="AF358" t="str">
        <x:v>Placed on exact national road host link</x:v>
      </x:c>
    </x:row>
    <x:row r="359" ht="15" hidden="0" customHeight="1">
      <x:c r="A359" t="str">
        <x:v>bridge-358</x:v>
      </x:c>
      <x:c r="B359" t="str">
        <x:v>B378</x:v>
      </x:c>
      <x:c r="C359" t="str">
        <x:v>Atoot</x:v>
      </x:c>
      <x:c r="D359" t="str">
        <x:v>C930_Link02</x:v>
      </x:c>
      <x:c r="E359" t="str">
        <x:v>Ngora - Mukongoro</x:v>
      </x:c>
      <x:c r="F359" t="str">
        <x:v>C</x:v>
      </x:c>
      <x:c r="G359" t="str">
        <x:v>North Eastern</x:v>
      </x:c>
      <x:c r="H359" t="str">
        <x:v>Soroti</x:v>
      </x:c>
      <x:c r="I359" t="str">
        <x:v>Atoot</x:v>
      </x:c>
      <x:c r="J359" t="str">
        <x:v>Poor</x:v>
      </x:c>
      <x:c r="K359" t="n">
        <x:v>33.795029</x:v>
      </x:c>
      <x:c r="L359" t="n">
        <x:v>1.3564</x:v>
      </x:c>
      <x:c r="M359" t="n">
        <x:v>33.88843</x:v>
      </x:c>
      <x:c r="N359" t="n">
        <x:v>1.32607</x:v>
      </x:c>
      <x:c r="O359" t="n">
        <x:v>3855.92</x:v>
      </x:c>
      <x:c r="P359" t="n">
        <x:f>IFERROR(INDEX(Assumptions!$B$9:$B$13,MATCH(F359,Assumptions!$A$9:$A$13,0)),0.15)</x:f>
        <x:v>0.28</x:v>
      </x:c>
      <x:c r="Q359" t="n">
        <x:f>ROUND(O359*(1-P359),0)</x:f>
        <x:v>2776</x:v>
      </x:c>
      <x:c r="R359" t="n">
        <x:f>ROUND(O359*P359,0)</x:f>
        <x:v>1080</x:v>
      </x:c>
      <x:c r="S359" t="n">
        <x:f>ROUND(O359*IFERROR(INDEX(Assumptions!$C$9:$C$13,MATCH(F359,Assumptions!$A$9:$A$13,0)),0.55),0)</x:f>
        <x:v>1928</x:v>
      </x:c>
      <x:c r="T359" t="n">
        <x:f>ROUND(O359*IFERROR(INDEX(Assumptions!$D$9:$D$13,MATCH(F359,Assumptions!$A$9:$A$13,0)),0.06),0)</x:f>
        <x:v>193</x:v>
      </x:c>
      <x:c r="U359" t="n">
        <x:f>ROUND(O359*IFERROR(INDEX(Assumptions!$E$9:$E$13,MATCH(F359,Assumptions!$A$9:$A$13,0)),0.15),0)</x:f>
        <x:v>424</x:v>
      </x:c>
      <x:c r="V359" t="n">
        <x:f>MAX(0,O359-SUM(R359:U359))</x:f>
        <x:v>230.92000000000007</x:v>
      </x:c>
      <x:c r="W359" t="n">
        <x:f>MIN(100,40+IF(O359&gt;0,20,0)+IF(M359&lt;&gt;"",20,0)+IF(AF359&lt;&gt;"",20,0))</x:f>
        <x:v>100</x:v>
      </x:c>
      <x:c r="X359" t="str">
        <x:v>Placed on exact national road host link</x:v>
      </x:c>
      <x:c r="Y359" t="str">
        <x:v>Unpaved</x:v>
      </x:c>
      <x:c r="Z359" t="str">
        <x:v>C</x:v>
      </x:c>
      <x:c r="AA359" t="str">
        <x:v>Not available in governed source</x:v>
      </x:c>
      <x:c r="AB359" t="str">
        <x:v>Not available in governed source</x:v>
      </x:c>
      <x:c r="AC359" t="str">
        <x:v>FY2025/26</x:v>
      </x:c>
      <x:c r="AD359" t="str">
        <x:v>Modelled</x:v>
      </x:c>
      <x:c r="AE359" t="str">
        <x:v>2026 bridge AADT rebuilt from host-link traffic history, annual collection-link history, same-road corridor history and spatial count-station influence. Vehicle-class values are assigned from functional-class shares.</x:v>
      </x:c>
      <x:c r="AF359" t="str">
        <x:v>Placed on exact national road host link</x:v>
      </x:c>
    </x:row>
    <x:row r="360" ht="15" hidden="0" customHeight="1">
      <x:c r="A360" t="str">
        <x:v>bridge-359</x:v>
      </x:c>
      <x:c r="B360" t="str">
        <x:v>B379</x:v>
      </x:c>
      <x:c r="C360" t="str">
        <x:v>Opot</x:v>
      </x:c>
      <x:c r="D360" t="str">
        <x:v>C941_Link01</x:v>
      </x:c>
      <x:c r="E360" t="str">
        <x:v>Amuria (Kuju) - Obalang</x:v>
      </x:c>
      <x:c r="F360" t="str">
        <x:v>C</x:v>
      </x:c>
      <x:c r="G360" t="str">
        <x:v>North Eastern</x:v>
      </x:c>
      <x:c r="H360" t="str">
        <x:v>Soroti</x:v>
      </x:c>
      <x:c r="I360" t="str">
        <x:v>Opot</x:v>
      </x:c>
      <x:c r="J360" t="str">
        <x:v>Poor</x:v>
      </x:c>
      <x:c r="K360" t="n">
        <x:v>33.600731</x:v>
      </x:c>
      <x:c r="L360" t="n">
        <x:v>2.14199</x:v>
      </x:c>
      <x:c r="M360" t="n">
        <x:v>33.58077</x:v>
      </x:c>
      <x:c r="N360" t="n">
        <x:v>2.33242</x:v>
      </x:c>
      <x:c r="O360" t="n">
        <x:v>2301.02</x:v>
      </x:c>
      <x:c r="P360" t="n">
        <x:f>IFERROR(INDEX(Assumptions!$B$9:$B$13,MATCH(F360,Assumptions!$A$9:$A$13,0)),0.15)</x:f>
        <x:v>0.28</x:v>
      </x:c>
      <x:c r="Q360" t="n">
        <x:f>ROUND(O360*(1-P360),0)</x:f>
        <x:v>1657</x:v>
      </x:c>
      <x:c r="R360" t="n">
        <x:f>ROUND(O360*P360,0)</x:f>
        <x:v>644</x:v>
      </x:c>
      <x:c r="S360" t="n">
        <x:f>ROUND(O360*IFERROR(INDEX(Assumptions!$C$9:$C$13,MATCH(F360,Assumptions!$A$9:$A$13,0)),0.55),0)</x:f>
        <x:v>1151</x:v>
      </x:c>
      <x:c r="T360" t="n">
        <x:f>ROUND(O360*IFERROR(INDEX(Assumptions!$D$9:$D$13,MATCH(F360,Assumptions!$A$9:$A$13,0)),0.06),0)</x:f>
        <x:v>115</x:v>
      </x:c>
      <x:c r="U360" t="n">
        <x:f>ROUND(O360*IFERROR(INDEX(Assumptions!$E$9:$E$13,MATCH(F360,Assumptions!$A$9:$A$13,0)),0.15),0)</x:f>
        <x:v>253</x:v>
      </x:c>
      <x:c r="V360" t="n">
        <x:f>MAX(0,O360-SUM(R360:U360))</x:f>
        <x:v>138.01999999999998</x:v>
      </x:c>
      <x:c r="W360" t="n">
        <x:f>MIN(100,40+IF(O360&gt;0,20,0)+IF(M360&lt;&gt;"",20,0)+IF(AF360&lt;&gt;"",20,0))</x:f>
        <x:v>100</x:v>
      </x:c>
      <x:c r="X360" t="str">
        <x:v>Placed on exact national road host link</x:v>
      </x:c>
      <x:c r="Y360" t="str">
        <x:v>Unpaved</x:v>
      </x:c>
      <x:c r="Z360" t="str">
        <x:v>C</x:v>
      </x:c>
      <x:c r="AA360" t="str">
        <x:v>Not available in governed source</x:v>
      </x:c>
      <x:c r="AB360" t="str">
        <x:v>Not available in governed source</x:v>
      </x:c>
      <x:c r="AC360" t="str">
        <x:v>FY2025/26</x:v>
      </x:c>
      <x:c r="AD360" t="str">
        <x:v>Modelled</x:v>
      </x:c>
      <x:c r="AE360" t="str">
        <x:v>2026 bridge AADT rebuilt from host-link traffic history, annual collection-link history, same-road corridor history and spatial count-station influence. Vehicle-class values are assigned from functional-class shares.</x:v>
      </x:c>
      <x:c r="AF360" t="str">
        <x:v>Placed on exact national road host link</x:v>
      </x:c>
    </x:row>
    <x:row r="361" ht="15" hidden="0" customHeight="1">
      <x:c r="A361" t="str">
        <x:v>bridge-360</x:v>
      </x:c>
      <x:c r="B361" t="str">
        <x:v>B380</x:v>
      </x:c>
      <x:c r="C361" t="str">
        <x:v>LORO</x:v>
      </x:c>
      <x:c r="D361" t="str">
        <x:v>C963_Link02</x:v>
      </x:c>
      <x:c r="E361" t="str">
        <x:v>Lokitanyara-Loro-Amudat</x:v>
      </x:c>
      <x:c r="F361" t="str">
        <x:v>C</x:v>
      </x:c>
      <x:c r="G361" t="str">
        <x:v>North Eastern</x:v>
      </x:c>
      <x:c r="H361" t="str">
        <x:v>Moroto</x:v>
      </x:c>
      <x:c r="I361" t="str">
        <x:v>LORO</x:v>
      </x:c>
      <x:c r="J361" t="str">
        <x:v>Marginal</x:v>
      </x:c>
      <x:c r="K361" t="n">
        <x:v>34.895908</x:v>
      </x:c>
      <x:c r="L361" t="n">
        <x:v>2.21327</x:v>
      </x:c>
      <x:c r="M361" t="n">
        <x:v>34.820883</x:v>
      </x:c>
      <x:c r="N361" t="n">
        <x:v>2.380458</x:v>
      </x:c>
      <x:c r="O361" t="n">
        <x:v>126.84</x:v>
      </x:c>
      <x:c r="P361" t="n">
        <x:f>IFERROR(INDEX(Assumptions!$B$9:$B$13,MATCH(F361,Assumptions!$A$9:$A$13,0)),0.15)</x:f>
        <x:v>0.28</x:v>
      </x:c>
      <x:c r="Q361" t="n">
        <x:f>ROUND(O361*(1-P361),0)</x:f>
        <x:v>91</x:v>
      </x:c>
      <x:c r="R361" t="n">
        <x:f>ROUND(O361*P361,0)</x:f>
        <x:v>36</x:v>
      </x:c>
      <x:c r="S361" t="n">
        <x:f>ROUND(O361*IFERROR(INDEX(Assumptions!$C$9:$C$13,MATCH(F361,Assumptions!$A$9:$A$13,0)),0.55),0)</x:f>
        <x:v>63</x:v>
      </x:c>
      <x:c r="T361" t="n">
        <x:f>ROUND(O361*IFERROR(INDEX(Assumptions!$D$9:$D$13,MATCH(F361,Assumptions!$A$9:$A$13,0)),0.06),0)</x:f>
        <x:v>6</x:v>
      </x:c>
      <x:c r="U361" t="n">
        <x:f>ROUND(O361*IFERROR(INDEX(Assumptions!$E$9:$E$13,MATCH(F361,Assumptions!$A$9:$A$13,0)),0.15),0)</x:f>
        <x:v>14</x:v>
      </x:c>
      <x:c r="V361" t="n">
        <x:f>MAX(0,O361-SUM(R361:U361))</x:f>
        <x:v>7.840000000000003</x:v>
      </x:c>
      <x:c r="W361" t="n">
        <x:f>MIN(100,40+IF(O361&gt;0,20,0)+IF(M361&lt;&gt;"",20,0)+IF(AF361&lt;&gt;"",20,0))</x:f>
        <x:v>100</x:v>
      </x:c>
      <x:c r="X361" t="str">
        <x:v>Placed on exact national road host link</x:v>
      </x:c>
      <x:c r="Y361" t="str">
        <x:v>Unpaved</x:v>
      </x:c>
      <x:c r="Z361" t="str">
        <x:v>C</x:v>
      </x:c>
      <x:c r="AA361" t="str">
        <x:v>Not available in governed source</x:v>
      </x:c>
      <x:c r="AB361" t="str">
        <x:v>Not available in governed source</x:v>
      </x:c>
      <x:c r="AC361" t="str">
        <x:v>FY2025/26</x:v>
      </x:c>
      <x:c r="AD361" t="str">
        <x:v>Modelled</x:v>
      </x:c>
      <x:c r="AE361" t="str">
        <x:v>2026 bridge AADT rebuilt from host-link traffic history, annual collection-link history, same-road corridor history and spatial count-station influence. Vehicle-class values are assigned from functional-class shares.</x:v>
      </x:c>
      <x:c r="AF361" t="str">
        <x:v>Placed on exact national road host link</x:v>
      </x:c>
    </x:row>
    <x:row r="362" ht="15" hidden="0" customHeight="1">
      <x:c r="A362" t="str">
        <x:v>bridge-361</x:v>
      </x:c>
      <x:c r="B362" t="str">
        <x:v>B381</x:v>
      </x:c>
      <x:c r="C362" t="str">
        <x:v>KANYANGAREN</x:v>
      </x:c>
      <x:c r="D362" t="str">
        <x:v>C963_Link02</x:v>
      </x:c>
      <x:c r="E362" t="str">
        <x:v>Lokitanyara-Loro-Amudat</x:v>
      </x:c>
      <x:c r="F362" t="str">
        <x:v>C</x:v>
      </x:c>
      <x:c r="G362" t="str">
        <x:v>North Eastern</x:v>
      </x:c>
      <x:c r="H362" t="str">
        <x:v>Moroto</x:v>
      </x:c>
      <x:c r="I362" t="str">
        <x:v>KANYANGAREN</x:v>
      </x:c>
      <x:c r="J362" t="str">
        <x:v>Marginal</x:v>
      </x:c>
      <x:c r="K362" t="n">
        <x:v>34.94281</x:v>
      </x:c>
      <x:c r="L362" t="n">
        <x:v>1.95961</x:v>
      </x:c>
      <x:c r="M362" t="n">
        <x:v>34.911124</x:v>
      </x:c>
      <x:c r="N362" t="n">
        <x:v>2.174466</x:v>
      </x:c>
      <x:c r="O362" t="n">
        <x:v>126.84</x:v>
      </x:c>
      <x:c r="P362" t="n">
        <x:f>IFERROR(INDEX(Assumptions!$B$9:$B$13,MATCH(F362,Assumptions!$A$9:$A$13,0)),0.15)</x:f>
        <x:v>0.28</x:v>
      </x:c>
      <x:c r="Q362" t="n">
        <x:f>ROUND(O362*(1-P362),0)</x:f>
        <x:v>91</x:v>
      </x:c>
      <x:c r="R362" t="n">
        <x:f>ROUND(O362*P362,0)</x:f>
        <x:v>36</x:v>
      </x:c>
      <x:c r="S362" t="n">
        <x:f>ROUND(O362*IFERROR(INDEX(Assumptions!$C$9:$C$13,MATCH(F362,Assumptions!$A$9:$A$13,0)),0.55),0)</x:f>
        <x:v>63</x:v>
      </x:c>
      <x:c r="T362" t="n">
        <x:f>ROUND(O362*IFERROR(INDEX(Assumptions!$D$9:$D$13,MATCH(F362,Assumptions!$A$9:$A$13,0)),0.06),0)</x:f>
        <x:v>6</x:v>
      </x:c>
      <x:c r="U362" t="n">
        <x:f>ROUND(O362*IFERROR(INDEX(Assumptions!$E$9:$E$13,MATCH(F362,Assumptions!$A$9:$A$13,0)),0.15),0)</x:f>
        <x:v>14</x:v>
      </x:c>
      <x:c r="V362" t="n">
        <x:f>MAX(0,O362-SUM(R362:U362))</x:f>
        <x:v>7.840000000000003</x:v>
      </x:c>
      <x:c r="W362" t="n">
        <x:f>MIN(100,40+IF(O362&gt;0,20,0)+IF(M362&lt;&gt;"",20,0)+IF(AF362&lt;&gt;"",20,0))</x:f>
        <x:v>100</x:v>
      </x:c>
      <x:c r="X362" t="str">
        <x:v>Placed on exact national road host link</x:v>
      </x:c>
      <x:c r="Y362" t="str">
        <x:v>Unpaved</x:v>
      </x:c>
      <x:c r="Z362" t="str">
        <x:v>C</x:v>
      </x:c>
      <x:c r="AA362" t="str">
        <x:v>Not available in governed source</x:v>
      </x:c>
      <x:c r="AB362" t="str">
        <x:v>Not available in governed source</x:v>
      </x:c>
      <x:c r="AC362" t="str">
        <x:v>FY2025/26</x:v>
      </x:c>
      <x:c r="AD362" t="str">
        <x:v>Modelled</x:v>
      </x:c>
      <x:c r="AE362" t="str">
        <x:v>2026 bridge AADT rebuilt from host-link traffic history, annual collection-link history, same-road corridor history and spatial count-station influence. Vehicle-class values are assigned from functional-class shares.</x:v>
      </x:c>
      <x:c r="AF362" t="str">
        <x:v>Placed on exact national road host link</x:v>
      </x:c>
    </x:row>
    <x:row r="363" ht="15" hidden="0" customHeight="1">
      <x:c r="A363" t="str">
        <x:v>bridge-362</x:v>
      </x:c>
      <x:c r="B363" t="str">
        <x:v>B382</x:v>
      </x:c>
      <x:c r="C363" t="str">
        <x:v>DINGIDINGA</x:v>
      </x:c>
      <x:c r="D363" t="str">
        <x:v>C963_Link03</x:v>
      </x:c>
      <x:c r="E363" t="str">
        <x:v>Amudat-Alakasi-Kalita</x:v>
      </x:c>
      <x:c r="F363" t="str">
        <x:v>C</x:v>
      </x:c>
      <x:c r="G363" t="str">
        <x:v>North Eastern</x:v>
      </x:c>
      <x:c r="H363" t="str">
        <x:v>Moroto</x:v>
      </x:c>
      <x:c r="I363" t="str">
        <x:v>KANYANGAREN</x:v>
      </x:c>
      <x:c r="J363" t="str">
        <x:v>Marginal</x:v>
      </x:c>
      <x:c r="K363" t="n">
        <x:v>34.947929</x:v>
      </x:c>
      <x:c r="L363" t="n">
        <x:v>1.70766</x:v>
      </x:c>
      <x:c r="M363" t="n">
        <x:v>34.94455</x:v>
      </x:c>
      <x:c r="N363" t="n">
        <x:v>1.95503</x:v>
      </x:c>
      <x:c r="O363" t="n">
        <x:v>325.31</x:v>
      </x:c>
      <x:c r="P363" t="n">
        <x:f>IFERROR(INDEX(Assumptions!$B$9:$B$13,MATCH(F363,Assumptions!$A$9:$A$13,0)),0.15)</x:f>
        <x:v>0.28</x:v>
      </x:c>
      <x:c r="Q363" t="n">
        <x:f>ROUND(O363*(1-P363),0)</x:f>
        <x:v>234</x:v>
      </x:c>
      <x:c r="R363" t="n">
        <x:f>ROUND(O363*P363,0)</x:f>
        <x:v>91</x:v>
      </x:c>
      <x:c r="S363" t="n">
        <x:f>ROUND(O363*IFERROR(INDEX(Assumptions!$C$9:$C$13,MATCH(F363,Assumptions!$A$9:$A$13,0)),0.55),0)</x:f>
        <x:v>163</x:v>
      </x:c>
      <x:c r="T363" t="n">
        <x:f>ROUND(O363*IFERROR(INDEX(Assumptions!$D$9:$D$13,MATCH(F363,Assumptions!$A$9:$A$13,0)),0.06),0)</x:f>
        <x:v>16</x:v>
      </x:c>
      <x:c r="U363" t="n">
        <x:f>ROUND(O363*IFERROR(INDEX(Assumptions!$E$9:$E$13,MATCH(F363,Assumptions!$A$9:$A$13,0)),0.15),0)</x:f>
        <x:v>36</x:v>
      </x:c>
      <x:c r="V363" t="n">
        <x:f>MAX(0,O363-SUM(R363:U363))</x:f>
        <x:v>19.310000000000002</x:v>
      </x:c>
      <x:c r="W363" t="n">
        <x:f>MIN(100,40+IF(O363&gt;0,20,0)+IF(M363&lt;&gt;"",20,0)+IF(AF363&lt;&gt;"",20,0))</x:f>
        <x:v>100</x:v>
      </x:c>
      <x:c r="X363" t="str">
        <x:v>Placed on exact national road host link</x:v>
      </x:c>
      <x:c r="Y363" t="str">
        <x:v>Unpaved</x:v>
      </x:c>
      <x:c r="Z363" t="str">
        <x:v>C</x:v>
      </x:c>
      <x:c r="AA363" t="str">
        <x:v>Not available in governed source</x:v>
      </x:c>
      <x:c r="AB363" t="str">
        <x:v>Not available in governed source</x:v>
      </x:c>
      <x:c r="AC363" t="str">
        <x:v>FY2025/26</x:v>
      </x:c>
      <x:c r="AD363" t="str">
        <x:v>Modelled</x:v>
      </x:c>
      <x:c r="AE363" t="str">
        <x:v>2026 bridge AADT rebuilt from host-link traffic history, annual collection-link history, same-road corridor history and spatial count-station influence. Vehicle-class values are assigned from functional-class shares.</x:v>
      </x:c>
      <x:c r="AF363" t="str">
        <x:v>Placed on exact national road host link</x:v>
      </x:c>
    </x:row>
    <x:row r="364" ht="15" hidden="0" customHeight="1">
      <x:c r="A364" t="str">
        <x:v>bridge-363</x:v>
      </x:c>
      <x:c r="B364" t="str">
        <x:v>B383</x:v>
      </x:c>
      <x:c r="C364" t="str">
        <x:v>OMONGO</x:v>
      </x:c>
      <x:c r="D364" t="str">
        <x:v>C964_Link02</x:v>
      </x:c>
      <x:c r="E364" t="str">
        <x:v>Toroma-Magoro</x:v>
      </x:c>
      <x:c r="F364" t="str">
        <x:v>C</x:v>
      </x:c>
      <x:c r="G364" t="str">
        <x:v>North Eastern</x:v>
      </x:c>
      <x:c r="H364" t="str">
        <x:v>Soroti</x:v>
      </x:c>
      <x:c r="I364" t="str">
        <x:v>OMONGO</x:v>
      </x:c>
      <x:c r="J364" t="str">
        <x:v>Poor</x:v>
      </x:c>
      <x:c r="K364" t="n">
        <x:v>34.058392</x:v>
      </x:c>
      <x:c r="L364" t="n">
        <x:v>1.75586</x:v>
      </x:c>
      <x:c r="M364" t="n">
        <x:v>34.058383</x:v>
      </x:c>
      <x:c r="N364" t="n">
        <x:v>1.755826</x:v>
      </x:c>
      <x:c r="O364" t="n">
        <x:v>840.13</x:v>
      </x:c>
      <x:c r="P364" t="n">
        <x:f>IFERROR(INDEX(Assumptions!$B$9:$B$13,MATCH(F364,Assumptions!$A$9:$A$13,0)),0.15)</x:f>
        <x:v>0.28</x:v>
      </x:c>
      <x:c r="Q364" t="n">
        <x:f>ROUND(O364*(1-P364),0)</x:f>
        <x:v>605</x:v>
      </x:c>
      <x:c r="R364" t="n">
        <x:f>ROUND(O364*P364,0)</x:f>
        <x:v>235</x:v>
      </x:c>
      <x:c r="S364" t="n">
        <x:f>ROUND(O364*IFERROR(INDEX(Assumptions!$C$9:$C$13,MATCH(F364,Assumptions!$A$9:$A$13,0)),0.55),0)</x:f>
        <x:v>420</x:v>
      </x:c>
      <x:c r="T364" t="n">
        <x:f>ROUND(O364*IFERROR(INDEX(Assumptions!$D$9:$D$13,MATCH(F364,Assumptions!$A$9:$A$13,0)),0.06),0)</x:f>
        <x:v>42</x:v>
      </x:c>
      <x:c r="U364" t="n">
        <x:f>ROUND(O364*IFERROR(INDEX(Assumptions!$E$9:$E$13,MATCH(F364,Assumptions!$A$9:$A$13,0)),0.15),0)</x:f>
        <x:v>92</x:v>
      </x:c>
      <x:c r="V364" t="n">
        <x:f>MAX(0,O364-SUM(R364:U364))</x:f>
        <x:v>51.129999999999995</x:v>
      </x:c>
      <x:c r="W364" t="n">
        <x:f>MIN(100,40+IF(O364&gt;0,20,0)+IF(M364&lt;&gt;"",20,0)+IF(AF364&lt;&gt;"",20,0))</x:f>
        <x:v>100</x:v>
      </x:c>
      <x:c r="X364" t="str">
        <x:v>Placed on exact national road host link</x:v>
      </x:c>
      <x:c r="Y364" t="str">
        <x:v>Unpaved</x:v>
      </x:c>
      <x:c r="Z364" t="str">
        <x:v>C</x:v>
      </x:c>
      <x:c r="AA364" t="str">
        <x:v>Not available in governed source</x:v>
      </x:c>
      <x:c r="AB364" t="str">
        <x:v>Not available in governed source</x:v>
      </x:c>
      <x:c r="AC364" t="str">
        <x:v>FY2025/26</x:v>
      </x:c>
      <x:c r="AD364" t="str">
        <x:v>Modelled</x:v>
      </x:c>
      <x:c r="AE364" t="str">
        <x:v>2026 bridge AADT rebuilt from host-link traffic history, annual collection-link history, same-road corridor history and spatial count-station influence. Vehicle-class values are assigned from functional-class shares.</x:v>
      </x:c>
      <x:c r="AF364" t="str">
        <x:v>Placed on exact national road host link</x:v>
      </x:c>
    </x:row>
    <x:row r="365" ht="15" hidden="0" customHeight="1">
      <x:c r="A365" t="str">
        <x:v>bridge-364</x:v>
      </x:c>
      <x:c r="B365" t="str">
        <x:v>B384</x:v>
      </x:c>
      <x:c r="C365" t="str">
        <x:v>NAKODONGOT</x:v>
      </x:c>
      <x:c r="D365" t="str">
        <x:v>C967_Link01</x:v>
      </x:c>
      <x:c r="E365" t="str">
        <x:v>Kokeris - Lopei</x:v>
      </x:c>
      <x:c r="F365" t="str">
        <x:v>C</x:v>
      </x:c>
      <x:c r="G365" t="str">
        <x:v>North Eastern</x:v>
      </x:c>
      <x:c r="H365" t="str">
        <x:v>Moroto</x:v>
      </x:c>
      <x:c r="I365" t="str">
        <x:v>NAKODONGOT</x:v>
      </x:c>
      <x:c r="J365" t="str">
        <x:v>Marginal</x:v>
      </x:c>
      <x:c r="K365" t="n">
        <x:v>34.391781</x:v>
      </x:c>
      <x:c r="L365" t="n">
        <x:v>2.46971</x:v>
      </x:c>
      <x:c r="M365" t="n">
        <x:v>34.3596</x:v>
      </x:c>
      <x:c r="N365" t="n">
        <x:v>2.55043</x:v>
      </x:c>
      <x:c r="O365" t="n">
        <x:v>581.97</x:v>
      </x:c>
      <x:c r="P365" t="n">
        <x:f>IFERROR(INDEX(Assumptions!$B$9:$B$13,MATCH(F365,Assumptions!$A$9:$A$13,0)),0.15)</x:f>
        <x:v>0.28</x:v>
      </x:c>
      <x:c r="Q365" t="n">
        <x:f>ROUND(O365*(1-P365),0)</x:f>
        <x:v>419</x:v>
      </x:c>
      <x:c r="R365" t="n">
        <x:f>ROUND(O365*P365,0)</x:f>
        <x:v>163</x:v>
      </x:c>
      <x:c r="S365" t="n">
        <x:f>ROUND(O365*IFERROR(INDEX(Assumptions!$C$9:$C$13,MATCH(F365,Assumptions!$A$9:$A$13,0)),0.55),0)</x:f>
        <x:v>291</x:v>
      </x:c>
      <x:c r="T365" t="n">
        <x:f>ROUND(O365*IFERROR(INDEX(Assumptions!$D$9:$D$13,MATCH(F365,Assumptions!$A$9:$A$13,0)),0.06),0)</x:f>
        <x:v>29</x:v>
      </x:c>
      <x:c r="U365" t="n">
        <x:f>ROUND(O365*IFERROR(INDEX(Assumptions!$E$9:$E$13,MATCH(F365,Assumptions!$A$9:$A$13,0)),0.15),0)</x:f>
        <x:v>64</x:v>
      </x:c>
      <x:c r="V365" t="n">
        <x:f>MAX(0,O365-SUM(R365:U365))</x:f>
        <x:v>34.97000000000003</x:v>
      </x:c>
      <x:c r="W365" t="n">
        <x:f>MIN(100,40+IF(O365&gt;0,20,0)+IF(M365&lt;&gt;"",20,0)+IF(AF365&lt;&gt;"",20,0))</x:f>
        <x:v>100</x:v>
      </x:c>
      <x:c r="X365" t="str">
        <x:v>Placed on exact national road host link</x:v>
      </x:c>
      <x:c r="Y365" t="str">
        <x:v>Unpaved</x:v>
      </x:c>
      <x:c r="Z365" t="str">
        <x:v>C</x:v>
      </x:c>
      <x:c r="AA365" t="str">
        <x:v>Not available in governed source</x:v>
      </x:c>
      <x:c r="AB365" t="str">
        <x:v>Not available in governed source</x:v>
      </x:c>
      <x:c r="AC365" t="str">
        <x:v>FY2025/26</x:v>
      </x:c>
      <x:c r="AD365" t="str">
        <x:v>Modelled</x:v>
      </x:c>
      <x:c r="AE365" t="str">
        <x:v>2026 bridge AADT rebuilt from host-link traffic history, annual collection-link history, same-road corridor history and spatial count-station influence. Vehicle-class values are assigned from functional-class shares.</x:v>
      </x:c>
      <x:c r="AF365" t="str">
        <x:v>Placed on exact national road host link</x:v>
      </x:c>
    </x:row>
    <x:row r="366" ht="15" hidden="0" customHeight="1">
      <x:c r="A366" t="str">
        <x:v>bridge-365</x:v>
      </x:c>
      <x:c r="B366" t="str">
        <x:v>B390</x:v>
      </x:c>
      <x:c r="C366" t="str">
        <x:v>NAMBOOLE FLYOVER</x:v>
      </x:c>
      <x:c r="D366" t="str">
        <x:v>A001_Link01</x:v>
      </x:c>
      <x:c r="E366" t="str">
        <x:v>Kampala - Mukono</x:v>
      </x:c>
      <x:c r="F366" t="str">
        <x:v>A</x:v>
      </x:c>
      <x:c r="G366" t="str">
        <x:v>Central</x:v>
      </x:c>
      <x:c r="H366" t="str">
        <x:v>Kampala</x:v>
      </x:c>
      <x:c r="I366" t="str">
        <x:v>Road Over Road</x:v>
      </x:c>
      <x:c r="J366" t="str">
        <x:v>Good</x:v>
      </x:c>
      <x:c r="K366" t="n">
        <x:v>32.653481</x:v>
      </x:c>
      <x:c r="L366" t="n">
        <x:v>0.34823</x:v>
      </x:c>
      <x:c r="M366" t="n">
        <x:v>32.75137</x:v>
      </x:c>
      <x:c r="N366" t="n">
        <x:v>0.3583</x:v>
      </x:c>
      <x:c r="O366" t="n">
        <x:v>56641.47</x:v>
      </x:c>
      <x:c r="P366" t="n">
        <x:f>IFERROR(INDEX(Assumptions!$B$9:$B$13,MATCH(F366,Assumptions!$A$9:$A$13,0)),0.15)</x:f>
        <x:v>0.12</x:v>
      </x:c>
      <x:c r="Q366" t="n">
        <x:f>ROUND(O366*(1-P366),0)</x:f>
        <x:v>49844</x:v>
      </x:c>
      <x:c r="R366" t="n">
        <x:f>ROUND(O366*P366,0)</x:f>
        <x:v>6797</x:v>
      </x:c>
      <x:c r="S366" t="n">
        <x:f>ROUND(O366*IFERROR(INDEX(Assumptions!$C$9:$C$13,MATCH(F366,Assumptions!$A$9:$A$13,0)),0.55),0)</x:f>
        <x:v>32852</x:v>
      </x:c>
      <x:c r="T366" t="n">
        <x:f>ROUND(O366*IFERROR(INDEX(Assumptions!$D$9:$D$13,MATCH(F366,Assumptions!$A$9:$A$13,0)),0.06),0)</x:f>
        <x:v>4531</x:v>
      </x:c>
      <x:c r="U366" t="n">
        <x:f>ROUND(O366*IFERROR(INDEX(Assumptions!$E$9:$E$13,MATCH(F366,Assumptions!$A$9:$A$13,0)),0.15),0)</x:f>
        <x:v>10195</x:v>
      </x:c>
      <x:c r="V366" t="n">
        <x:f>MAX(0,O366-SUM(R366:U366))</x:f>
        <x:v>2266.470000000001</x:v>
      </x:c>
      <x:c r="W366" t="n">
        <x:f>MIN(100,40+IF(O366&gt;0,20,0)+IF(M366&lt;&gt;"",20,0)+IF(AF366&lt;&gt;"",20,0))</x:f>
        <x:v>100</x:v>
      </x:c>
      <x:c r="X366" t="str">
        <x:v>Placed on exact national road host link</x:v>
      </x:c>
      <x:c r="Y366" t="str">
        <x:v>Paved</x:v>
      </x:c>
      <x:c r="Z366" t="str">
        <x:v>A</x:v>
      </x:c>
      <x:c r="AA366" t="str">
        <x:v>Not available in governed source</x:v>
      </x:c>
      <x:c r="AB366" t="str">
        <x:v>Not available in governed source</x:v>
      </x:c>
      <x:c r="AC366" t="str">
        <x:v>FY2025/26</x:v>
      </x:c>
      <x:c r="AD366" t="str">
        <x:v>Modelled</x:v>
      </x:c>
      <x:c r="AE366" t="str">
        <x:v>2026 bridge AADT rebuilt from host-link traffic history, annual collection-link history, same-road corridor history and spatial count-station influence. Vehicle-class values are assigned from functional-class shares.</x:v>
      </x:c>
      <x:c r="AF366" t="str">
        <x:v>Placed on exact national road host link</x:v>
      </x:c>
    </x:row>
    <x:row r="367" ht="15" hidden="0" customHeight="1">
      <x:c r="A367" t="str">
        <x:v>bridge-366</x:v>
      </x:c>
      <x:c r="B367" t="str">
        <x:v>B391</x:v>
      </x:c>
      <x:c r="C367" t="str">
        <x:v>NAMBOOLE FLYOVER</x:v>
      </x:c>
      <x:c r="D367" t="str">
        <x:v>A001_Link01</x:v>
      </x:c>
      <x:c r="E367" t="str">
        <x:v>Kampala - Mukono</x:v>
      </x:c>
      <x:c r="F367" t="str">
        <x:v>A</x:v>
      </x:c>
      <x:c r="G367" t="str">
        <x:v>Central</x:v>
      </x:c>
      <x:c r="H367" t="str">
        <x:v>Kampala</x:v>
      </x:c>
      <x:c r="I367" t="str">
        <x:v>Road Over Road</x:v>
      </x:c>
      <x:c r="J367" t="str">
        <x:v>Good</x:v>
      </x:c>
      <x:c r="K367" t="n">
        <x:v>32.654449</x:v>
      </x:c>
      <x:c r="L367" t="n">
        <x:v>0.34879</x:v>
      </x:c>
      <x:c r="M367" t="n">
        <x:v>32.75137</x:v>
      </x:c>
      <x:c r="N367" t="n">
        <x:v>0.3583</x:v>
      </x:c>
      <x:c r="O367" t="n">
        <x:v>56641.47</x:v>
      </x:c>
      <x:c r="P367" t="n">
        <x:f>IFERROR(INDEX(Assumptions!$B$9:$B$13,MATCH(F367,Assumptions!$A$9:$A$13,0)),0.15)</x:f>
        <x:v>0.12</x:v>
      </x:c>
      <x:c r="Q367" t="n">
        <x:f>ROUND(O367*(1-P367),0)</x:f>
        <x:v>49844</x:v>
      </x:c>
      <x:c r="R367" t="n">
        <x:f>ROUND(O367*P367,0)</x:f>
        <x:v>6797</x:v>
      </x:c>
      <x:c r="S367" t="n">
        <x:f>ROUND(O367*IFERROR(INDEX(Assumptions!$C$9:$C$13,MATCH(F367,Assumptions!$A$9:$A$13,0)),0.55),0)</x:f>
        <x:v>32852</x:v>
      </x:c>
      <x:c r="T367" t="n">
        <x:f>ROUND(O367*IFERROR(INDEX(Assumptions!$D$9:$D$13,MATCH(F367,Assumptions!$A$9:$A$13,0)),0.06),0)</x:f>
        <x:v>4531</x:v>
      </x:c>
      <x:c r="U367" t="n">
        <x:f>ROUND(O367*IFERROR(INDEX(Assumptions!$E$9:$E$13,MATCH(F367,Assumptions!$A$9:$A$13,0)),0.15),0)</x:f>
        <x:v>10195</x:v>
      </x:c>
      <x:c r="V367" t="n">
        <x:f>MAX(0,O367-SUM(R367:U367))</x:f>
        <x:v>2266.470000000001</x:v>
      </x:c>
      <x:c r="W367" t="n">
        <x:f>MIN(100,40+IF(O367&gt;0,20,0)+IF(M367&lt;&gt;"",20,0)+IF(AF367&lt;&gt;"",20,0))</x:f>
        <x:v>100</x:v>
      </x:c>
      <x:c r="X367" t="str">
        <x:v>Placed on exact national road host link</x:v>
      </x:c>
      <x:c r="Y367" t="str">
        <x:v>Paved</x:v>
      </x:c>
      <x:c r="Z367" t="str">
        <x:v>A</x:v>
      </x:c>
      <x:c r="AA367" t="str">
        <x:v>Not available in governed source</x:v>
      </x:c>
      <x:c r="AB367" t="str">
        <x:v>Not available in governed source</x:v>
      </x:c>
      <x:c r="AC367" t="str">
        <x:v>FY2025/26</x:v>
      </x:c>
      <x:c r="AD367" t="str">
        <x:v>Modelled</x:v>
      </x:c>
      <x:c r="AE367" t="str">
        <x:v>2026 bridge AADT rebuilt from host-link traffic history, annual collection-link history, same-road corridor history and spatial count-station influence. Vehicle-class values are assigned from functional-class shares.</x:v>
      </x:c>
      <x:c r="AF367" t="str">
        <x:v>Placed on exact national road host link</x:v>
      </x:c>
    </x:row>
    <x:row r="368" ht="15" hidden="0" customHeight="1">
      <x:c r="A368" t="str">
        <x:v>bridge-367</x:v>
      </x:c>
      <x:c r="B368" t="str">
        <x:v>B392</x:v>
      </x:c>
      <x:c r="C368" t="str">
        <x:v>KYALIWAJJALA BRIDGE</x:v>
      </x:c>
      <x:c r="D368" t="str">
        <x:v>C152_Link01</x:v>
      </x:c>
      <x:c r="E368" t="str">
        <x:v>Kireka-Namugongo-Misindye-Seeta</x:v>
      </x:c>
      <x:c r="F368" t="str">
        <x:v>C</x:v>
      </x:c>
      <x:c r="G368" t="str">
        <x:v>Central</x:v>
      </x:c>
      <x:c r="H368" t="str">
        <x:v>Kampala</x:v>
      </x:c>
      <x:c r="I368" t="str">
        <x:v>Road Over Road</x:v>
      </x:c>
      <x:c r="J368" t="str">
        <x:v>Good</x:v>
      </x:c>
      <x:c r="K368" t="n">
        <x:v>32.647881</x:v>
      </x:c>
      <x:c r="L368" t="n">
        <x:v>0.36341</x:v>
      </x:c>
      <x:c r="M368" t="n">
        <x:v>32.647646</x:v>
      </x:c>
      <x:c r="N368" t="n">
        <x:v>0.362969</x:v>
      </x:c>
      <x:c r="O368" t="n">
        <x:v>28945.02</x:v>
      </x:c>
      <x:c r="P368" t="n">
        <x:f>IFERROR(INDEX(Assumptions!$B$9:$B$13,MATCH(F368,Assumptions!$A$9:$A$13,0)),0.15)</x:f>
        <x:v>0.28</x:v>
      </x:c>
      <x:c r="Q368" t="n">
        <x:f>ROUND(O368*(1-P368),0)</x:f>
        <x:v>20840</x:v>
      </x:c>
      <x:c r="R368" t="n">
        <x:f>ROUND(O368*P368,0)</x:f>
        <x:v>8105</x:v>
      </x:c>
      <x:c r="S368" t="n">
        <x:f>ROUND(O368*IFERROR(INDEX(Assumptions!$C$9:$C$13,MATCH(F368,Assumptions!$A$9:$A$13,0)),0.55),0)</x:f>
        <x:v>14473</x:v>
      </x:c>
      <x:c r="T368" t="n">
        <x:f>ROUND(O368*IFERROR(INDEX(Assumptions!$D$9:$D$13,MATCH(F368,Assumptions!$A$9:$A$13,0)),0.06),0)</x:f>
        <x:v>1447</x:v>
      </x:c>
      <x:c r="U368" t="n">
        <x:f>ROUND(O368*IFERROR(INDEX(Assumptions!$E$9:$E$13,MATCH(F368,Assumptions!$A$9:$A$13,0)),0.15),0)</x:f>
        <x:v>3184</x:v>
      </x:c>
      <x:c r="V368" t="n">
        <x:f>MAX(0,O368-SUM(R368:U368))</x:f>
        <x:v>1736.0200000000004</x:v>
      </x:c>
      <x:c r="W368" t="n">
        <x:f>MIN(100,40+IF(O368&gt;0,20,0)+IF(M368&lt;&gt;"",20,0)+IF(AF368&lt;&gt;"",20,0))</x:f>
        <x:v>100</x:v>
      </x:c>
      <x:c r="X368" t="str">
        <x:v>Placed on exact national road host link</x:v>
      </x:c>
      <x:c r="Y368" t="str">
        <x:v>Paved</x:v>
      </x:c>
      <x:c r="Z368" t="str">
        <x:v>C</x:v>
      </x:c>
      <x:c r="AA368" t="str">
        <x:v>Not available in governed source</x:v>
      </x:c>
      <x:c r="AB368" t="str">
        <x:v>Not available in governed source</x:v>
      </x:c>
      <x:c r="AC368" t="str">
        <x:v>FY2025/26</x:v>
      </x:c>
      <x:c r="AD368" t="str">
        <x:v>Modelled</x:v>
      </x:c>
      <x:c r="AE368" t="str">
        <x:v>2026 bridge AADT rebuilt from host-link traffic history, annual collection-link history, same-road corridor history and spatial count-station influence. Vehicle-class values are assigned from functional-class shares.</x:v>
      </x:c>
      <x:c r="AF368" t="str">
        <x:v>Placed on exact national road host link</x:v>
      </x:c>
    </x:row>
    <x:row r="369" ht="15" hidden="0" customHeight="1">
      <x:c r="A369" t="str">
        <x:v>bridge-368</x:v>
      </x:c>
      <x:c r="B369" t="str">
        <x:v>B393</x:v>
      </x:c>
      <x:c r="C369" t="str">
        <x:v>Kiwatule Flyover</x:v>
      </x:c>
      <x:c r="D369" t="str">
        <x:v>M20</x:v>
      </x:c>
      <x:c r="E369" t="str">
        <x:v>Kampala NorthernBypass</x:v>
      </x:c>
      <x:c r="F369" t="str">
        <x:v>M</x:v>
      </x:c>
      <x:c r="G369" t="str">
        <x:v>Central</x:v>
      </x:c>
      <x:c r="H369" t="str">
        <x:v>Kampala</x:v>
      </x:c>
      <x:c r="I369" t="str">
        <x:v>Road Over Road</x:v>
      </x:c>
      <x:c r="J369" t="str">
        <x:v>Good</x:v>
      </x:c>
      <x:c r="K369" t="n">
        <x:v>32.627769</x:v>
      </x:c>
      <x:c r="L369" t="n">
        <x:v>0.36942</x:v>
      </x:c>
      <x:c r="M369" t="n">
        <x:v>32.626076</x:v>
      </x:c>
      <x:c r="N369" t="n">
        <x:v>0.369058</x:v>
      </x:c>
      <x:c r="O369" t="n">
        <x:v>46450.56</x:v>
      </x:c>
      <x:c r="P369" t="n">
        <x:f>IFERROR(INDEX(Assumptions!$B$9:$B$13,MATCH(F369,Assumptions!$A$9:$A$13,0)),0.15)</x:f>
        <x:v>0.08</x:v>
      </x:c>
      <x:c r="Q369" t="n">
        <x:f>ROUND(O369*(1-P369),0)</x:f>
        <x:v>42735</x:v>
      </x:c>
      <x:c r="R369" t="n">
        <x:f>ROUND(O369*P369,0)</x:f>
        <x:v>3716</x:v>
      </x:c>
      <x:c r="S369" t="n">
        <x:f>ROUND(O369*IFERROR(INDEX(Assumptions!$C$9:$C$13,MATCH(F369,Assumptions!$A$9:$A$13,0)),0.55),0)</x:f>
        <x:v>28799</x:v>
      </x:c>
      <x:c r="T369" t="n">
        <x:f>ROUND(O369*IFERROR(INDEX(Assumptions!$D$9:$D$13,MATCH(F369,Assumptions!$A$9:$A$13,0)),0.06),0)</x:f>
        <x:v>3716</x:v>
      </x:c>
      <x:c r="U369" t="n">
        <x:f>ROUND(O369*IFERROR(INDEX(Assumptions!$E$9:$E$13,MATCH(F369,Assumptions!$A$9:$A$13,0)),0.15),0)</x:f>
        <x:v>8361</x:v>
      </x:c>
      <x:c r="V369" t="n">
        <x:f>MAX(0,O369-SUM(R369:U369))</x:f>
        <x:v>1858.5599999999977</x:v>
      </x:c>
      <x:c r="W369" t="n">
        <x:f>MIN(100,40+IF(O369&gt;0,20,0)+IF(M369&lt;&gt;"",20,0)+IF(AF369&lt;&gt;"",20,0))</x:f>
        <x:v>100</x:v>
      </x:c>
      <x:c r="X369" t="str">
        <x:v>Placed on exact national road host link</x:v>
      </x:c>
      <x:c r="Y369" t="str">
        <x:v>Paved</x:v>
      </x:c>
      <x:c r="Z369" t="str">
        <x:v>M</x:v>
      </x:c>
      <x:c r="AA369" t="str">
        <x:v>Not available in governed source</x:v>
      </x:c>
      <x:c r="AB369" t="str">
        <x:v>Not available in governed source</x:v>
      </x:c>
      <x:c r="AC369" t="str">
        <x:v>FY2025/26</x:v>
      </x:c>
      <x:c r="AD369" t="str">
        <x:v>Modelled</x:v>
      </x:c>
      <x:c r="AE369" t="str">
        <x:v>2026 bridge AADT rebuilt from host-link traffic history, annual collection-link history, same-road corridor history and spatial count-station influence. Vehicle-class values are assigned from functional-class shares.</x:v>
      </x:c>
      <x:c r="AF369" t="str">
        <x:v>Placed on exact national road host link</x:v>
      </x:c>
    </x:row>
    <x:row r="370" ht="15" hidden="0" customHeight="1">
      <x:c r="A370" t="str">
        <x:v>bridge-369</x:v>
      </x:c>
      <x:c r="B370" t="str">
        <x:v>B394</x:v>
      </x:c>
      <x:c r="C370" t="str">
        <x:v>Najeera Flyover</x:v>
      </x:c>
      <x:c r="D370" t="str">
        <x:v>M20</x:v>
      </x:c>
      <x:c r="E370" t="str">
        <x:v>Kampala NorthernBypass</x:v>
      </x:c>
      <x:c r="F370" t="str">
        <x:v>M</x:v>
      </x:c>
      <x:c r="G370" t="str">
        <x:v>Central</x:v>
      </x:c>
      <x:c r="H370" t="str">
        <x:v>Kampala</x:v>
      </x:c>
      <x:c r="I370" t="str">
        <x:v>Road Over Road</x:v>
      </x:c>
      <x:c r="J370" t="str">
        <x:v>Good</x:v>
      </x:c>
      <x:c r="K370" t="n">
        <x:v>32.624741</x:v>
      </x:c>
      <x:c r="L370" t="n">
        <x:v>0.36932</x:v>
      </x:c>
      <x:c r="M370" t="n">
        <x:v>32.65356</x:v>
      </x:c>
      <x:c r="N370" t="n">
        <x:v>0.34894</x:v>
      </x:c>
      <x:c r="O370" t="n">
        <x:v>46450.56</x:v>
      </x:c>
      <x:c r="P370" t="n">
        <x:f>IFERROR(INDEX(Assumptions!$B$9:$B$13,MATCH(F370,Assumptions!$A$9:$A$13,0)),0.15)</x:f>
        <x:v>0.08</x:v>
      </x:c>
      <x:c r="Q370" t="n">
        <x:f>ROUND(O370*(1-P370),0)</x:f>
        <x:v>42735</x:v>
      </x:c>
      <x:c r="R370" t="n">
        <x:f>ROUND(O370*P370,0)</x:f>
        <x:v>3716</x:v>
      </x:c>
      <x:c r="S370" t="n">
        <x:f>ROUND(O370*IFERROR(INDEX(Assumptions!$C$9:$C$13,MATCH(F370,Assumptions!$A$9:$A$13,0)),0.55),0)</x:f>
        <x:v>28799</x:v>
      </x:c>
      <x:c r="T370" t="n">
        <x:f>ROUND(O370*IFERROR(INDEX(Assumptions!$D$9:$D$13,MATCH(F370,Assumptions!$A$9:$A$13,0)),0.06),0)</x:f>
        <x:v>3716</x:v>
      </x:c>
      <x:c r="U370" t="n">
        <x:f>ROUND(O370*IFERROR(INDEX(Assumptions!$E$9:$E$13,MATCH(F370,Assumptions!$A$9:$A$13,0)),0.15),0)</x:f>
        <x:v>8361</x:v>
      </x:c>
      <x:c r="V370" t="n">
        <x:f>MAX(0,O370-SUM(R370:U370))</x:f>
        <x:v>1858.5599999999977</x:v>
      </x:c>
      <x:c r="W370" t="n">
        <x:f>MIN(100,40+IF(O370&gt;0,20,0)+IF(M370&lt;&gt;"",20,0)+IF(AF370&lt;&gt;"",20,0))</x:f>
        <x:v>100</x:v>
      </x:c>
      <x:c r="X370" t="str">
        <x:v>Placed on exact national road host link</x:v>
      </x:c>
      <x:c r="Y370" t="str">
        <x:v>Paved</x:v>
      </x:c>
      <x:c r="Z370" t="str">
        <x:v>M</x:v>
      </x:c>
      <x:c r="AA370" t="str">
        <x:v>Not available in governed source</x:v>
      </x:c>
      <x:c r="AB370" t="str">
        <x:v>Not available in governed source</x:v>
      </x:c>
      <x:c r="AC370" t="str">
        <x:v>FY2025/26</x:v>
      </x:c>
      <x:c r="AD370" t="str">
        <x:v>Modelled</x:v>
      </x:c>
      <x:c r="AE370" t="str">
        <x:v>2026 bridge AADT rebuilt from host-link traffic history, annual collection-link history, same-road corridor history and spatial count-station influence. Vehicle-class values are assigned from functional-class shares.</x:v>
      </x:c>
      <x:c r="AF370" t="str">
        <x:v>Placed on exact national road host link</x:v>
      </x:c>
    </x:row>
    <x:row r="371" ht="15" hidden="0" customHeight="1">
      <x:c r="A371" t="str">
        <x:v>bridge-370</x:v>
      </x:c>
      <x:c r="B371" t="str">
        <x:v>B395</x:v>
      </x:c>
      <x:c r="C371" t="str">
        <x:v>Kisaasi Flyover</x:v>
      </x:c>
      <x:c r="D371" t="str">
        <x:v>M20</x:v>
      </x:c>
      <x:c r="E371" t="str">
        <x:v>Kampala NorthernBypass</x:v>
      </x:c>
      <x:c r="F371" t="str">
        <x:v>M</x:v>
      </x:c>
      <x:c r="G371" t="str">
        <x:v>Central</x:v>
      </x:c>
      <x:c r="H371" t="str">
        <x:v>Kampala</x:v>
      </x:c>
      <x:c r="I371" t="str">
        <x:v>Unknown</x:v>
      </x:c>
      <x:c r="J371" t="str">
        <x:v>Good</x:v>
      </x:c>
      <x:c r="K371" t="n">
        <x:v>32.598579</x:v>
      </x:c>
      <x:c r="L371" t="n">
        <x:v>0.35879</x:v>
      </x:c>
      <x:c r="M371" t="n">
        <x:v>32.598589</x:v>
      </x:c>
      <x:c r="N371" t="n">
        <x:v>0.358745</x:v>
      </x:c>
      <x:c r="O371" t="n">
        <x:v>46450.56</x:v>
      </x:c>
      <x:c r="P371" t="n">
        <x:f>IFERROR(INDEX(Assumptions!$B$9:$B$13,MATCH(F371,Assumptions!$A$9:$A$13,0)),0.15)</x:f>
        <x:v>0.08</x:v>
      </x:c>
      <x:c r="Q371" t="n">
        <x:f>ROUND(O371*(1-P371),0)</x:f>
        <x:v>42735</x:v>
      </x:c>
      <x:c r="R371" t="n">
        <x:f>ROUND(O371*P371,0)</x:f>
        <x:v>3716</x:v>
      </x:c>
      <x:c r="S371" t="n">
        <x:f>ROUND(O371*IFERROR(INDEX(Assumptions!$C$9:$C$13,MATCH(F371,Assumptions!$A$9:$A$13,0)),0.55),0)</x:f>
        <x:v>28799</x:v>
      </x:c>
      <x:c r="T371" t="n">
        <x:f>ROUND(O371*IFERROR(INDEX(Assumptions!$D$9:$D$13,MATCH(F371,Assumptions!$A$9:$A$13,0)),0.06),0)</x:f>
        <x:v>3716</x:v>
      </x:c>
      <x:c r="U371" t="n">
        <x:f>ROUND(O371*IFERROR(INDEX(Assumptions!$E$9:$E$13,MATCH(F371,Assumptions!$A$9:$A$13,0)),0.15),0)</x:f>
        <x:v>8361</x:v>
      </x:c>
      <x:c r="V371" t="n">
        <x:f>MAX(0,O371-SUM(R371:U371))</x:f>
        <x:v>1858.5599999999977</x:v>
      </x:c>
      <x:c r="W371" t="n">
        <x:f>MIN(100,40+IF(O371&gt;0,20,0)+IF(M371&lt;&gt;"",20,0)+IF(AF371&lt;&gt;"",20,0))</x:f>
        <x:v>100</x:v>
      </x:c>
      <x:c r="X371" t="str">
        <x:v>Placed on national road link from structure registry</x:v>
      </x:c>
      <x:c r="Y371" t="str">
        <x:v>Paved</x:v>
      </x:c>
      <x:c r="Z371" t="str">
        <x:v>M</x:v>
      </x:c>
      <x:c r="AA371" t="str">
        <x:v>Not available in governed source</x:v>
      </x:c>
      <x:c r="AB371" t="str">
        <x:v>Not available in governed source</x:v>
      </x:c>
      <x:c r="AC371" t="str">
        <x:v>FY2025/26</x:v>
      </x:c>
      <x:c r="AD371" t="str">
        <x:v>Modelled</x:v>
      </x:c>
      <x:c r="AE371" t="str">
        <x:v>2026 bridge AADT rebuilt from host-link traffic history, annual collection-link history, same-road corridor history and spatial count-station influence. Vehicle-class values are assigned from functional-class shares.</x:v>
      </x:c>
      <x:c r="AF371" t="str">
        <x:v>Placed on national road link from structure registry</x:v>
      </x:c>
    </x:row>
    <x:row r="372" ht="15" hidden="0" customHeight="1">
      <x:c r="A372" t="str">
        <x:v>bridge-371</x:v>
      </x:c>
      <x:c r="B372" t="str">
        <x:v>B396</x:v>
      </x:c>
      <x:c r="C372" t="str">
        <x:v>Kyebando Flyover</x:v>
      </x:c>
      <x:c r="D372" t="str">
        <x:v>M20</x:v>
      </x:c>
      <x:c r="E372" t="str">
        <x:v>Kampala NorthernBypass</x:v>
      </x:c>
      <x:c r="F372" t="str">
        <x:v>M</x:v>
      </x:c>
      <x:c r="G372" t="str">
        <x:v>Central</x:v>
      </x:c>
      <x:c r="H372" t="str">
        <x:v>Kampala</x:v>
      </x:c>
      <x:c r="I372" t="str">
        <x:v>Road Over Road</x:v>
      </x:c>
      <x:c r="J372" t="str">
        <x:v>Good</x:v>
      </x:c>
      <x:c r="K372" t="n">
        <x:v>32.579498</x:v>
      </x:c>
      <x:c r="L372" t="n">
        <x:v>0.35054</x:v>
      </x:c>
      <x:c r="M372" t="n">
        <x:v>32.65356</x:v>
      </x:c>
      <x:c r="N372" t="n">
        <x:v>0.34894</x:v>
      </x:c>
      <x:c r="O372" t="n">
        <x:v>46450.56</x:v>
      </x:c>
      <x:c r="P372" t="n">
        <x:f>IFERROR(INDEX(Assumptions!$B$9:$B$13,MATCH(F372,Assumptions!$A$9:$A$13,0)),0.15)</x:f>
        <x:v>0.08</x:v>
      </x:c>
      <x:c r="Q372" t="n">
        <x:f>ROUND(O372*(1-P372),0)</x:f>
        <x:v>42735</x:v>
      </x:c>
      <x:c r="R372" t="n">
        <x:f>ROUND(O372*P372,0)</x:f>
        <x:v>3716</x:v>
      </x:c>
      <x:c r="S372" t="n">
        <x:f>ROUND(O372*IFERROR(INDEX(Assumptions!$C$9:$C$13,MATCH(F372,Assumptions!$A$9:$A$13,0)),0.55),0)</x:f>
        <x:v>28799</x:v>
      </x:c>
      <x:c r="T372" t="n">
        <x:f>ROUND(O372*IFERROR(INDEX(Assumptions!$D$9:$D$13,MATCH(F372,Assumptions!$A$9:$A$13,0)),0.06),0)</x:f>
        <x:v>3716</x:v>
      </x:c>
      <x:c r="U372" t="n">
        <x:f>ROUND(O372*IFERROR(INDEX(Assumptions!$E$9:$E$13,MATCH(F372,Assumptions!$A$9:$A$13,0)),0.15),0)</x:f>
        <x:v>8361</x:v>
      </x:c>
      <x:c r="V372" t="n">
        <x:f>MAX(0,O372-SUM(R372:U372))</x:f>
        <x:v>1858.5599999999977</x:v>
      </x:c>
      <x:c r="W372" t="n">
        <x:f>MIN(100,40+IF(O372&gt;0,20,0)+IF(M372&lt;&gt;"",20,0)+IF(AF372&lt;&gt;"",20,0))</x:f>
        <x:v>100</x:v>
      </x:c>
      <x:c r="X372" t="str">
        <x:v>Placed on exact national road host link</x:v>
      </x:c>
      <x:c r="Y372" t="str">
        <x:v>Paved</x:v>
      </x:c>
      <x:c r="Z372" t="str">
        <x:v>M</x:v>
      </x:c>
      <x:c r="AA372" t="str">
        <x:v>Not available in governed source</x:v>
      </x:c>
      <x:c r="AB372" t="str">
        <x:v>Not available in governed source</x:v>
      </x:c>
      <x:c r="AC372" t="str">
        <x:v>FY2025/26</x:v>
      </x:c>
      <x:c r="AD372" t="str">
        <x:v>Modelled</x:v>
      </x:c>
      <x:c r="AE372" t="str">
        <x:v>2026 bridge AADT rebuilt from host-link traffic history, annual collection-link history, same-road corridor history and spatial count-station influence. Vehicle-class values are assigned from functional-class shares.</x:v>
      </x:c>
      <x:c r="AF372" t="str">
        <x:v>Placed on exact national road host link</x:v>
      </x:c>
    </x:row>
    <x:row r="373" ht="15" hidden="0" customHeight="1">
      <x:c r="A373" t="str">
        <x:v>bridge-372</x:v>
      </x:c>
      <x:c r="B373" t="str">
        <x:v>B397</x:v>
      </x:c>
      <x:c r="C373" t="str">
        <x:v>Pedestrian Bridge at Kalerwe</x:v>
      </x:c>
      <x:c r="D373" t="str">
        <x:v>M20</x:v>
      </x:c>
      <x:c r="E373" t="str">
        <x:v>Kampala NorthernBypass</x:v>
      </x:c>
      <x:c r="F373" t="str">
        <x:v>M</x:v>
      </x:c>
      <x:c r="G373" t="str">
        <x:v>Central</x:v>
      </x:c>
      <x:c r="H373" t="str">
        <x:v>Kampala</x:v>
      </x:c>
      <x:c r="I373" t="str">
        <x:v>Pedestrian Crossing</x:v>
      </x:c>
      <x:c r="J373" t="str">
        <x:v>Satisfactory</x:v>
      </x:c>
      <x:c r="K373" t="n">
        <x:v>32.569141</x:v>
      </x:c>
      <x:c r="L373" t="n">
        <x:v>0.35261</x:v>
      </x:c>
      <x:c r="M373" t="n">
        <x:v>32.65356</x:v>
      </x:c>
      <x:c r="N373" t="n">
        <x:v>0.34894</x:v>
      </x:c>
      <x:c r="O373" t="n">
        <x:v>46450.56</x:v>
      </x:c>
      <x:c r="P373" t="n">
        <x:f>IFERROR(INDEX(Assumptions!$B$9:$B$13,MATCH(F373,Assumptions!$A$9:$A$13,0)),0.15)</x:f>
        <x:v>0.08</x:v>
      </x:c>
      <x:c r="Q373" t="n">
        <x:f>ROUND(O373*(1-P373),0)</x:f>
        <x:v>42735</x:v>
      </x:c>
      <x:c r="R373" t="n">
        <x:f>ROUND(O373*P373,0)</x:f>
        <x:v>3716</x:v>
      </x:c>
      <x:c r="S373" t="n">
        <x:f>ROUND(O373*IFERROR(INDEX(Assumptions!$C$9:$C$13,MATCH(F373,Assumptions!$A$9:$A$13,0)),0.55),0)</x:f>
        <x:v>28799</x:v>
      </x:c>
      <x:c r="T373" t="n">
        <x:f>ROUND(O373*IFERROR(INDEX(Assumptions!$D$9:$D$13,MATCH(F373,Assumptions!$A$9:$A$13,0)),0.06),0)</x:f>
        <x:v>3716</x:v>
      </x:c>
      <x:c r="U373" t="n">
        <x:f>ROUND(O373*IFERROR(INDEX(Assumptions!$E$9:$E$13,MATCH(F373,Assumptions!$A$9:$A$13,0)),0.15),0)</x:f>
        <x:v>8361</x:v>
      </x:c>
      <x:c r="V373" t="n">
        <x:f>MAX(0,O373-SUM(R373:U373))</x:f>
        <x:v>1858.5599999999977</x:v>
      </x:c>
      <x:c r="W373" t="n">
        <x:f>MIN(100,40+IF(O373&gt;0,20,0)+IF(M373&lt;&gt;"",20,0)+IF(AF373&lt;&gt;"",20,0))</x:f>
        <x:v>100</x:v>
      </x:c>
      <x:c r="X373" t="str">
        <x:v>Placed on exact national road host link</x:v>
      </x:c>
      <x:c r="Y373" t="str">
        <x:v>Paved</x:v>
      </x:c>
      <x:c r="Z373" t="str">
        <x:v>M</x:v>
      </x:c>
      <x:c r="AA373" t="str">
        <x:v>Not available in governed source</x:v>
      </x:c>
      <x:c r="AB373" t="str">
        <x:v>Not available in governed source</x:v>
      </x:c>
      <x:c r="AC373" t="str">
        <x:v>FY2025/26</x:v>
      </x:c>
      <x:c r="AD373" t="str">
        <x:v>Modelled</x:v>
      </x:c>
      <x:c r="AE373" t="str">
        <x:v>2026 bridge AADT rebuilt from host-link traffic history, annual collection-link history, same-road corridor history and spatial count-station influence. Vehicle-class values are assigned from functional-class shares.</x:v>
      </x:c>
      <x:c r="AF373" t="str">
        <x:v>Placed on exact national road host link</x:v>
      </x:c>
    </x:row>
    <x:row r="374" ht="15" hidden="0" customHeight="1">
      <x:c r="A374" t="str">
        <x:v>bridge-373</x:v>
      </x:c>
      <x:c r="B374" t="str">
        <x:v>B406</x:v>
      </x:c>
      <x:c r="C374" t="str">
        <x:v>OLWAL</x:v>
      </x:c>
      <x:c r="D374" t="str">
        <x:v>C686_Link01</x:v>
      </x:c>
      <x:c r="E374" t="str">
        <x:v>Lamogi - Amuru Junction</x:v>
      </x:c>
      <x:c r="F374" t="str">
        <x:v>C</x:v>
      </x:c>
      <x:c r="G374" t="str">
        <x:v>Northern</x:v>
      </x:c>
      <x:c r="H374" t="str">
        <x:v>Gulu</x:v>
      </x:c>
      <x:c r="I374" t="str">
        <x:v>OLWAL</x:v>
      </x:c>
      <x:c r="J374" t="str">
        <x:v>Marginal</x:v>
      </x:c>
      <x:c r="K374" t="n">
        <x:v>32.027828</x:v>
      </x:c>
      <x:c r="L374" t="n">
        <x:v>2.81509</x:v>
      </x:c>
      <x:c r="M374" t="n">
        <x:v>32.027846</x:v>
      </x:c>
      <x:c r="N374" t="n">
        <x:v>2.815861</x:v>
      </x:c>
      <x:c r="O374" t="n">
        <x:v>1835.66</x:v>
      </x:c>
      <x:c r="P374" t="n">
        <x:f>IFERROR(INDEX(Assumptions!$B$9:$B$13,MATCH(F374,Assumptions!$A$9:$A$13,0)),0.15)</x:f>
        <x:v>0.28</x:v>
      </x:c>
      <x:c r="Q374" t="n">
        <x:f>ROUND(O374*(1-P374),0)</x:f>
        <x:v>1322</x:v>
      </x:c>
      <x:c r="R374" t="n">
        <x:f>ROUND(O374*P374,0)</x:f>
        <x:v>514</x:v>
      </x:c>
      <x:c r="S374" t="n">
        <x:f>ROUND(O374*IFERROR(INDEX(Assumptions!$C$9:$C$13,MATCH(F374,Assumptions!$A$9:$A$13,0)),0.55),0)</x:f>
        <x:v>918</x:v>
      </x:c>
      <x:c r="T374" t="n">
        <x:f>ROUND(O374*IFERROR(INDEX(Assumptions!$D$9:$D$13,MATCH(F374,Assumptions!$A$9:$A$13,0)),0.06),0)</x:f>
        <x:v>92</x:v>
      </x:c>
      <x:c r="U374" t="n">
        <x:f>ROUND(O374*IFERROR(INDEX(Assumptions!$E$9:$E$13,MATCH(F374,Assumptions!$A$9:$A$13,0)),0.15),0)</x:f>
        <x:v>202</x:v>
      </x:c>
      <x:c r="V374" t="n">
        <x:f>MAX(0,O374-SUM(R374:U374))</x:f>
        <x:v>109.66000000000008</x:v>
      </x:c>
      <x:c r="W374" t="n">
        <x:f>MIN(100,40+IF(O374&gt;0,20,0)+IF(M374&lt;&gt;"",20,0)+IF(AF374&lt;&gt;"",20,0))</x:f>
        <x:v>100</x:v>
      </x:c>
      <x:c r="X374" t="str">
        <x:v>Placed on exact national road host link</x:v>
      </x:c>
      <x:c r="Y374" t="str">
        <x:v>Unpaved</x:v>
      </x:c>
      <x:c r="Z374" t="str">
        <x:v>C</x:v>
      </x:c>
      <x:c r="AA374" t="str">
        <x:v>Not available in governed source</x:v>
      </x:c>
      <x:c r="AB374" t="str">
        <x:v>Not available in governed source</x:v>
      </x:c>
      <x:c r="AC374" t="str">
        <x:v>FY2025/26</x:v>
      </x:c>
      <x:c r="AD374" t="str">
        <x:v>Modelled</x:v>
      </x:c>
      <x:c r="AE374" t="str">
        <x:v>2026 bridge AADT rebuilt from host-link traffic history, annual collection-link history, same-road corridor history and spatial count-station influence. Vehicle-class values are assigned from functional-class shares.</x:v>
      </x:c>
      <x:c r="AF374" t="str">
        <x:v>Placed on exact national road host link</x:v>
      </x:c>
    </x:row>
    <x:row r="375" ht="15" hidden="0" customHeight="1">
      <x:c r="A375" t="str">
        <x:v>bridge-374</x:v>
      </x:c>
      <x:c r="B375" t="str">
        <x:v>B407</x:v>
      </x:c>
      <x:c r="C375" t="str">
        <x:v>ASHAW</x:v>
      </x:c>
      <x:c r="D375" t="str">
        <x:v>C686_Link01</x:v>
      </x:c>
      <x:c r="E375" t="str">
        <x:v>Lamogi - Amuru Junction</x:v>
      </x:c>
      <x:c r="F375" t="str">
        <x:v>C</x:v>
      </x:c>
      <x:c r="G375" t="str">
        <x:v>Northern</x:v>
      </x:c>
      <x:c r="H375" t="str">
        <x:v>Gulu</x:v>
      </x:c>
      <x:c r="I375" t="str">
        <x:v>ASHAW</x:v>
      </x:c>
      <x:c r="J375" t="str">
        <x:v>Marginal</x:v>
      </x:c>
      <x:c r="K375" t="n">
        <x:v>31.993347</x:v>
      </x:c>
      <x:c r="L375" t="n">
        <x:v>2.812723</x:v>
      </x:c>
      <x:c r="M375" t="n">
        <x:v>31.993019</x:v>
      </x:c>
      <x:c r="N375" t="n">
        <x:v>2.811258</x:v>
      </x:c>
      <x:c r="O375" t="n">
        <x:v>1835.66</x:v>
      </x:c>
      <x:c r="P375" t="n">
        <x:f>IFERROR(INDEX(Assumptions!$B$9:$B$13,MATCH(F375,Assumptions!$A$9:$A$13,0)),0.15)</x:f>
        <x:v>0.28</x:v>
      </x:c>
      <x:c r="Q375" t="n">
        <x:f>ROUND(O375*(1-P375),0)</x:f>
        <x:v>1322</x:v>
      </x:c>
      <x:c r="R375" t="n">
        <x:f>ROUND(O375*P375,0)</x:f>
        <x:v>514</x:v>
      </x:c>
      <x:c r="S375" t="n">
        <x:f>ROUND(O375*IFERROR(INDEX(Assumptions!$C$9:$C$13,MATCH(F375,Assumptions!$A$9:$A$13,0)),0.55),0)</x:f>
        <x:v>918</x:v>
      </x:c>
      <x:c r="T375" t="n">
        <x:f>ROUND(O375*IFERROR(INDEX(Assumptions!$D$9:$D$13,MATCH(F375,Assumptions!$A$9:$A$13,0)),0.06),0)</x:f>
        <x:v>92</x:v>
      </x:c>
      <x:c r="U375" t="n">
        <x:f>ROUND(O375*IFERROR(INDEX(Assumptions!$E$9:$E$13,MATCH(F375,Assumptions!$A$9:$A$13,0)),0.15),0)</x:f>
        <x:v>202</x:v>
      </x:c>
      <x:c r="V375" t="n">
        <x:f>MAX(0,O375-SUM(R375:U375))</x:f>
        <x:v>109.66000000000008</x:v>
      </x:c>
      <x:c r="W375" t="n">
        <x:f>MIN(100,40+IF(O375&gt;0,20,0)+IF(M375&lt;&gt;"",20,0)+IF(AF375&lt;&gt;"",20,0))</x:f>
        <x:v>100</x:v>
      </x:c>
      <x:c r="X375" t="str">
        <x:v>Placed on exact national road host link</x:v>
      </x:c>
      <x:c r="Y375" t="str">
        <x:v>Unpaved</x:v>
      </x:c>
      <x:c r="Z375" t="str">
        <x:v>C</x:v>
      </x:c>
      <x:c r="AA375" t="str">
        <x:v>Not available in governed source</x:v>
      </x:c>
      <x:c r="AB375" t="str">
        <x:v>Not available in governed source</x:v>
      </x:c>
      <x:c r="AC375" t="str">
        <x:v>FY2025/26</x:v>
      </x:c>
      <x:c r="AD375" t="str">
        <x:v>Modelled</x:v>
      </x:c>
      <x:c r="AE375" t="str">
        <x:v>2026 bridge AADT rebuilt from host-link traffic history, annual collection-link history, same-road corridor history and spatial count-station influence. Vehicle-class values are assigned from functional-class shares.</x:v>
      </x:c>
      <x:c r="AF375" t="str">
        <x:v>Placed on exact national road host link</x:v>
      </x:c>
    </x:row>
    <x:row r="376" ht="15" hidden="0" customHeight="1">
      <x:c r="A376" t="str">
        <x:v>bridge-375</x:v>
      </x:c>
      <x:c r="B376" t="str">
        <x:v>B408</x:v>
      </x:c>
      <x:c r="C376" t="str">
        <x:v>Kufu</x:v>
      </x:c>
      <x:c r="D376" t="str">
        <x:v>C870_Link03</x:v>
      </x:c>
      <x:c r="E376" t="str">
        <x:v>Munamba-Magale - Nangya</x:v>
      </x:c>
      <x:c r="F376" t="str">
        <x:v>C</x:v>
      </x:c>
      <x:c r="G376" t="str">
        <x:v>Eastern</x:v>
      </x:c>
      <x:c r="H376" t="str">
        <x:v>Tororo</x:v>
      </x:c>
      <x:c r="I376" t="str">
        <x:v>Kufu</x:v>
      </x:c>
      <x:c r="J376" t="str">
        <x:v>Poor</x:v>
      </x:c>
      <x:c r="K376" t="n">
        <x:v>34.333229</x:v>
      </x:c>
      <x:c r="L376" t="n">
        <x:v>0.92318</x:v>
      </x:c>
      <x:c r="M376" t="n">
        <x:v>34.359734</x:v>
      </x:c>
      <x:c r="N376" t="n">
        <x:v>0.895648</x:v>
      </x:c>
      <x:c r="O376" t="n">
        <x:v>1588.56</x:v>
      </x:c>
      <x:c r="P376" t="n">
        <x:f>IFERROR(INDEX(Assumptions!$B$9:$B$13,MATCH(F376,Assumptions!$A$9:$A$13,0)),0.15)</x:f>
        <x:v>0.28</x:v>
      </x:c>
      <x:c r="Q376" t="n">
        <x:f>ROUND(O376*(1-P376),0)</x:f>
        <x:v>1144</x:v>
      </x:c>
      <x:c r="R376" t="n">
        <x:f>ROUND(O376*P376,0)</x:f>
        <x:v>445</x:v>
      </x:c>
      <x:c r="S376" t="n">
        <x:f>ROUND(O376*IFERROR(INDEX(Assumptions!$C$9:$C$13,MATCH(F376,Assumptions!$A$9:$A$13,0)),0.55),0)</x:f>
        <x:v>794</x:v>
      </x:c>
      <x:c r="T376" t="n">
        <x:f>ROUND(O376*IFERROR(INDEX(Assumptions!$D$9:$D$13,MATCH(F376,Assumptions!$A$9:$A$13,0)),0.06),0)</x:f>
        <x:v>79</x:v>
      </x:c>
      <x:c r="U376" t="n">
        <x:f>ROUND(O376*IFERROR(INDEX(Assumptions!$E$9:$E$13,MATCH(F376,Assumptions!$A$9:$A$13,0)),0.15),0)</x:f>
        <x:v>175</x:v>
      </x:c>
      <x:c r="V376" t="n">
        <x:f>MAX(0,O376-SUM(R376:U376))</x:f>
        <x:v>95.55999999999995</x:v>
      </x:c>
      <x:c r="W376" t="n">
        <x:f>MIN(100,40+IF(O376&gt;0,20,0)+IF(M376&lt;&gt;"",20,0)+IF(AF376&lt;&gt;"",20,0))</x:f>
        <x:v>100</x:v>
      </x:c>
      <x:c r="X376" t="str">
        <x:v>Placed on exact national road host link</x:v>
      </x:c>
      <x:c r="Y376" t="str">
        <x:v>Unpaved</x:v>
      </x:c>
      <x:c r="Z376" t="str">
        <x:v>C</x:v>
      </x:c>
      <x:c r="AA376" t="str">
        <x:v>Not available in governed source</x:v>
      </x:c>
      <x:c r="AB376" t="str">
        <x:v>Not available in governed source</x:v>
      </x:c>
      <x:c r="AC376" t="str">
        <x:v>FY2025/26</x:v>
      </x:c>
      <x:c r="AD376" t="str">
        <x:v>Modelled</x:v>
      </x:c>
      <x:c r="AE376" t="str">
        <x:v>2026 bridge AADT rebuilt from host-link traffic history, annual collection-link history, same-road corridor history and spatial count-station influence. Vehicle-class values are assigned from functional-class shares.</x:v>
      </x:c>
      <x:c r="AF376" t="str">
        <x:v>Placed on exact national road host link</x:v>
      </x:c>
    </x:row>
    <x:row r="377" ht="15" hidden="0" customHeight="1">
      <x:c r="A377" t="str">
        <x:v>bridge-376</x:v>
      </x:c>
      <x:c r="B377" t="str">
        <x:v>B410</x:v>
      </x:c>
      <x:c r="C377" t="str">
        <x:v>Nakaloke-Kabwangasi-Butebo</x:v>
      </x:c>
      <x:c r="D377" t="str">
        <x:v>C878_Link01</x:v>
      </x:c>
      <x:c r="E377" t="str">
        <x:v>Nakaloke-Kabwangasi-Butebo</x:v>
      </x:c>
      <x:c r="F377" t="str">
        <x:v>C</x:v>
      </x:c>
      <x:c r="G377" t="str">
        <x:v>Eastern</x:v>
      </x:c>
      <x:c r="H377" t="str">
        <x:v>Mbale</x:v>
      </x:c>
      <x:c r="I377" t="str">
        <x:v>Nakaloke-Kabwangasi-Butebo River</x:v>
      </x:c>
      <x:c r="J377" t="str">
        <x:v>Marginal</x:v>
      </x:c>
      <x:c r="K377" t="n">
        <x:v>33.797329</x:v>
      </x:c>
      <x:c r="L377" t="n">
        <x:v>1.19142</x:v>
      </x:c>
      <x:c r="M377" t="n">
        <x:v>33.92256</x:v>
      </x:c>
      <x:c r="N377" t="n">
        <x:v>1.1943</x:v>
      </x:c>
      <x:c r="O377" t="n">
        <x:v>1909.69</x:v>
      </x:c>
      <x:c r="P377" t="n">
        <x:f>IFERROR(INDEX(Assumptions!$B$9:$B$13,MATCH(F377,Assumptions!$A$9:$A$13,0)),0.15)</x:f>
        <x:v>0.28</x:v>
      </x:c>
      <x:c r="Q377" t="n">
        <x:f>ROUND(O377*(1-P377),0)</x:f>
        <x:v>1375</x:v>
      </x:c>
      <x:c r="R377" t="n">
        <x:f>ROUND(O377*P377,0)</x:f>
        <x:v>535</x:v>
      </x:c>
      <x:c r="S377" t="n">
        <x:f>ROUND(O377*IFERROR(INDEX(Assumptions!$C$9:$C$13,MATCH(F377,Assumptions!$A$9:$A$13,0)),0.55),0)</x:f>
        <x:v>955</x:v>
      </x:c>
      <x:c r="T377" t="n">
        <x:f>ROUND(O377*IFERROR(INDEX(Assumptions!$D$9:$D$13,MATCH(F377,Assumptions!$A$9:$A$13,0)),0.06),0)</x:f>
        <x:v>95</x:v>
      </x:c>
      <x:c r="U377" t="n">
        <x:f>ROUND(O377*IFERROR(INDEX(Assumptions!$E$9:$E$13,MATCH(F377,Assumptions!$A$9:$A$13,0)),0.15),0)</x:f>
        <x:v>210</x:v>
      </x:c>
      <x:c r="V377" t="n">
        <x:f>MAX(0,O377-SUM(R377:U377))</x:f>
        <x:v>114.69000000000005</x:v>
      </x:c>
      <x:c r="W377" t="n">
        <x:f>MIN(100,40+IF(O377&gt;0,20,0)+IF(M377&lt;&gt;"",20,0)+IF(AF377&lt;&gt;"",20,0))</x:f>
        <x:v>100</x:v>
      </x:c>
      <x:c r="X377" t="str">
        <x:v>Placed on exact national road host link</x:v>
      </x:c>
      <x:c r="Y377" t="str">
        <x:v>Unpaved</x:v>
      </x:c>
      <x:c r="Z377" t="str">
        <x:v>C</x:v>
      </x:c>
      <x:c r="AA377" t="str">
        <x:v>Not available in governed source</x:v>
      </x:c>
      <x:c r="AB377" t="str">
        <x:v>Not available in governed source</x:v>
      </x:c>
      <x:c r="AC377" t="str">
        <x:v>FY2025/26</x:v>
      </x:c>
      <x:c r="AD377" t="str">
        <x:v>Modelled</x:v>
      </x:c>
      <x:c r="AE377" t="str">
        <x:v>2026 bridge AADT rebuilt from host-link traffic history, annual collection-link history, same-road corridor history and spatial count-station influence. Vehicle-class values are assigned from functional-class shares.</x:v>
      </x:c>
      <x:c r="AF377" t="str">
        <x:v>Placed on exact national road host link</x:v>
      </x:c>
    </x:row>
    <x:row r="378" ht="15" hidden="0" customHeight="1">
      <x:c r="A378" t="str">
        <x:v>bridge-377</x:v>
      </x:c>
      <x:c r="B378" t="str">
        <x:v>B411</x:v>
      </x:c>
      <x:c r="C378" t="str">
        <x:v>SHIKOYE</x:v>
      </x:c>
      <x:c r="D378" t="str">
        <x:v>C867_Link01</x:v>
      </x:c>
      <x:c r="E378" t="str">
        <x:v>Bumbobi-Bubulo</x:v>
      </x:c>
      <x:c r="F378" t="str">
        <x:v>C</x:v>
      </x:c>
      <x:c r="G378" t="str">
        <x:v>Eastern</x:v>
      </x:c>
      <x:c r="H378" t="str">
        <x:v>Mbale</x:v>
      </x:c>
      <x:c r="I378" t="str">
        <x:v>MANAFA</x:v>
      </x:c>
      <x:c r="J378" t="str">
        <x:v>Good</x:v>
      </x:c>
      <x:c r="K378" t="n">
        <x:v>34.22361</x:v>
      </x:c>
      <x:c r="L378" t="n">
        <x:v>0.94239</x:v>
      </x:c>
      <x:c r="M378" t="n">
        <x:v>34.276162</x:v>
      </x:c>
      <x:c r="N378" t="n">
        <x:v>0.948962</x:v>
      </x:c>
      <x:c r="O378" t="n">
        <x:v>2272.7</x:v>
      </x:c>
      <x:c r="P378" t="n">
        <x:f>IFERROR(INDEX(Assumptions!$B$9:$B$13,MATCH(F378,Assumptions!$A$9:$A$13,0)),0.15)</x:f>
        <x:v>0.28</x:v>
      </x:c>
      <x:c r="Q378" t="n">
        <x:f>ROUND(O378*(1-P378),0)</x:f>
        <x:v>1636</x:v>
      </x:c>
      <x:c r="R378" t="n">
        <x:f>ROUND(O378*P378,0)</x:f>
        <x:v>636</x:v>
      </x:c>
      <x:c r="S378" t="n">
        <x:f>ROUND(O378*IFERROR(INDEX(Assumptions!$C$9:$C$13,MATCH(F378,Assumptions!$A$9:$A$13,0)),0.55),0)</x:f>
        <x:v>1136</x:v>
      </x:c>
      <x:c r="T378" t="n">
        <x:f>ROUND(O378*IFERROR(INDEX(Assumptions!$D$9:$D$13,MATCH(F378,Assumptions!$A$9:$A$13,0)),0.06),0)</x:f>
        <x:v>114</x:v>
      </x:c>
      <x:c r="U378" t="n">
        <x:f>ROUND(O378*IFERROR(INDEX(Assumptions!$E$9:$E$13,MATCH(F378,Assumptions!$A$9:$A$13,0)),0.15),0)</x:f>
        <x:v>250</x:v>
      </x:c>
      <x:c r="V378" t="n">
        <x:f>MAX(0,O378-SUM(R378:U378))</x:f>
        <x:v>136.69999999999982</x:v>
      </x:c>
      <x:c r="W378" t="n">
        <x:f>MIN(100,40+IF(O378&gt;0,20,0)+IF(M378&lt;&gt;"",20,0)+IF(AF378&lt;&gt;"",20,0))</x:f>
        <x:v>100</x:v>
      </x:c>
      <x:c r="X378" t="str">
        <x:v>Placed on exact national road host link</x:v>
      </x:c>
      <x:c r="Y378" t="str">
        <x:v>Paved</x:v>
      </x:c>
      <x:c r="Z378" t="str">
        <x:v>C</x:v>
      </x:c>
      <x:c r="AA378" t="str">
        <x:v>Not available in governed source</x:v>
      </x:c>
      <x:c r="AB378" t="str">
        <x:v>Not available in governed source</x:v>
      </x:c>
      <x:c r="AC378" t="str">
        <x:v>FY2025/26</x:v>
      </x:c>
      <x:c r="AD378" t="str">
        <x:v>Modelled</x:v>
      </x:c>
      <x:c r="AE378" t="str">
        <x:v>2026 bridge AADT rebuilt from host-link traffic history, annual collection-link history, same-road corridor history and spatial count-station influence. Vehicle-class values are assigned from functional-class shares.</x:v>
      </x:c>
      <x:c r="AF378" t="str">
        <x:v>Placed on exact national road host link</x:v>
      </x:c>
    </x:row>
    <x:row r="379" ht="15" hidden="0" customHeight="1">
      <x:c r="A379" t="str">
        <x:v>bridge-378</x:v>
      </x:c>
      <x:c r="B379" t="str">
        <x:v>B413</x:v>
      </x:c>
      <x:c r="C379" t="str">
        <x:v>ARAGI</x:v>
      </x:c>
      <x:c r="D379" t="str">
        <x:v>C689_Link01</x:v>
      </x:c>
      <x:c r="E379" t="str">
        <x:v>Pakele - Pabbo</x:v>
      </x:c>
      <x:c r="F379" t="str">
        <x:v>C</x:v>
      </x:c>
      <x:c r="G379" t="str">
        <x:v>Northern</x:v>
      </x:c>
      <x:c r="H379" t="str">
        <x:v>Moyo</x:v>
      </x:c>
      <x:c r="I379" t="str">
        <x:v>ARAGI</x:v>
      </x:c>
      <x:c r="J379" t="str">
        <x:v>Marginal</x:v>
      </x:c>
      <x:c r="K379" t="n">
        <x:v>31.92869</x:v>
      </x:c>
      <x:c r="L379" t="n">
        <x:v>3.256455</x:v>
      </x:c>
      <x:c r="M379" t="n">
        <x:v>31.896319</x:v>
      </x:c>
      <x:c r="N379" t="n">
        <x:v>3.308437</x:v>
      </x:c>
      <x:c r="O379" t="n">
        <x:v>1085.14</x:v>
      </x:c>
      <x:c r="P379" t="n">
        <x:f>IFERROR(INDEX(Assumptions!$B$9:$B$13,MATCH(F379,Assumptions!$A$9:$A$13,0)),0.15)</x:f>
        <x:v>0.28</x:v>
      </x:c>
      <x:c r="Q379" t="n">
        <x:f>ROUND(O379*(1-P379),0)</x:f>
        <x:v>781</x:v>
      </x:c>
      <x:c r="R379" t="n">
        <x:f>ROUND(O379*P379,0)</x:f>
        <x:v>304</x:v>
      </x:c>
      <x:c r="S379" t="n">
        <x:f>ROUND(O379*IFERROR(INDEX(Assumptions!$C$9:$C$13,MATCH(F379,Assumptions!$A$9:$A$13,0)),0.55),0)</x:f>
        <x:v>543</x:v>
      </x:c>
      <x:c r="T379" t="n">
        <x:f>ROUND(O379*IFERROR(INDEX(Assumptions!$D$9:$D$13,MATCH(F379,Assumptions!$A$9:$A$13,0)),0.06),0)</x:f>
        <x:v>54</x:v>
      </x:c>
      <x:c r="U379" t="n">
        <x:f>ROUND(O379*IFERROR(INDEX(Assumptions!$E$9:$E$13,MATCH(F379,Assumptions!$A$9:$A$13,0)),0.15),0)</x:f>
        <x:v>119</x:v>
      </x:c>
      <x:c r="V379" t="n">
        <x:f>MAX(0,O379-SUM(R379:U379))</x:f>
        <x:v>65.1400000000001</x:v>
      </x:c>
      <x:c r="W379" t="n">
        <x:f>MIN(100,40+IF(O379&gt;0,20,0)+IF(M379&lt;&gt;"",20,0)+IF(AF379&lt;&gt;"",20,0))</x:f>
        <x:v>100</x:v>
      </x:c>
      <x:c r="X379" t="str">
        <x:v>Placed on exact national road host link</x:v>
      </x:c>
      <x:c r="Y379" t="str">
        <x:v>Unpaved</x:v>
      </x:c>
      <x:c r="Z379" t="str">
        <x:v>C</x:v>
      </x:c>
      <x:c r="AA379" t="str">
        <x:v>Not available in governed source</x:v>
      </x:c>
      <x:c r="AB379" t="str">
        <x:v>Not available in governed source</x:v>
      </x:c>
      <x:c r="AC379" t="str">
        <x:v>FY2025/26</x:v>
      </x:c>
      <x:c r="AD379" t="str">
        <x:v>Modelled</x:v>
      </x:c>
      <x:c r="AE379" t="str">
        <x:v>2026 bridge AADT rebuilt from host-link traffic history, annual collection-link history, same-road corridor history and spatial count-station influence. Vehicle-class values are assigned from functional-class shares.</x:v>
      </x:c>
      <x:c r="AF379" t="str">
        <x:v>Placed on exact national road host link</x:v>
      </x:c>
    </x:row>
    <x:row r="380" ht="15" hidden="0" customHeight="1">
      <x:c r="A380" t="str">
        <x:v>bridge-379</x:v>
      </x:c>
      <x:c r="B380" t="str">
        <x:v>B414</x:v>
      </x:c>
      <x:c r="C380" t="str">
        <x:v>LAIMON</x:v>
      </x:c>
      <x:c r="D380" t="str">
        <x:v>C689_Link01</x:v>
      </x:c>
      <x:c r="E380" t="str">
        <x:v>Pakele - Pabbo</x:v>
      </x:c>
      <x:c r="F380" t="str">
        <x:v>C</x:v>
      </x:c>
      <x:c r="G380" t="str">
        <x:v>Northern</x:v>
      </x:c>
      <x:c r="H380" t="str">
        <x:v>Moyo</x:v>
      </x:c>
      <x:c r="I380" t="str">
        <x:v>Laimon River</x:v>
      </x:c>
      <x:c r="J380" t="str">
        <x:v>Marginal</x:v>
      </x:c>
      <x:c r="K380" t="n">
        <x:v>32.022388</x:v>
      </x:c>
      <x:c r="L380" t="n">
        <x:v>3.199851</x:v>
      </x:c>
      <x:c r="M380" t="n">
        <x:v>32.15316</x:v>
      </x:c>
      <x:c r="N380" t="n">
        <x:v>3.01449</x:v>
      </x:c>
      <x:c r="O380" t="n">
        <x:v>1085.14</x:v>
      </x:c>
      <x:c r="P380" t="n">
        <x:f>IFERROR(INDEX(Assumptions!$B$9:$B$13,MATCH(F380,Assumptions!$A$9:$A$13,0)),0.15)</x:f>
        <x:v>0.28</x:v>
      </x:c>
      <x:c r="Q380" t="n">
        <x:f>ROUND(O380*(1-P380),0)</x:f>
        <x:v>781</x:v>
      </x:c>
      <x:c r="R380" t="n">
        <x:f>ROUND(O380*P380,0)</x:f>
        <x:v>304</x:v>
      </x:c>
      <x:c r="S380" t="n">
        <x:f>ROUND(O380*IFERROR(INDEX(Assumptions!$C$9:$C$13,MATCH(F380,Assumptions!$A$9:$A$13,0)),0.55),0)</x:f>
        <x:v>543</x:v>
      </x:c>
      <x:c r="T380" t="n">
        <x:f>ROUND(O380*IFERROR(INDEX(Assumptions!$D$9:$D$13,MATCH(F380,Assumptions!$A$9:$A$13,0)),0.06),0)</x:f>
        <x:v>54</x:v>
      </x:c>
      <x:c r="U380" t="n">
        <x:f>ROUND(O380*IFERROR(INDEX(Assumptions!$E$9:$E$13,MATCH(F380,Assumptions!$A$9:$A$13,0)),0.15),0)</x:f>
        <x:v>119</x:v>
      </x:c>
      <x:c r="V380" t="n">
        <x:f>MAX(0,O380-SUM(R380:U380))</x:f>
        <x:v>65.1400000000001</x:v>
      </x:c>
      <x:c r="W380" t="n">
        <x:f>MIN(100,40+IF(O380&gt;0,20,0)+IF(M380&lt;&gt;"",20,0)+IF(AF380&lt;&gt;"",20,0))</x:f>
        <x:v>100</x:v>
      </x:c>
      <x:c r="X380" t="str">
        <x:v>Placed on exact national road host link</x:v>
      </x:c>
      <x:c r="Y380" t="str">
        <x:v>Unpaved</x:v>
      </x:c>
      <x:c r="Z380" t="str">
        <x:v>C</x:v>
      </x:c>
      <x:c r="AA380" t="str">
        <x:v>Not available in governed source</x:v>
      </x:c>
      <x:c r="AB380" t="str">
        <x:v>Not available in governed source</x:v>
      </x:c>
      <x:c r="AC380" t="str">
        <x:v>FY2025/26</x:v>
      </x:c>
      <x:c r="AD380" t="str">
        <x:v>Modelled</x:v>
      </x:c>
      <x:c r="AE380" t="str">
        <x:v>2026 bridge AADT rebuilt from host-link traffic history, annual collection-link history, same-road corridor history and spatial count-station influence. Vehicle-class values are assigned from functional-class shares.</x:v>
      </x:c>
      <x:c r="AF380" t="str">
        <x:v>Placed on exact national road host link</x:v>
      </x:c>
    </x:row>
    <x:row r="381" ht="15" hidden="0" customHeight="1">
      <x:c r="A381" t="str">
        <x:v>bridge-380</x:v>
      </x:c>
      <x:c r="B381" t="str">
        <x:v>B415</x:v>
      </x:c>
      <x:c r="C381" t="str">
        <x:v>ASIYA BRIDGE</x:v>
      </x:c>
      <x:c r="D381" t="str">
        <x:v>C688_Link02</x:v>
      </x:c>
      <x:c r="E381" t="str">
        <x:v>Mungula - Adjumani</x:v>
      </x:c>
      <x:c r="F381" t="str">
        <x:v>C</x:v>
      </x:c>
      <x:c r="G381" t="str">
        <x:v>Northern</x:v>
      </x:c>
      <x:c r="H381" t="str">
        <x:v>Moyo</x:v>
      </x:c>
      <x:c r="I381" t="str">
        <x:v>ASIYA RIVER</x:v>
      </x:c>
      <x:c r="J381" t="str">
        <x:v>Marginal</x:v>
      </x:c>
      <x:c r="K381" t="n">
        <x:v>31.814426</x:v>
      </x:c>
      <x:c r="L381" t="n">
        <x:v>3.153729</x:v>
      </x:c>
      <x:c r="M381" t="n">
        <x:v>31.814956</x:v>
      </x:c>
      <x:c r="N381" t="n">
        <x:v>3.152365</x:v>
      </x:c>
      <x:c r="O381" t="n">
        <x:v>1208.24</x:v>
      </x:c>
      <x:c r="P381" t="n">
        <x:f>IFERROR(INDEX(Assumptions!$B$9:$B$13,MATCH(F381,Assumptions!$A$9:$A$13,0)),0.15)</x:f>
        <x:v>0.28</x:v>
      </x:c>
      <x:c r="Q381" t="n">
        <x:f>ROUND(O381*(1-P381),0)</x:f>
        <x:v>870</x:v>
      </x:c>
      <x:c r="R381" t="n">
        <x:f>ROUND(O381*P381,0)</x:f>
        <x:v>338</x:v>
      </x:c>
      <x:c r="S381" t="n">
        <x:f>ROUND(O381*IFERROR(INDEX(Assumptions!$C$9:$C$13,MATCH(F381,Assumptions!$A$9:$A$13,0)),0.55),0)</x:f>
        <x:v>604</x:v>
      </x:c>
      <x:c r="T381" t="n">
        <x:f>ROUND(O381*IFERROR(INDEX(Assumptions!$D$9:$D$13,MATCH(F381,Assumptions!$A$9:$A$13,0)),0.06),0)</x:f>
        <x:v>60</x:v>
      </x:c>
      <x:c r="U381" t="n">
        <x:f>ROUND(O381*IFERROR(INDEX(Assumptions!$E$9:$E$13,MATCH(F381,Assumptions!$A$9:$A$13,0)),0.15),0)</x:f>
        <x:v>133</x:v>
      </x:c>
      <x:c r="V381" t="n">
        <x:f>MAX(0,O381-SUM(R381:U381))</x:f>
        <x:v>73.24000000000001</x:v>
      </x:c>
      <x:c r="W381" t="n">
        <x:f>MIN(100,40+IF(O381&gt;0,20,0)+IF(M381&lt;&gt;"",20,0)+IF(AF381&lt;&gt;"",20,0))</x:f>
        <x:v>100</x:v>
      </x:c>
      <x:c r="X381" t="str">
        <x:v>Placed on exact national road host link</x:v>
      </x:c>
      <x:c r="Y381" t="str">
        <x:v>Unpaved</x:v>
      </x:c>
      <x:c r="Z381" t="str">
        <x:v>C</x:v>
      </x:c>
      <x:c r="AA381" t="str">
        <x:v>Not available in governed source</x:v>
      </x:c>
      <x:c r="AB381" t="str">
        <x:v>Not available in governed source</x:v>
      </x:c>
      <x:c r="AC381" t="str">
        <x:v>FY2025/26</x:v>
      </x:c>
      <x:c r="AD381" t="str">
        <x:v>Modelled</x:v>
      </x:c>
      <x:c r="AE381" t="str">
        <x:v>2026 bridge AADT rebuilt from host-link traffic history, annual collection-link history, same-road corridor history and spatial count-station influence. Vehicle-class values are assigned from functional-class shares.</x:v>
      </x:c>
      <x:c r="AF381" t="str">
        <x:v>Placed on exact national road host link</x:v>
      </x:c>
    </x:row>
    <x:row r="382" ht="15" hidden="0" customHeight="1">
      <x:c r="A382" t="str">
        <x:v>bridge-381</x:v>
      </x:c>
      <x:c r="B382" t="str">
        <x:v>B420</x:v>
      </x:c>
      <x:c r="C382" t="str">
        <x:v>Kafu</x:v>
      </x:c>
      <x:c r="D382" t="str">
        <x:v>A006_Link06</x:v>
      </x:c>
      <x:c r="E382" t="str">
        <x:v>Nakasongola - Kafu</x:v>
      </x:c>
      <x:c r="F382" t="str">
        <x:v>A</x:v>
      </x:c>
      <x:c r="G382" t="str">
        <x:v>Central</x:v>
      </x:c>
      <x:c r="H382" t="str">
        <x:v>Luwero</x:v>
      </x:c>
      <x:c r="I382" t="str">
        <x:v>Kafu River</x:v>
      </x:c>
      <x:c r="J382" t="str">
        <x:v>Good</x:v>
      </x:c>
      <x:c r="K382" t="n">
        <x:v>32.042</x:v>
      </x:c>
      <x:c r="L382" t="n">
        <x:v>1.543</x:v>
      </x:c>
      <x:c r="M382" t="n">
        <x:v>32.042</x:v>
      </x:c>
      <x:c r="N382" t="n">
        <x:v>1.543</x:v>
      </x:c>
      <x:c r="O382" t="n">
        <x:v>0</x:v>
      </x:c>
      <x:c r="P382" t="n">
        <x:f>IFERROR(INDEX(Assumptions!$B$9:$B$13,MATCH(F382,Assumptions!$A$9:$A$13,0)),0.15)</x:f>
        <x:v>0.12</x:v>
      </x:c>
      <x:c r="Q382" t="n">
        <x:f>ROUND(O382*(1-P382),0)</x:f>
        <x:v>0</x:v>
      </x:c>
      <x:c r="R382" t="n">
        <x:f>ROUND(O382*P382,0)</x:f>
        <x:v>0</x:v>
      </x:c>
      <x:c r="S382" t="n">
        <x:f>ROUND(O382*IFERROR(INDEX(Assumptions!$C$9:$C$13,MATCH(F382,Assumptions!$A$9:$A$13,0)),0.55),0)</x:f>
        <x:v>0</x:v>
      </x:c>
      <x:c r="T382" t="n">
        <x:f>ROUND(O382*IFERROR(INDEX(Assumptions!$D$9:$D$13,MATCH(F382,Assumptions!$A$9:$A$13,0)),0.06),0)</x:f>
        <x:v>0</x:v>
      </x:c>
      <x:c r="U382" t="n">
        <x:f>ROUND(O382*IFERROR(INDEX(Assumptions!$E$9:$E$13,MATCH(F382,Assumptions!$A$9:$A$13,0)),0.15),0)</x:f>
        <x:v>0</x:v>
      </x:c>
      <x:c r="V382" t="n">
        <x:f>MAX(0,O382-SUM(R382:U382))</x:f>
        <x:v>0</x:v>
      </x:c>
      <x:c r="W382" t="n">
        <x:f>MIN(100,40+IF(O382&gt;0,20,0)+IF(M382&lt;&gt;"",20,0)+IF(AF382&lt;&gt;"",20,0))</x:f>
        <x:v>80</x:v>
      </x:c>
      <x:c r="X382" t="str">
        <x:v>manual</x:v>
      </x:c>
      <x:c r="Y382" t="str">
        <x:v>Unpaved</x:v>
      </x:c>
      <x:c r="Z382" t="str">
        <x:v>A</x:v>
      </x:c>
      <x:c r="AA382" t="str">
        <x:v>Not available in governed source</x:v>
      </x:c>
      <x:c r="AB382" t="str">
        <x:v>Not available in governed source</x:v>
      </x:c>
      <x:c r="AC382" t="str">
        <x:v>FY2025/26</x:v>
      </x:c>
      <x:c r="AD382" t="str">
        <x:v>Modelled</x:v>
      </x:c>
      <x:c r="AE382" t="str">
        <x:v>2026 bridge AADT rebuilt from host-link traffic history, annual collection-link history, same-road corridor history and spatial count-station influence. Vehicle-class values are assigned from functional-class shares.</x:v>
      </x:c>
      <x:c r="AF382" t="str">
        <x:v>manual</x:v>
      </x:c>
    </x:row>
    <x:row r="383" ht="15" hidden="0" customHeight="1">
      <x:c r="A383" t="str">
        <x:v>bridge-382</x:v>
      </x:c>
      <x:c r="B383" t="str">
        <x:v>B421</x:v>
      </x:c>
      <x:c r="C383" t="str">
        <x:v>Mpalla 1</x:v>
      </x:c>
      <x:c r="D383" t="str">
        <x:v>M3Int4_S2</x:v>
      </x:c>
      <x:c r="E383" t="str">
        <x:v>Mpala Interchange Slip 2</x:v>
      </x:c>
      <x:c r="F383" t="str">
        <x:v>M</x:v>
      </x:c>
      <x:c r="G383" t="str">
        <x:v>Central</x:v>
      </x:c>
      <x:c r="H383" t="str">
        <x:v>Kampala</x:v>
      </x:c>
      <x:c r="I383" t="str">
        <x:v>Unknown</x:v>
      </x:c>
      <x:c r="J383" t="str">
        <x:v>Good</x:v>
      </x:c>
      <x:c r="K383" t="n">
        <x:v>32.5126</x:v>
      </x:c>
      <x:c r="L383" t="n">
        <x:v>0.1064</x:v>
      </x:c>
      <x:c r="M383" t="n">
        <x:v>32.512803</x:v>
      </x:c>
      <x:c r="N383" t="n">
        <x:v>0.106383</x:v>
      </x:c>
      <x:c r="O383" t="n">
        <x:v>20711.35</x:v>
      </x:c>
      <x:c r="P383" t="n">
        <x:f>IFERROR(INDEX(Assumptions!$B$9:$B$13,MATCH(F383,Assumptions!$A$9:$A$13,0)),0.15)</x:f>
        <x:v>0.08</x:v>
      </x:c>
      <x:c r="Q383" t="n">
        <x:f>ROUND(O383*(1-P383),0)</x:f>
        <x:v>19054</x:v>
      </x:c>
      <x:c r="R383" t="n">
        <x:f>ROUND(O383*P383,0)</x:f>
        <x:v>1657</x:v>
      </x:c>
      <x:c r="S383" t="n">
        <x:f>ROUND(O383*IFERROR(INDEX(Assumptions!$C$9:$C$13,MATCH(F383,Assumptions!$A$9:$A$13,0)),0.55),0)</x:f>
        <x:v>12841</x:v>
      </x:c>
      <x:c r="T383" t="n">
        <x:f>ROUND(O383*IFERROR(INDEX(Assumptions!$D$9:$D$13,MATCH(F383,Assumptions!$A$9:$A$13,0)),0.06),0)</x:f>
        <x:v>1657</x:v>
      </x:c>
      <x:c r="U383" t="n">
        <x:f>ROUND(O383*IFERROR(INDEX(Assumptions!$E$9:$E$13,MATCH(F383,Assumptions!$A$9:$A$13,0)),0.15),0)</x:f>
        <x:v>3728</x:v>
      </x:c>
      <x:c r="V383" t="n">
        <x:f>MAX(0,O383-SUM(R383:U383))</x:f>
        <x:v>828.3499999999985</x:v>
      </x:c>
      <x:c r="W383" t="n">
        <x:f>MIN(100,40+IF(O383&gt;0,20,0)+IF(M383&lt;&gt;"",20,0)+IF(AF383&lt;&gt;"",20,0))</x:f>
        <x:v>100</x:v>
      </x:c>
      <x:c r="X383" t="str">
        <x:v>Placed on national road link from structure registry</x:v>
      </x:c>
      <x:c r="Y383" t="str">
        <x:v>Paved</x:v>
      </x:c>
      <x:c r="Z383" t="str">
        <x:v>M</x:v>
      </x:c>
      <x:c r="AA383" t="str">
        <x:v>Not available in governed source</x:v>
      </x:c>
      <x:c r="AB383" t="str">
        <x:v>Not available in governed source</x:v>
      </x:c>
      <x:c r="AC383" t="str">
        <x:v>FY2025/26</x:v>
      </x:c>
      <x:c r="AD383" t="str">
        <x:v>Modelled</x:v>
      </x:c>
      <x:c r="AE383" t="str">
        <x:v>2026 bridge AADT rebuilt from host-link traffic history, annual collection-link history, same-road corridor history and spatial count-station influence. Vehicle-class values are assigned from functional-class shares.</x:v>
      </x:c>
      <x:c r="AF383" t="str">
        <x:v>Placed on national road link from structure registry</x:v>
      </x:c>
    </x:row>
    <x:row r="384" ht="15" hidden="0" customHeight="1">
      <x:c r="A384" t="str">
        <x:v>bridge-383</x:v>
      </x:c>
      <x:c r="B384" t="str">
        <x:v>B422</x:v>
      </x:c>
      <x:c r="C384" t="str">
        <x:v>Mpalla 2</x:v>
      </x:c>
      <x:c r="D384" t="str">
        <x:v>M3Int4_S1</x:v>
      </x:c>
      <x:c r="E384" t="str">
        <x:v>Mpala Interchange Slip 1</x:v>
      </x:c>
      <x:c r="F384" t="str">
        <x:v>M</x:v>
      </x:c>
      <x:c r="G384" t="str">
        <x:v>Central</x:v>
      </x:c>
      <x:c r="H384" t="str">
        <x:v>Kampala</x:v>
      </x:c>
      <x:c r="I384" t="str">
        <x:v>Unknown</x:v>
      </x:c>
      <x:c r="J384" t="str">
        <x:v>Good</x:v>
      </x:c>
      <x:c r="K384" t="n">
        <x:v>32.5123</x:v>
      </x:c>
      <x:c r="L384" t="n">
        <x:v>0.1058</x:v>
      </x:c>
      <x:c r="M384" t="n">
        <x:v>32.512276</x:v>
      </x:c>
      <x:c r="N384" t="n">
        <x:v>0.10576</x:v>
      </x:c>
      <x:c r="O384" t="n">
        <x:v>20711.35</x:v>
      </x:c>
      <x:c r="P384" t="n">
        <x:f>IFERROR(INDEX(Assumptions!$B$9:$B$13,MATCH(F384,Assumptions!$A$9:$A$13,0)),0.15)</x:f>
        <x:v>0.08</x:v>
      </x:c>
      <x:c r="Q384" t="n">
        <x:f>ROUND(O384*(1-P384),0)</x:f>
        <x:v>19054</x:v>
      </x:c>
      <x:c r="R384" t="n">
        <x:f>ROUND(O384*P384,0)</x:f>
        <x:v>1657</x:v>
      </x:c>
      <x:c r="S384" t="n">
        <x:f>ROUND(O384*IFERROR(INDEX(Assumptions!$C$9:$C$13,MATCH(F384,Assumptions!$A$9:$A$13,0)),0.55),0)</x:f>
        <x:v>12841</x:v>
      </x:c>
      <x:c r="T384" t="n">
        <x:f>ROUND(O384*IFERROR(INDEX(Assumptions!$D$9:$D$13,MATCH(F384,Assumptions!$A$9:$A$13,0)),0.06),0)</x:f>
        <x:v>1657</x:v>
      </x:c>
      <x:c r="U384" t="n">
        <x:f>ROUND(O384*IFERROR(INDEX(Assumptions!$E$9:$E$13,MATCH(F384,Assumptions!$A$9:$A$13,0)),0.15),0)</x:f>
        <x:v>3728</x:v>
      </x:c>
      <x:c r="V384" t="n">
        <x:f>MAX(0,O384-SUM(R384:U384))</x:f>
        <x:v>828.3499999999985</x:v>
      </x:c>
      <x:c r="W384" t="n">
        <x:f>MIN(100,40+IF(O384&gt;0,20,0)+IF(M384&lt;&gt;"",20,0)+IF(AF384&lt;&gt;"",20,0))</x:f>
        <x:v>100</x:v>
      </x:c>
      <x:c r="X384" t="str">
        <x:v>Placed on national road link from structure registry</x:v>
      </x:c>
      <x:c r="Y384" t="str">
        <x:v>Paved</x:v>
      </x:c>
      <x:c r="Z384" t="str">
        <x:v>M</x:v>
      </x:c>
      <x:c r="AA384" t="str">
        <x:v>Not available in governed source</x:v>
      </x:c>
      <x:c r="AB384" t="str">
        <x:v>Not available in governed source</x:v>
      </x:c>
      <x:c r="AC384" t="str">
        <x:v>FY2025/26</x:v>
      </x:c>
      <x:c r="AD384" t="str">
        <x:v>Modelled</x:v>
      </x:c>
      <x:c r="AE384" t="str">
        <x:v>2026 bridge AADT rebuilt from host-link traffic history, annual collection-link history, same-road corridor history and spatial count-station influence. Vehicle-class values are assigned from functional-class shares.</x:v>
      </x:c>
      <x:c r="AF384" t="str">
        <x:v>Placed on national road link from structure registry</x:v>
      </x:c>
    </x:row>
    <x:row r="385" ht="15" hidden="0" customHeight="1">
      <x:c r="A385" t="str">
        <x:v>bridge-384</x:v>
      </x:c>
      <x:c r="B385" t="str">
        <x:v>B430</x:v>
      </x:c>
      <x:c r="C385" t="str">
        <x:v>MURONGO BRIDGE</x:v>
      </x:c>
      <x:c r="D385" t="str">
        <x:v>C354_Link01</x:v>
      </x:c>
      <x:c r="E385" t="str">
        <x:v>Kikagati - Murungo bridge</x:v>
      </x:c>
      <x:c r="F385" t="str">
        <x:v>C</x:v>
      </x:c>
      <x:c r="G385" t="str">
        <x:v>Southern</x:v>
      </x:c>
      <x:c r="H385" t="str">
        <x:v>Mbarara</x:v>
      </x:c>
      <x:c r="I385" t="str">
        <x:v>RIVER KAGERA</x:v>
      </x:c>
      <x:c r="J385" t="str">
        <x:v>Good</x:v>
      </x:c>
      <x:c r="K385" t="n">
        <x:v>30.648222</x:v>
      </x:c>
      <x:c r="L385" t="n">
        <x:v>-1.065501</x:v>
      </x:c>
      <x:c r="M385" t="n">
        <x:v>30.64832</x:v>
      </x:c>
      <x:c r="N385" t="n">
        <x:v>-1.063897</x:v>
      </x:c>
      <x:c r="O385" t="n">
        <x:v>1874</x:v>
      </x:c>
      <x:c r="P385" t="n">
        <x:f>IFERROR(INDEX(Assumptions!$B$9:$B$13,MATCH(F385,Assumptions!$A$9:$A$13,0)),0.15)</x:f>
        <x:v>0.28</x:v>
      </x:c>
      <x:c r="Q385" t="n">
        <x:f>ROUND(O385*(1-P385),0)</x:f>
        <x:v>1349</x:v>
      </x:c>
      <x:c r="R385" t="n">
        <x:f>ROUND(O385*P385,0)</x:f>
        <x:v>525</x:v>
      </x:c>
      <x:c r="S385" t="n">
        <x:f>ROUND(O385*IFERROR(INDEX(Assumptions!$C$9:$C$13,MATCH(F385,Assumptions!$A$9:$A$13,0)),0.55),0)</x:f>
        <x:v>937</x:v>
      </x:c>
      <x:c r="T385" t="n">
        <x:f>ROUND(O385*IFERROR(INDEX(Assumptions!$D$9:$D$13,MATCH(F385,Assumptions!$A$9:$A$13,0)),0.06),0)</x:f>
        <x:v>94</x:v>
      </x:c>
      <x:c r="U385" t="n">
        <x:f>ROUND(O385*IFERROR(INDEX(Assumptions!$E$9:$E$13,MATCH(F385,Assumptions!$A$9:$A$13,0)),0.15),0)</x:f>
        <x:v>206</x:v>
      </x:c>
      <x:c r="V385" t="n">
        <x:f>MAX(0,O385-SUM(R385:U385))</x:f>
        <x:v>112</x:v>
      </x:c>
      <x:c r="W385" t="n">
        <x:f>MIN(100,40+IF(O385&gt;0,20,0)+IF(M385&lt;&gt;"",20,0)+IF(AF385&lt;&gt;"",20,0))</x:f>
        <x:v>100</x:v>
      </x:c>
      <x:c r="X385" t="str">
        <x:v>Placed on exact national road host link</x:v>
      </x:c>
      <x:c r="Y385" t="str">
        <x:v>Paved</x:v>
      </x:c>
      <x:c r="Z385" t="str">
        <x:v>C</x:v>
      </x:c>
      <x:c r="AA385" t="str">
        <x:v>Not available in governed source</x:v>
      </x:c>
      <x:c r="AB385" t="str">
        <x:v>Not available in governed source</x:v>
      </x:c>
      <x:c r="AC385" t="str">
        <x:v>FY2025/26</x:v>
      </x:c>
      <x:c r="AD385" t="str">
        <x:v>Modelled</x:v>
      </x:c>
      <x:c r="AE385" t="str">
        <x:v>2026 bridge AADT rebuilt from host-link traffic history, annual collection-link history, same-road corridor history and spatial count-station influence. Vehicle-class values are assigned from functional-class shares.</x:v>
      </x:c>
      <x:c r="AF385" t="str">
        <x:v>Placed on exact national road host link</x:v>
      </x:c>
    </x:row>
    <x:row r="386" ht="15" hidden="0" customHeight="1">
      <x:c r="A386" t="str">
        <x:v>bridge-385</x:v>
      </x:c>
      <x:c r="B386" t="str">
        <x:v>B450</x:v>
      </x:c>
      <x:c r="C386" t="str">
        <x:v>BUSUNJU BRIDGE</x:v>
      </x:c>
      <x:c r="D386" t="str">
        <x:v>A009_Link02</x:v>
      </x:c>
      <x:c r="E386" t="str">
        <x:v>Nansana - Busunju</x:v>
      </x:c>
      <x:c r="F386" t="str">
        <x:v>A</x:v>
      </x:c>
      <x:c r="G386" t="str">
        <x:v>Central</x:v>
      </x:c>
      <x:c r="H386" t="str">
        <x:v>Kampala</x:v>
      </x:c>
      <x:c r="I386" t="str">
        <x:v>River Mayanja</x:v>
      </x:c>
      <x:c r="J386" t="str">
        <x:v>Good</x:v>
      </x:c>
      <x:c r="K386" t="n">
        <x:v>32.21748</x:v>
      </x:c>
      <x:c r="L386" t="n">
        <x:v>0.5604</x:v>
      </x:c>
      <x:c r="M386" t="n">
        <x:v>32.239953</x:v>
      </x:c>
      <x:c r="N386" t="n">
        <x:v>0.536107</x:v>
      </x:c>
      <x:c r="O386" t="n">
        <x:v>24836.78</x:v>
      </x:c>
      <x:c r="P386" t="n">
        <x:f>IFERROR(INDEX(Assumptions!$B$9:$B$13,MATCH(F386,Assumptions!$A$9:$A$13,0)),0.15)</x:f>
        <x:v>0.12</x:v>
      </x:c>
      <x:c r="Q386" t="n">
        <x:f>ROUND(O386*(1-P386),0)</x:f>
        <x:v>21856</x:v>
      </x:c>
      <x:c r="R386" t="n">
        <x:f>ROUND(O386*P386,0)</x:f>
        <x:v>2980</x:v>
      </x:c>
      <x:c r="S386" t="n">
        <x:f>ROUND(O386*IFERROR(INDEX(Assumptions!$C$9:$C$13,MATCH(F386,Assumptions!$A$9:$A$13,0)),0.55),0)</x:f>
        <x:v>14405</x:v>
      </x:c>
      <x:c r="T386" t="n">
        <x:f>ROUND(O386*IFERROR(INDEX(Assumptions!$D$9:$D$13,MATCH(F386,Assumptions!$A$9:$A$13,0)),0.06),0)</x:f>
        <x:v>1987</x:v>
      </x:c>
      <x:c r="U386" t="n">
        <x:f>ROUND(O386*IFERROR(INDEX(Assumptions!$E$9:$E$13,MATCH(F386,Assumptions!$A$9:$A$13,0)),0.15),0)</x:f>
        <x:v>4471</x:v>
      </x:c>
      <x:c r="V386" t="n">
        <x:f>MAX(0,O386-SUM(R386:U386))</x:f>
        <x:v>993.7799999999988</x:v>
      </x:c>
      <x:c r="W386" t="n">
        <x:f>MIN(100,40+IF(O386&gt;0,20,0)+IF(M386&lt;&gt;"",20,0)+IF(AF386&lt;&gt;"",20,0))</x:f>
        <x:v>100</x:v>
      </x:c>
      <x:c r="X386" t="str">
        <x:v>Placed on exact national road host link</x:v>
      </x:c>
      <x:c r="Y386" t="str">
        <x:v>Paved</x:v>
      </x:c>
      <x:c r="Z386" t="str">
        <x:v>A</x:v>
      </x:c>
      <x:c r="AA386" t="str">
        <x:v>Not available in governed source</x:v>
      </x:c>
      <x:c r="AB386" t="str">
        <x:v>Not available in governed source</x:v>
      </x:c>
      <x:c r="AC386" t="str">
        <x:v>FY2025/26</x:v>
      </x:c>
      <x:c r="AD386" t="str">
        <x:v>Modelled</x:v>
      </x:c>
      <x:c r="AE386" t="str">
        <x:v>2026 bridge AADT rebuilt from host-link traffic history, annual collection-link history, same-road corridor history and spatial count-station influence. Vehicle-class values are assigned from functional-class shares.</x:v>
      </x:c>
      <x:c r="AF386" t="str">
        <x:v>Placed on exact national road host link</x:v>
      </x:c>
    </x:row>
    <x:row r="387" ht="15" hidden="0" customHeight="1">
      <x:c r="A387" t="str">
        <x:v>bridge-386</x:v>
      </x:c>
      <x:c r="B387" t="str">
        <x:v>B451</x:v>
      </x:c>
      <x:c r="C387" t="str">
        <x:v>MATE BRIDGE</x:v>
      </x:c>
      <x:c r="D387" t="str">
        <x:v>A009_Link03</x:v>
      </x:c>
      <x:c r="E387" t="str">
        <x:v>Busunju - Kiboga - Lwamata</x:v>
      </x:c>
      <x:c r="F387" t="str">
        <x:v>A</x:v>
      </x:c>
      <x:c r="G387" t="str">
        <x:v>Central</x:v>
      </x:c>
      <x:c r="H387" t="str">
        <x:v>Kampala</x:v>
      </x:c>
      <x:c r="I387" t="str">
        <x:v>River Mayanja</x:v>
      </x:c>
      <x:c r="J387" t="str">
        <x:v>Good</x:v>
      </x:c>
      <x:c r="K387" t="n">
        <x:v>32.138569</x:v>
      </x:c>
      <x:c r="L387" t="n">
        <x:v>0.61326</x:v>
      </x:c>
      <x:c r="M387" t="n">
        <x:v>32.142484</x:v>
      </x:c>
      <x:c r="N387" t="n">
        <x:v>0.605556</x:v>
      </x:c>
      <x:c r="O387" t="n">
        <x:v>10893.97</x:v>
      </x:c>
      <x:c r="P387" t="n">
        <x:f>IFERROR(INDEX(Assumptions!$B$9:$B$13,MATCH(F387,Assumptions!$A$9:$A$13,0)),0.15)</x:f>
        <x:v>0.12</x:v>
      </x:c>
      <x:c r="Q387" t="n">
        <x:f>ROUND(O387*(1-P387),0)</x:f>
        <x:v>9587</x:v>
      </x:c>
      <x:c r="R387" t="n">
        <x:f>ROUND(O387*P387,0)</x:f>
        <x:v>1307</x:v>
      </x:c>
      <x:c r="S387" t="n">
        <x:f>ROUND(O387*IFERROR(INDEX(Assumptions!$C$9:$C$13,MATCH(F387,Assumptions!$A$9:$A$13,0)),0.55),0)</x:f>
        <x:v>6319</x:v>
      </x:c>
      <x:c r="T387" t="n">
        <x:f>ROUND(O387*IFERROR(INDEX(Assumptions!$D$9:$D$13,MATCH(F387,Assumptions!$A$9:$A$13,0)),0.06),0)</x:f>
        <x:v>872</x:v>
      </x:c>
      <x:c r="U387" t="n">
        <x:f>ROUND(O387*IFERROR(INDEX(Assumptions!$E$9:$E$13,MATCH(F387,Assumptions!$A$9:$A$13,0)),0.15),0)</x:f>
        <x:v>1961</x:v>
      </x:c>
      <x:c r="V387" t="n">
        <x:f>MAX(0,O387-SUM(R387:U387))</x:f>
        <x:v>434.96999999999935</x:v>
      </x:c>
      <x:c r="W387" t="n">
        <x:f>MIN(100,40+IF(O387&gt;0,20,0)+IF(M387&lt;&gt;"",20,0)+IF(AF387&lt;&gt;"",20,0))</x:f>
        <x:v>100</x:v>
      </x:c>
      <x:c r="X387" t="str">
        <x:v>Placed on exact national road host link</x:v>
      </x:c>
      <x:c r="Y387" t="str">
        <x:v>Paved</x:v>
      </x:c>
      <x:c r="Z387" t="str">
        <x:v>A</x:v>
      </x:c>
      <x:c r="AA387" t="str">
        <x:v>Not available in governed source</x:v>
      </x:c>
      <x:c r="AB387" t="str">
        <x:v>Not available in governed source</x:v>
      </x:c>
      <x:c r="AC387" t="str">
        <x:v>FY2025/26</x:v>
      </x:c>
      <x:c r="AD387" t="str">
        <x:v>Modelled</x:v>
      </x:c>
      <x:c r="AE387" t="str">
        <x:v>2026 bridge AADT rebuilt from host-link traffic history, annual collection-link history, same-road corridor history and spatial count-station influence. Vehicle-class values are assigned from functional-class shares.</x:v>
      </x:c>
      <x:c r="AF387" t="str">
        <x:v>Placed on exact national road host link</x:v>
      </x:c>
    </x:row>
    <x:row r="388" ht="15" hidden="0" customHeight="1">
      <x:c r="A388" t="str">
        <x:v>bridge-387</x:v>
      </x:c>
      <x:c r="B388" t="str">
        <x:v>B452</x:v>
      </x:c>
      <x:c r="C388" t="str">
        <x:v>NANA BRIDGE</x:v>
      </x:c>
      <x:c r="D388" t="str">
        <x:v>A009_Link03</x:v>
      </x:c>
      <x:c r="E388" t="str">
        <x:v>Busunju - Kiboga - Lwamata</x:v>
      </x:c>
      <x:c r="F388" t="str">
        <x:v>A</x:v>
      </x:c>
      <x:c r="G388" t="str">
        <x:v>Central</x:v>
      </x:c>
      <x:c r="H388" t="str">
        <x:v>Kampala</x:v>
      </x:c>
      <x:c r="I388" t="str">
        <x:v>River Mayanja</x:v>
      </x:c>
      <x:c r="J388" t="str">
        <x:v>Good</x:v>
      </x:c>
      <x:c r="K388" t="n">
        <x:v>32.115189</x:v>
      </x:c>
      <x:c r="L388" t="n">
        <x:v>0.63059</x:v>
      </x:c>
      <x:c r="M388" t="n">
        <x:v>32.121124</x:v>
      </x:c>
      <x:c r="N388" t="n">
        <x:v>0.625869</x:v>
      </x:c>
      <x:c r="O388" t="n">
        <x:v>10893.97</x:v>
      </x:c>
      <x:c r="P388" t="n">
        <x:f>IFERROR(INDEX(Assumptions!$B$9:$B$13,MATCH(F388,Assumptions!$A$9:$A$13,0)),0.15)</x:f>
        <x:v>0.12</x:v>
      </x:c>
      <x:c r="Q388" t="n">
        <x:f>ROUND(O388*(1-P388),0)</x:f>
        <x:v>9587</x:v>
      </x:c>
      <x:c r="R388" t="n">
        <x:f>ROUND(O388*P388,0)</x:f>
        <x:v>1307</x:v>
      </x:c>
      <x:c r="S388" t="n">
        <x:f>ROUND(O388*IFERROR(INDEX(Assumptions!$C$9:$C$13,MATCH(F388,Assumptions!$A$9:$A$13,0)),0.55),0)</x:f>
        <x:v>6319</x:v>
      </x:c>
      <x:c r="T388" t="n">
        <x:f>ROUND(O388*IFERROR(INDEX(Assumptions!$D$9:$D$13,MATCH(F388,Assumptions!$A$9:$A$13,0)),0.06),0)</x:f>
        <x:v>872</x:v>
      </x:c>
      <x:c r="U388" t="n">
        <x:f>ROUND(O388*IFERROR(INDEX(Assumptions!$E$9:$E$13,MATCH(F388,Assumptions!$A$9:$A$13,0)),0.15),0)</x:f>
        <x:v>1961</x:v>
      </x:c>
      <x:c r="V388" t="n">
        <x:f>MAX(0,O388-SUM(R388:U388))</x:f>
        <x:v>434.96999999999935</x:v>
      </x:c>
      <x:c r="W388" t="n">
        <x:f>MIN(100,40+IF(O388&gt;0,20,0)+IF(M388&lt;&gt;"",20,0)+IF(AF388&lt;&gt;"",20,0))</x:f>
        <x:v>100</x:v>
      </x:c>
      <x:c r="X388" t="str">
        <x:v>Placed on exact national road host link</x:v>
      </x:c>
      <x:c r="Y388" t="str">
        <x:v>Paved</x:v>
      </x:c>
      <x:c r="Z388" t="str">
        <x:v>A</x:v>
      </x:c>
      <x:c r="AA388" t="str">
        <x:v>Not available in governed source</x:v>
      </x:c>
      <x:c r="AB388" t="str">
        <x:v>Not available in governed source</x:v>
      </x:c>
      <x:c r="AC388" t="str">
        <x:v>FY2025/26</x:v>
      </x:c>
      <x:c r="AD388" t="str">
        <x:v>Modelled</x:v>
      </x:c>
      <x:c r="AE388" t="str">
        <x:v>2026 bridge AADT rebuilt from host-link traffic history, annual collection-link history, same-road corridor history and spatial count-station influence. Vehicle-class values are assigned from functional-class shares.</x:v>
      </x:c>
      <x:c r="AF388" t="str">
        <x:v>Placed on exact national road host link</x:v>
      </x:c>
    </x:row>
    <x:row r="389" ht="15" hidden="0" customHeight="1">
      <x:c r="A389" t="str">
        <x:v>bridge-388</x:v>
      </x:c>
      <x:c r="B389" t="str">
        <x:v>B453</x:v>
      </x:c>
      <x:c r="C389" t="str">
        <x:v>WAMIKA 2</x:v>
      </x:c>
      <x:c r="D389" t="str">
        <x:v>C305_Link01</x:v>
      </x:c>
      <x:c r="E389" t="str">
        <x:v>Busunju - Kapeeka</x:v>
      </x:c>
      <x:c r="F389" t="str">
        <x:v>C</x:v>
      </x:c>
      <x:c r="G389" t="str">
        <x:v>Central</x:v>
      </x:c>
      <x:c r="H389" t="str">
        <x:v>Luwero</x:v>
      </x:c>
      <x:c r="I389" t="str">
        <x:v>River Mayanja</x:v>
      </x:c>
      <x:c r="J389" t="str">
        <x:v>Marginal</x:v>
      </x:c>
      <x:c r="K389" t="n">
        <x:v>32.235298</x:v>
      </x:c>
      <x:c r="L389" t="n">
        <x:v>0.57813</x:v>
      </x:c>
      <x:c r="M389" t="n">
        <x:v>32.235637</x:v>
      </x:c>
      <x:c r="N389" t="n">
        <x:v>0.578316</x:v>
      </x:c>
      <x:c r="O389" t="n">
        <x:v>3068.94</x:v>
      </x:c>
      <x:c r="P389" t="n">
        <x:f>IFERROR(INDEX(Assumptions!$B$9:$B$13,MATCH(F389,Assumptions!$A$9:$A$13,0)),0.15)</x:f>
        <x:v>0.28</x:v>
      </x:c>
      <x:c r="Q389" t="n">
        <x:f>ROUND(O389*(1-P389),0)</x:f>
        <x:v>2210</x:v>
      </x:c>
      <x:c r="R389" t="n">
        <x:f>ROUND(O389*P389,0)</x:f>
        <x:v>859</x:v>
      </x:c>
      <x:c r="S389" t="n">
        <x:f>ROUND(O389*IFERROR(INDEX(Assumptions!$C$9:$C$13,MATCH(F389,Assumptions!$A$9:$A$13,0)),0.55),0)</x:f>
        <x:v>1534</x:v>
      </x:c>
      <x:c r="T389" t="n">
        <x:f>ROUND(O389*IFERROR(INDEX(Assumptions!$D$9:$D$13,MATCH(F389,Assumptions!$A$9:$A$13,0)),0.06),0)</x:f>
        <x:v>153</x:v>
      </x:c>
      <x:c r="U389" t="n">
        <x:f>ROUND(O389*IFERROR(INDEX(Assumptions!$E$9:$E$13,MATCH(F389,Assumptions!$A$9:$A$13,0)),0.15),0)</x:f>
        <x:v>338</x:v>
      </x:c>
      <x:c r="V389" t="n">
        <x:f>MAX(0,O389-SUM(R389:U389))</x:f>
        <x:v>184.94000000000005</x:v>
      </x:c>
      <x:c r="W389" t="n">
        <x:f>MIN(100,40+IF(O389&gt;0,20,0)+IF(M389&lt;&gt;"",20,0)+IF(AF389&lt;&gt;"",20,0))</x:f>
        <x:v>100</x:v>
      </x:c>
      <x:c r="X389" t="str">
        <x:v>Placed on exact national road host link</x:v>
      </x:c>
      <x:c r="Y389" t="str">
        <x:v>Unpaved</x:v>
      </x:c>
      <x:c r="Z389" t="str">
        <x:v>C</x:v>
      </x:c>
      <x:c r="AA389" t="str">
        <x:v>Not available in governed source</x:v>
      </x:c>
      <x:c r="AB389" t="str">
        <x:v>Not available in governed source</x:v>
      </x:c>
      <x:c r="AC389" t="str">
        <x:v>FY2025/26</x:v>
      </x:c>
      <x:c r="AD389" t="str">
        <x:v>Modelled</x:v>
      </x:c>
      <x:c r="AE389" t="str">
        <x:v>2026 bridge AADT rebuilt from host-link traffic history, annual collection-link history, same-road corridor history and spatial count-station influence. Vehicle-class values are assigned from functional-class shares.</x:v>
      </x:c>
      <x:c r="AF389" t="str">
        <x:v>Placed on exact national road host link</x:v>
      </x:c>
    </x:row>
    <x:row r="390" ht="15" hidden="0" customHeight="1">
      <x:c r="A390" t="str">
        <x:v>bridge-389</x:v>
      </x:c>
      <x:c r="B390" t="str">
        <x:v>B454</x:v>
      </x:c>
      <x:c r="C390" t="str">
        <x:v>WAMIKA 1</x:v>
      </x:c>
      <x:c r="D390" t="str">
        <x:v>C305_Link01</x:v>
      </x:c>
      <x:c r="E390" t="str">
        <x:v>Busunju - Kapeeka</x:v>
      </x:c>
      <x:c r="F390" t="str">
        <x:v>C</x:v>
      </x:c>
      <x:c r="G390" t="str">
        <x:v>Central</x:v>
      </x:c>
      <x:c r="H390" t="str">
        <x:v>Luwero</x:v>
      </x:c>
      <x:c r="I390" t="str">
        <x:v>River Mayanja</x:v>
      </x:c>
      <x:c r="J390" t="str">
        <x:v>Good</x:v>
      </x:c>
      <x:c r="K390" t="n">
        <x:v>32.23473</x:v>
      </x:c>
      <x:c r="L390" t="n">
        <x:v>0.57642</x:v>
      </x:c>
      <x:c r="M390" t="n">
        <x:v>32.234461</x:v>
      </x:c>
      <x:c r="N390" t="n">
        <x:v>0.577041</x:v>
      </x:c>
      <x:c r="O390" t="n">
        <x:v>3068.94</x:v>
      </x:c>
      <x:c r="P390" t="n">
        <x:f>IFERROR(INDEX(Assumptions!$B$9:$B$13,MATCH(F390,Assumptions!$A$9:$A$13,0)),0.15)</x:f>
        <x:v>0.28</x:v>
      </x:c>
      <x:c r="Q390" t="n">
        <x:f>ROUND(O390*(1-P390),0)</x:f>
        <x:v>2210</x:v>
      </x:c>
      <x:c r="R390" t="n">
        <x:f>ROUND(O390*P390,0)</x:f>
        <x:v>859</x:v>
      </x:c>
      <x:c r="S390" t="n">
        <x:f>ROUND(O390*IFERROR(INDEX(Assumptions!$C$9:$C$13,MATCH(F390,Assumptions!$A$9:$A$13,0)),0.55),0)</x:f>
        <x:v>1534</x:v>
      </x:c>
      <x:c r="T390" t="n">
        <x:f>ROUND(O390*IFERROR(INDEX(Assumptions!$D$9:$D$13,MATCH(F390,Assumptions!$A$9:$A$13,0)),0.06),0)</x:f>
        <x:v>153</x:v>
      </x:c>
      <x:c r="U390" t="n">
        <x:f>ROUND(O390*IFERROR(INDEX(Assumptions!$E$9:$E$13,MATCH(F390,Assumptions!$A$9:$A$13,0)),0.15),0)</x:f>
        <x:v>338</x:v>
      </x:c>
      <x:c r="V390" t="n">
        <x:f>MAX(0,O390-SUM(R390:U390))</x:f>
        <x:v>184.94000000000005</x:v>
      </x:c>
      <x:c r="W390" t="n">
        <x:f>MIN(100,40+IF(O390&gt;0,20,0)+IF(M390&lt;&gt;"",20,0)+IF(AF390&lt;&gt;"",20,0))</x:f>
        <x:v>100</x:v>
      </x:c>
      <x:c r="X390" t="str">
        <x:v>Placed on exact national road host link</x:v>
      </x:c>
      <x:c r="Y390" t="str">
        <x:v>Unpaved</x:v>
      </x:c>
      <x:c r="Z390" t="str">
        <x:v>C</x:v>
      </x:c>
      <x:c r="AA390" t="str">
        <x:v>Not available in governed source</x:v>
      </x:c>
      <x:c r="AB390" t="str">
        <x:v>Not available in governed source</x:v>
      </x:c>
      <x:c r="AC390" t="str">
        <x:v>FY2025/26</x:v>
      </x:c>
      <x:c r="AD390" t="str">
        <x:v>Modelled</x:v>
      </x:c>
      <x:c r="AE390" t="str">
        <x:v>2026 bridge AADT rebuilt from host-link traffic history, annual collection-link history, same-road corridor history and spatial count-station influence. Vehicle-class values are assigned from functional-class shares.</x:v>
      </x:c>
      <x:c r="AF390" t="str">
        <x:v>Placed on exact national road host link</x:v>
      </x:c>
    </x:row>
    <x:row r="391" ht="15" hidden="0" customHeight="1">
      <x:c r="A391" t="str">
        <x:v>bridge-390</x:v>
      </x:c>
      <x:c r="B391" t="str">
        <x:v>B455</x:v>
      </x:c>
      <x:c r="C391" t="str">
        <x:v>LUGAZI</x:v>
      </x:c>
      <x:c r="D391" t="str">
        <x:v>A001_Link02</x:v>
      </x:c>
      <x:c r="E391" t="str">
        <x:v>Mukono - Lugazi</x:v>
      </x:c>
      <x:c r="F391" t="str">
        <x:v>A</x:v>
      </x:c>
      <x:c r="G391" t="str">
        <x:v>Central</x:v>
      </x:c>
      <x:c r="H391" t="str">
        <x:v>Kampala</x:v>
      </x:c>
      <x:c r="I391" t="str">
        <x:v>Lugazi River</x:v>
      </x:c>
      <x:c r="J391" t="str">
        <x:v>Poor</x:v>
      </x:c>
      <x:c r="K391" t="n">
        <x:v>32.935871</x:v>
      </x:c>
      <x:c r="L391" t="n">
        <x:v>0.36814</x:v>
      </x:c>
      <x:c r="M391" t="n">
        <x:v>32.94245</x:v>
      </x:c>
      <x:c r="N391" t="n">
        <x:v>0.36864</x:v>
      </x:c>
      <x:c r="O391" t="n">
        <x:v>23875.72</x:v>
      </x:c>
      <x:c r="P391" t="n">
        <x:f>IFERROR(INDEX(Assumptions!$B$9:$B$13,MATCH(F391,Assumptions!$A$9:$A$13,0)),0.15)</x:f>
        <x:v>0.12</x:v>
      </x:c>
      <x:c r="Q391" t="n">
        <x:f>ROUND(O391*(1-P391),0)</x:f>
        <x:v>21011</x:v>
      </x:c>
      <x:c r="R391" t="n">
        <x:f>ROUND(O391*P391,0)</x:f>
        <x:v>2865</x:v>
      </x:c>
      <x:c r="S391" t="n">
        <x:f>ROUND(O391*IFERROR(INDEX(Assumptions!$C$9:$C$13,MATCH(F391,Assumptions!$A$9:$A$13,0)),0.55),0)</x:f>
        <x:v>13848</x:v>
      </x:c>
      <x:c r="T391" t="n">
        <x:f>ROUND(O391*IFERROR(INDEX(Assumptions!$D$9:$D$13,MATCH(F391,Assumptions!$A$9:$A$13,0)),0.06),0)</x:f>
        <x:v>1910</x:v>
      </x:c>
      <x:c r="U391" t="n">
        <x:f>ROUND(O391*IFERROR(INDEX(Assumptions!$E$9:$E$13,MATCH(F391,Assumptions!$A$9:$A$13,0)),0.15),0)</x:f>
        <x:v>4298</x:v>
      </x:c>
      <x:c r="V391" t="n">
        <x:f>MAX(0,O391-SUM(R391:U391))</x:f>
        <x:v>954.7200000000012</x:v>
      </x:c>
      <x:c r="W391" t="n">
        <x:f>MIN(100,40+IF(O391&gt;0,20,0)+IF(M391&lt;&gt;"",20,0)+IF(AF391&lt;&gt;"",20,0))</x:f>
        <x:v>100</x:v>
      </x:c>
      <x:c r="X391" t="str">
        <x:v>Placed on exact national road host link</x:v>
      </x:c>
      <x:c r="Y391" t="str">
        <x:v>Paved</x:v>
      </x:c>
      <x:c r="Z391" t="str">
        <x:v>A</x:v>
      </x:c>
      <x:c r="AA391" t="str">
        <x:v>Not available in governed source</x:v>
      </x:c>
      <x:c r="AB391" t="str">
        <x:v>Not available in governed source</x:v>
      </x:c>
      <x:c r="AC391" t="str">
        <x:v>FY2025/26</x:v>
      </x:c>
      <x:c r="AD391" t="str">
        <x:v>Modelled</x:v>
      </x:c>
      <x:c r="AE391" t="str">
        <x:v>2026 bridge AADT rebuilt from host-link traffic history, annual collection-link history, same-road corridor history and spatial count-station influence. Vehicle-class values are assigned from functional-class shares.</x:v>
      </x:c>
      <x:c r="AF391" t="str">
        <x:v>Placed on exact national road host link</x:v>
      </x:c>
    </x:row>
    <x:row r="392" ht="15" hidden="0" customHeight="1">
      <x:c r="A392" t="str">
        <x:v>bridge-391</x:v>
      </x:c>
      <x:c r="B392" t="str">
        <x:v>B456</x:v>
      </x:c>
      <x:c r="C392" t="str">
        <x:v>KEE NAKAWUKA</x:v>
      </x:c>
      <x:c r="D392" t="str">
        <x:v>C178_Link01</x:v>
      </x:c>
      <x:c r="E392" t="str">
        <x:v>Natete - Nakawuka - Kisubi</x:v>
      </x:c>
      <x:c r="F392" t="str">
        <x:v>C</x:v>
      </x:c>
      <x:c r="G392" t="str">
        <x:v>Central</x:v>
      </x:c>
      <x:c r="H392" t="str">
        <x:v>Kampala</x:v>
      </x:c>
      <x:c r="I392" t="str">
        <x:v>Road Over Rail</x:v>
      </x:c>
      <x:c r="J392" t="str">
        <x:v>Good</x:v>
      </x:c>
      <x:c r="K392" t="n">
        <x:v>32.515999</x:v>
      </x:c>
      <x:c r="L392" t="n">
        <x:v>0.27814</x:v>
      </x:c>
      <x:c r="M392" t="n">
        <x:v>32.517886</x:v>
      </x:c>
      <x:c r="N392" t="n">
        <x:v>0.28445</x:v>
      </x:c>
      <x:c r="O392" t="n">
        <x:v>7059.99</x:v>
      </x:c>
      <x:c r="P392" t="n">
        <x:f>IFERROR(INDEX(Assumptions!$B$9:$B$13,MATCH(F392,Assumptions!$A$9:$A$13,0)),0.15)</x:f>
        <x:v>0.28</x:v>
      </x:c>
      <x:c r="Q392" t="n">
        <x:f>ROUND(O392*(1-P392),0)</x:f>
        <x:v>5083</x:v>
      </x:c>
      <x:c r="R392" t="n">
        <x:f>ROUND(O392*P392,0)</x:f>
        <x:v>1977</x:v>
      </x:c>
      <x:c r="S392" t="n">
        <x:f>ROUND(O392*IFERROR(INDEX(Assumptions!$C$9:$C$13,MATCH(F392,Assumptions!$A$9:$A$13,0)),0.55),0)</x:f>
        <x:v>3530</x:v>
      </x:c>
      <x:c r="T392" t="n">
        <x:f>ROUND(O392*IFERROR(INDEX(Assumptions!$D$9:$D$13,MATCH(F392,Assumptions!$A$9:$A$13,0)),0.06),0)</x:f>
        <x:v>353</x:v>
      </x:c>
      <x:c r="U392" t="n">
        <x:f>ROUND(O392*IFERROR(INDEX(Assumptions!$E$9:$E$13,MATCH(F392,Assumptions!$A$9:$A$13,0)),0.15),0)</x:f>
        <x:v>777</x:v>
      </x:c>
      <x:c r="V392" t="n">
        <x:f>MAX(0,O392-SUM(R392:U392))</x:f>
        <x:v>422.9899999999998</x:v>
      </x:c>
      <x:c r="W392" t="n">
        <x:f>MIN(100,40+IF(O392&gt;0,20,0)+IF(M392&lt;&gt;"",20,0)+IF(AF392&lt;&gt;"",20,0))</x:f>
        <x:v>100</x:v>
      </x:c>
      <x:c r="X392" t="str">
        <x:v>Placed on exact national road host link</x:v>
      </x:c>
      <x:c r="Y392" t="str">
        <x:v>Unpaved</x:v>
      </x:c>
      <x:c r="Z392" t="str">
        <x:v>C</x:v>
      </x:c>
      <x:c r="AA392" t="str">
        <x:v>Not available in governed source</x:v>
      </x:c>
      <x:c r="AB392" t="str">
        <x:v>Not available in governed source</x:v>
      </x:c>
      <x:c r="AC392" t="str">
        <x:v>FY2025/26</x:v>
      </x:c>
      <x:c r="AD392" t="str">
        <x:v>Modelled</x:v>
      </x:c>
      <x:c r="AE392" t="str">
        <x:v>2026 bridge AADT rebuilt from host-link traffic history, annual collection-link history, same-road corridor history and spatial count-station influence. Vehicle-class values are assigned from functional-class shares.</x:v>
      </x:c>
      <x:c r="AF392" t="str">
        <x:v>Placed on exact national road host link</x:v>
      </x:c>
    </x:row>
    <x:row r="393" ht="15" hidden="0" customHeight="1">
      <x:c r="A393" t="str">
        <x:v>bridge-392</x:v>
      </x:c>
      <x:c r="B393" t="str">
        <x:v>B457</x:v>
      </x:c>
      <x:c r="C393" t="str">
        <x:v>SCOUL UNDERPASS</x:v>
      </x:c>
      <x:c r="D393" t="str">
        <x:v>A001_Link03</x:v>
      </x:c>
      <x:c r="E393" t="str">
        <x:v>Lugazi - Njeru</x:v>
      </x:c>
      <x:c r="F393" t="str">
        <x:v>A</x:v>
      </x:c>
      <x:c r="G393" t="str">
        <x:v>Central</x:v>
      </x:c>
      <x:c r="H393" t="str">
        <x:v>Kampala</x:v>
      </x:c>
      <x:c r="I393" t="str">
        <x:v>Road Underpass</x:v>
      </x:c>
      <x:c r="J393" t="str">
        <x:v>Marginal</x:v>
      </x:c>
      <x:c r="K393" t="n">
        <x:v>32.959862</x:v>
      </x:c>
      <x:c r="L393" t="n">
        <x:v>0.37591</x:v>
      </x:c>
      <x:c r="M393" t="n">
        <x:v>32.961582</x:v>
      </x:c>
      <x:c r="N393" t="n">
        <x:v>0.377971</x:v>
      </x:c>
      <x:c r="O393" t="n">
        <x:v>30477.36</x:v>
      </x:c>
      <x:c r="P393" t="n">
        <x:f>IFERROR(INDEX(Assumptions!$B$9:$B$13,MATCH(F393,Assumptions!$A$9:$A$13,0)),0.15)</x:f>
        <x:v>0.12</x:v>
      </x:c>
      <x:c r="Q393" t="n">
        <x:f>ROUND(O393*(1-P393),0)</x:f>
        <x:v>26820</x:v>
      </x:c>
      <x:c r="R393" t="n">
        <x:f>ROUND(O393*P393,0)</x:f>
        <x:v>3657</x:v>
      </x:c>
      <x:c r="S393" t="n">
        <x:f>ROUND(O393*IFERROR(INDEX(Assumptions!$C$9:$C$13,MATCH(F393,Assumptions!$A$9:$A$13,0)),0.55),0)</x:f>
        <x:v>17677</x:v>
      </x:c>
      <x:c r="T393" t="n">
        <x:f>ROUND(O393*IFERROR(INDEX(Assumptions!$D$9:$D$13,MATCH(F393,Assumptions!$A$9:$A$13,0)),0.06),0)</x:f>
        <x:v>2438</x:v>
      </x:c>
      <x:c r="U393" t="n">
        <x:f>ROUND(O393*IFERROR(INDEX(Assumptions!$E$9:$E$13,MATCH(F393,Assumptions!$A$9:$A$13,0)),0.15),0)</x:f>
        <x:v>5486</x:v>
      </x:c>
      <x:c r="V393" t="n">
        <x:f>MAX(0,O393-SUM(R393:U393))</x:f>
        <x:v>1219.3600000000006</x:v>
      </x:c>
      <x:c r="W393" t="n">
        <x:f>MIN(100,40+IF(O393&gt;0,20,0)+IF(M393&lt;&gt;"",20,0)+IF(AF393&lt;&gt;"",20,0))</x:f>
        <x:v>100</x:v>
      </x:c>
      <x:c r="X393" t="str">
        <x:v>Placed on exact national road host link</x:v>
      </x:c>
      <x:c r="Y393" t="str">
        <x:v>Paved</x:v>
      </x:c>
      <x:c r="Z393" t="str">
        <x:v>A</x:v>
      </x:c>
      <x:c r="AA393" t="str">
        <x:v>Not available in governed source</x:v>
      </x:c>
      <x:c r="AB393" t="str">
        <x:v>Not available in governed source</x:v>
      </x:c>
      <x:c r="AC393" t="str">
        <x:v>FY2025/26</x:v>
      </x:c>
      <x:c r="AD393" t="str">
        <x:v>Modelled</x:v>
      </x:c>
      <x:c r="AE393" t="str">
        <x:v>2026 bridge AADT rebuilt from host-link traffic history, annual collection-link history, same-road corridor history and spatial count-station influence. Vehicle-class values are assigned from functional-class shares.</x:v>
      </x:c>
      <x:c r="AF393" t="str">
        <x:v>Placed on exact national road host link</x:v>
      </x:c>
    </x:row>
    <x:row r="394" ht="15" hidden="0" customHeight="1">
      <x:c r="A394" t="str">
        <x:v>bridge-393</x:v>
      </x:c>
      <x:c r="B394" t="str">
        <x:v>B458</x:v>
      </x:c>
      <x:c r="C394" t="str">
        <x:v>MATAGI</x:v>
      </x:c>
      <x:c r="D394" t="str">
        <x:v>A009_Link03</x:v>
      </x:c>
      <x:c r="E394" t="str">
        <x:v>Busunju - Kiboga - Lwamata</x:v>
      </x:c>
      <x:c r="F394" t="str">
        <x:v>A</x:v>
      </x:c>
      <x:c r="G394" t="str">
        <x:v>Central</x:v>
      </x:c>
      <x:c r="H394" t="str">
        <x:v>Kampala</x:v>
      </x:c>
      <x:c r="I394" t="str">
        <x:v>Matagi River</x:v>
      </x:c>
      <x:c r="J394" t="str">
        <x:v>Good</x:v>
      </x:c>
      <x:c r="K394" t="n">
        <x:v>32.054119</x:v>
      </x:c>
      <x:c r="L394" t="n">
        <x:v>0.6833</x:v>
      </x:c>
      <x:c r="M394" t="n">
        <x:v>32.059473</x:v>
      </x:c>
      <x:c r="N394" t="n">
        <x:v>0.678914</x:v>
      </x:c>
      <x:c r="O394" t="n">
        <x:v>10893.97</x:v>
      </x:c>
      <x:c r="P394" t="n">
        <x:f>IFERROR(INDEX(Assumptions!$B$9:$B$13,MATCH(F394,Assumptions!$A$9:$A$13,0)),0.15)</x:f>
        <x:v>0.12</x:v>
      </x:c>
      <x:c r="Q394" t="n">
        <x:f>ROUND(O394*(1-P394),0)</x:f>
        <x:v>9587</x:v>
      </x:c>
      <x:c r="R394" t="n">
        <x:f>ROUND(O394*P394,0)</x:f>
        <x:v>1307</x:v>
      </x:c>
      <x:c r="S394" t="n">
        <x:f>ROUND(O394*IFERROR(INDEX(Assumptions!$C$9:$C$13,MATCH(F394,Assumptions!$A$9:$A$13,0)),0.55),0)</x:f>
        <x:v>6319</x:v>
      </x:c>
      <x:c r="T394" t="n">
        <x:f>ROUND(O394*IFERROR(INDEX(Assumptions!$D$9:$D$13,MATCH(F394,Assumptions!$A$9:$A$13,0)),0.06),0)</x:f>
        <x:v>872</x:v>
      </x:c>
      <x:c r="U394" t="n">
        <x:f>ROUND(O394*IFERROR(INDEX(Assumptions!$E$9:$E$13,MATCH(F394,Assumptions!$A$9:$A$13,0)),0.15),0)</x:f>
        <x:v>1961</x:v>
      </x:c>
      <x:c r="V394" t="n">
        <x:f>MAX(0,O394-SUM(R394:U394))</x:f>
        <x:v>434.96999999999935</x:v>
      </x:c>
      <x:c r="W394" t="n">
        <x:f>MIN(100,40+IF(O394&gt;0,20,0)+IF(M394&lt;&gt;"",20,0)+IF(AF394&lt;&gt;"",20,0))</x:f>
        <x:v>100</x:v>
      </x:c>
      <x:c r="X394" t="str">
        <x:v>Placed on exact national road host link</x:v>
      </x:c>
      <x:c r="Y394" t="str">
        <x:v>Paved</x:v>
      </x:c>
      <x:c r="Z394" t="str">
        <x:v>A</x:v>
      </x:c>
      <x:c r="AA394" t="str">
        <x:v>Not available in governed source</x:v>
      </x:c>
      <x:c r="AB394" t="str">
        <x:v>Not available in governed source</x:v>
      </x:c>
      <x:c r="AC394" t="str">
        <x:v>FY2025/26</x:v>
      </x:c>
      <x:c r="AD394" t="str">
        <x:v>Modelled</x:v>
      </x:c>
      <x:c r="AE394" t="str">
        <x:v>2026 bridge AADT rebuilt from host-link traffic history, annual collection-link history, same-road corridor history and spatial count-station influence. Vehicle-class values are assigned from functional-class shares.</x:v>
      </x:c>
      <x:c r="AF394" t="str">
        <x:v>Placed on exact national road host link</x:v>
      </x:c>
    </x:row>
    <x:row r="395" ht="15" hidden="0" customHeight="1">
      <x:c r="A395" t="str">
        <x:v>bridge-394</x:v>
      </x:c>
      <x:c r="B395" t="str">
        <x:v>B459</x:v>
      </x:c>
      <x:c r="C395" t="str">
        <x:v>KABAALE BRIDGE</x:v>
      </x:c>
      <x:c r="D395" t="str">
        <x:v>C315_Link01</x:v>
      </x:c>
      <x:c r="E395" t="str">
        <x:v>Kyankwazi - Ngoma</x:v>
      </x:c>
      <x:c r="F395" t="str">
        <x:v>C</x:v>
      </x:c>
      <x:c r="G395" t="str">
        <x:v>Central</x:v>
      </x:c>
      <x:c r="H395" t="str">
        <x:v>Luwero</x:v>
      </x:c>
      <x:c r="I395" t="str">
        <x:v>Kabaale Bridge</x:v>
      </x:c>
      <x:c r="J395" t="str">
        <x:v>Good</x:v>
      </x:c>
      <x:c r="K395" t="n">
        <x:v>31.90852</x:v>
      </x:c>
      <x:c r="L395" t="n">
        <x:v>1.12198</x:v>
      </x:c>
      <x:c r="M395" t="n">
        <x:v>31.988851</x:v>
      </x:c>
      <x:c r="N395" t="n">
        <x:v>1.165066</x:v>
      </x:c>
      <x:c r="O395" t="n">
        <x:v>1137.02</x:v>
      </x:c>
      <x:c r="P395" t="n">
        <x:f>IFERROR(INDEX(Assumptions!$B$9:$B$13,MATCH(F395,Assumptions!$A$9:$A$13,0)),0.15)</x:f>
        <x:v>0.28</x:v>
      </x:c>
      <x:c r="Q395" t="n">
        <x:f>ROUND(O395*(1-P395),0)</x:f>
        <x:v>819</x:v>
      </x:c>
      <x:c r="R395" t="n">
        <x:f>ROUND(O395*P395,0)</x:f>
        <x:v>318</x:v>
      </x:c>
      <x:c r="S395" t="n">
        <x:f>ROUND(O395*IFERROR(INDEX(Assumptions!$C$9:$C$13,MATCH(F395,Assumptions!$A$9:$A$13,0)),0.55),0)</x:f>
        <x:v>569</x:v>
      </x:c>
      <x:c r="T395" t="n">
        <x:f>ROUND(O395*IFERROR(INDEX(Assumptions!$D$9:$D$13,MATCH(F395,Assumptions!$A$9:$A$13,0)),0.06),0)</x:f>
        <x:v>57</x:v>
      </x:c>
      <x:c r="U395" t="n">
        <x:f>ROUND(O395*IFERROR(INDEX(Assumptions!$E$9:$E$13,MATCH(F395,Assumptions!$A$9:$A$13,0)),0.15),0)</x:f>
        <x:v>125</x:v>
      </x:c>
      <x:c r="V395" t="n">
        <x:f>MAX(0,O395-SUM(R395:U395))</x:f>
        <x:v>68.01999999999998</x:v>
      </x:c>
      <x:c r="W395" t="n">
        <x:f>MIN(100,40+IF(O395&gt;0,20,0)+IF(M395&lt;&gt;"",20,0)+IF(AF395&lt;&gt;"",20,0))</x:f>
        <x:v>100</x:v>
      </x:c>
      <x:c r="X395" t="str">
        <x:v>Placed on exact national road host link</x:v>
      </x:c>
      <x:c r="Y395" t="str">
        <x:v>Unpaved</x:v>
      </x:c>
      <x:c r="Z395" t="str">
        <x:v>C</x:v>
      </x:c>
      <x:c r="AA395" t="str">
        <x:v>Not available in governed source</x:v>
      </x:c>
      <x:c r="AB395" t="str">
        <x:v>Not available in governed source</x:v>
      </x:c>
      <x:c r="AC395" t="str">
        <x:v>FY2025/26</x:v>
      </x:c>
      <x:c r="AD395" t="str">
        <x:v>Modelled</x:v>
      </x:c>
      <x:c r="AE395" t="str">
        <x:v>2026 bridge AADT rebuilt from host-link traffic history, annual collection-link history, same-road corridor history and spatial count-station influence. Vehicle-class values are assigned from functional-class shares.</x:v>
      </x:c>
      <x:c r="AF395" t="str">
        <x:v>Placed on exact national road host link</x:v>
      </x:c>
    </x:row>
    <x:row r="396" ht="15" hidden="0" customHeight="1">
      <x:c r="A396" t="str">
        <x:v>bridge-395</x:v>
      </x:c>
      <x:c r="B396" t="str">
        <x:v>B460</x:v>
      </x:c>
      <x:c r="C396" t="str">
        <x:v>Mityana-Naama-Myanzi</x:v>
      </x:c>
      <x:c r="D396" t="str">
        <x:v>A005_Link03</x:v>
      </x:c>
      <x:c r="E396" t="str">
        <x:v>Mityana - Naama - Myanzi</x:v>
      </x:c>
      <x:c r="F396" t="str">
        <x:v>A</x:v>
      </x:c>
      <x:c r="G396" t="str">
        <x:v>Central</x:v>
      </x:c>
      <x:c r="H396" t="str">
        <x:v>Mubende</x:v>
      </x:c>
      <x:c r="I396" t="str">
        <x:v>Road Over Rail</x:v>
      </x:c>
      <x:c r="J396" t="str">
        <x:v>Good</x:v>
      </x:c>
      <x:c r="K396" t="n">
        <x:v>31.96471</x:v>
      </x:c>
      <x:c r="L396" t="n">
        <x:v>0.42548</x:v>
      </x:c>
      <x:c r="M396" t="n">
        <x:v>31.953253</x:v>
      </x:c>
      <x:c r="N396" t="n">
        <x:v>0.428676</x:v>
      </x:c>
      <x:c r="O396" t="n">
        <x:v>4535.12</x:v>
      </x:c>
      <x:c r="P396" t="n">
        <x:f>IFERROR(INDEX(Assumptions!$B$9:$B$13,MATCH(F396,Assumptions!$A$9:$A$13,0)),0.15)</x:f>
        <x:v>0.12</x:v>
      </x:c>
      <x:c r="Q396" t="n">
        <x:f>ROUND(O396*(1-P396),0)</x:f>
        <x:v>3991</x:v>
      </x:c>
      <x:c r="R396" t="n">
        <x:f>ROUND(O396*P396,0)</x:f>
        <x:v>544</x:v>
      </x:c>
      <x:c r="S396" t="n">
        <x:f>ROUND(O396*IFERROR(INDEX(Assumptions!$C$9:$C$13,MATCH(F396,Assumptions!$A$9:$A$13,0)),0.55),0)</x:f>
        <x:v>2630</x:v>
      </x:c>
      <x:c r="T396" t="n">
        <x:f>ROUND(O396*IFERROR(INDEX(Assumptions!$D$9:$D$13,MATCH(F396,Assumptions!$A$9:$A$13,0)),0.06),0)</x:f>
        <x:v>363</x:v>
      </x:c>
      <x:c r="U396" t="n">
        <x:f>ROUND(O396*IFERROR(INDEX(Assumptions!$E$9:$E$13,MATCH(F396,Assumptions!$A$9:$A$13,0)),0.15),0)</x:f>
        <x:v>816</x:v>
      </x:c>
      <x:c r="V396" t="n">
        <x:f>MAX(0,O396-SUM(R396:U396))</x:f>
        <x:v>182.1199999999999</x:v>
      </x:c>
      <x:c r="W396" t="n">
        <x:f>MIN(100,40+IF(O396&gt;0,20,0)+IF(M396&lt;&gt;"",20,0)+IF(AF396&lt;&gt;"",20,0))</x:f>
        <x:v>100</x:v>
      </x:c>
      <x:c r="X396" t="str">
        <x:v>Placed on exact national road host link</x:v>
      </x:c>
      <x:c r="Y396" t="str">
        <x:v>Paved</x:v>
      </x:c>
      <x:c r="Z396" t="str">
        <x:v>A</x:v>
      </x:c>
      <x:c r="AA396" t="str">
        <x:v>Not available in governed source</x:v>
      </x:c>
      <x:c r="AB396" t="str">
        <x:v>Not available in governed source</x:v>
      </x:c>
      <x:c r="AC396" t="str">
        <x:v>FY2025/26</x:v>
      </x:c>
      <x:c r="AD396" t="str">
        <x:v>Modelled</x:v>
      </x:c>
      <x:c r="AE396" t="str">
        <x:v>2026 bridge AADT rebuilt from host-link traffic history, annual collection-link history, same-road corridor history and spatial count-station influence. Vehicle-class values are assigned from functional-class shares.</x:v>
      </x:c>
      <x:c r="AF396" t="str">
        <x:v>Placed on exact national road host link</x:v>
      </x:c>
    </x:row>
    <x:row r="397" ht="15" hidden="0" customHeight="1">
      <x:c r="A397" t="str">
        <x:v>bridge-396</x:v>
      </x:c>
      <x:c r="B397" t="str">
        <x:v>B461</x:v>
      </x:c>
      <x:c r="C397" t="str">
        <x:v>BUKOOLA</x:v>
      </x:c>
      <x:c r="D397" t="str">
        <x:v>C224_Link01</x:v>
      </x:c>
      <x:c r="E397" t="str">
        <x:v>Kyapa - Kasensero</x:v>
      </x:c>
      <x:c r="F397" t="str">
        <x:v>C</x:v>
      </x:c>
      <x:c r="G397" t="str">
        <x:v>Central</x:v>
      </x:c>
      <x:c r="H397" t="str">
        <x:v>Masaka</x:v>
      </x:c>
      <x:c r="I397" t="str">
        <x:v>Bukoola River</x:v>
      </x:c>
      <x:c r="J397" t="str">
        <x:v>Good</x:v>
      </x:c>
      <x:c r="K397" t="n">
        <x:v>31.582979</x:v>
      </x:c>
      <x:c r="L397" t="n">
        <x:v>-0.89951</x:v>
      </x:c>
      <x:c r="M397" t="n">
        <x:v>31.58112</x:v>
      </x:c>
      <x:c r="N397" t="n">
        <x:v>-0.897714</x:v>
      </x:c>
      <x:c r="O397" t="n">
        <x:v>1314.51</x:v>
      </x:c>
      <x:c r="P397" t="n">
        <x:f>IFERROR(INDEX(Assumptions!$B$9:$B$13,MATCH(F397,Assumptions!$A$9:$A$13,0)),0.15)</x:f>
        <x:v>0.28</x:v>
      </x:c>
      <x:c r="Q397" t="n">
        <x:f>ROUND(O397*(1-P397),0)</x:f>
        <x:v>946</x:v>
      </x:c>
      <x:c r="R397" t="n">
        <x:f>ROUND(O397*P397,0)</x:f>
        <x:v>368</x:v>
      </x:c>
      <x:c r="S397" t="n">
        <x:f>ROUND(O397*IFERROR(INDEX(Assumptions!$C$9:$C$13,MATCH(F397,Assumptions!$A$9:$A$13,0)),0.55),0)</x:f>
        <x:v>657</x:v>
      </x:c>
      <x:c r="T397" t="n">
        <x:f>ROUND(O397*IFERROR(INDEX(Assumptions!$D$9:$D$13,MATCH(F397,Assumptions!$A$9:$A$13,0)),0.06),0)</x:f>
        <x:v>66</x:v>
      </x:c>
      <x:c r="U397" t="n">
        <x:f>ROUND(O397*IFERROR(INDEX(Assumptions!$E$9:$E$13,MATCH(F397,Assumptions!$A$9:$A$13,0)),0.15),0)</x:f>
        <x:v>145</x:v>
      </x:c>
      <x:c r="V397" t="n">
        <x:f>MAX(0,O397-SUM(R397:U397))</x:f>
        <x:v>78.50999999999999</x:v>
      </x:c>
      <x:c r="W397" t="n">
        <x:f>MIN(100,40+IF(O397&gt;0,20,0)+IF(M397&lt;&gt;"",20,0)+IF(AF397&lt;&gt;"",20,0))</x:f>
        <x:v>100</x:v>
      </x:c>
      <x:c r="X397" t="str">
        <x:v>Placed on exact national road host link</x:v>
      </x:c>
      <x:c r="Y397" t="str">
        <x:v>Unpaved</x:v>
      </x:c>
      <x:c r="Z397" t="str">
        <x:v>C</x:v>
      </x:c>
      <x:c r="AA397" t="str">
        <x:v>Not available in governed source</x:v>
      </x:c>
      <x:c r="AB397" t="str">
        <x:v>Not available in governed source</x:v>
      </x:c>
      <x:c r="AC397" t="str">
        <x:v>FY2025/26</x:v>
      </x:c>
      <x:c r="AD397" t="str">
        <x:v>Modelled</x:v>
      </x:c>
      <x:c r="AE397" t="str">
        <x:v>2026 bridge AADT rebuilt from host-link traffic history, annual collection-link history, same-road corridor history and spatial count-station influence. Vehicle-class values are assigned from functional-class shares.</x:v>
      </x:c>
      <x:c r="AF397" t="str">
        <x:v>Placed on exact national road host link</x:v>
      </x:c>
    </x:row>
    <x:row r="398" ht="15" hidden="0" customHeight="1">
      <x:c r="A398" t="str">
        <x:v>bridge-397</x:v>
      </x:c>
      <x:c r="B398" t="str">
        <x:v>B462</x:v>
      </x:c>
      <x:c r="C398" t="str">
        <x:v>Katonga Bridge</x:v>
      </x:c>
      <x:c r="D398" t="str">
        <x:v>A002_Link04</x:v>
      </x:c>
      <x:c r="E398" t="str">
        <x:v>Buwama - Lukaya</x:v>
      </x:c>
      <x:c r="F398" t="str">
        <x:v>A</x:v>
      </x:c>
      <x:c r="G398" t="str">
        <x:v>Central</x:v>
      </x:c>
      <x:c r="H398" t="str">
        <x:v>Mpigi</x:v>
      </x:c>
      <x:c r="I398" t="str">
        <x:v>Katonga</x:v>
      </x:c>
      <x:c r="J398" t="str">
        <x:v>Good</x:v>
      </x:c>
      <x:c r="K398" t="n">
        <x:v>32.007439</x:v>
      </x:c>
      <x:c r="L398" t="n">
        <x:v>-0.03426</x:v>
      </x:c>
      <x:c r="M398" t="n">
        <x:v>32.00763</x:v>
      </x:c>
      <x:c r="N398" t="n">
        <x:v>-0.034141</x:v>
      </x:c>
      <x:c r="O398" t="n">
        <x:v>8993.24</x:v>
      </x:c>
      <x:c r="P398" t="n">
        <x:f>IFERROR(INDEX(Assumptions!$B$9:$B$13,MATCH(F398,Assumptions!$A$9:$A$13,0)),0.15)</x:f>
        <x:v>0.12</x:v>
      </x:c>
      <x:c r="Q398" t="n">
        <x:f>ROUND(O398*(1-P398),0)</x:f>
        <x:v>7914</x:v>
      </x:c>
      <x:c r="R398" t="n">
        <x:f>ROUND(O398*P398,0)</x:f>
        <x:v>1079</x:v>
      </x:c>
      <x:c r="S398" t="n">
        <x:f>ROUND(O398*IFERROR(INDEX(Assumptions!$C$9:$C$13,MATCH(F398,Assumptions!$A$9:$A$13,0)),0.55),0)</x:f>
        <x:v>5216</x:v>
      </x:c>
      <x:c r="T398" t="n">
        <x:f>ROUND(O398*IFERROR(INDEX(Assumptions!$D$9:$D$13,MATCH(F398,Assumptions!$A$9:$A$13,0)),0.06),0)</x:f>
        <x:v>719</x:v>
      </x:c>
      <x:c r="U398" t="n">
        <x:f>ROUND(O398*IFERROR(INDEX(Assumptions!$E$9:$E$13,MATCH(F398,Assumptions!$A$9:$A$13,0)),0.15),0)</x:f>
        <x:v>1619</x:v>
      </x:c>
      <x:c r="V398" t="n">
        <x:f>MAX(0,O398-SUM(R398:U398))</x:f>
        <x:v>360.2399999999998</x:v>
      </x:c>
      <x:c r="W398" t="n">
        <x:f>MIN(100,40+IF(O398&gt;0,20,0)+IF(M398&lt;&gt;"",20,0)+IF(AF398&lt;&gt;"",20,0))</x:f>
        <x:v>100</x:v>
      </x:c>
      <x:c r="X398" t="str">
        <x:v>Placed on exact national road host link</x:v>
      </x:c>
      <x:c r="Y398" t="str">
        <x:v>Paved</x:v>
      </x:c>
      <x:c r="Z398" t="str">
        <x:v>A</x:v>
      </x:c>
      <x:c r="AA398" t="str">
        <x:v>Not available in governed source</x:v>
      </x:c>
      <x:c r="AB398" t="str">
        <x:v>Not available in governed source</x:v>
      </x:c>
      <x:c r="AC398" t="str">
        <x:v>FY2025/26</x:v>
      </x:c>
      <x:c r="AD398" t="str">
        <x:v>Modelled</x:v>
      </x:c>
      <x:c r="AE398" t="str">
        <x:v>2026 bridge AADT rebuilt from host-link traffic history, annual collection-link history, same-road corridor history and spatial count-station influence. Vehicle-class values are assigned from functional-class shares.</x:v>
      </x:c>
      <x:c r="AF398" t="str">
        <x:v>Placed on exact national road host link</x:v>
      </x:c>
    </x:row>
    <x:row r="399" ht="15" hidden="0" customHeight="1">
      <x:c r="A399" t="str">
        <x:v>bridge-398</x:v>
      </x:c>
      <x:c r="B399" t="str">
        <x:v>B540</x:v>
      </x:c>
      <x:c r="C399" t="str">
        <x:v>RWAMUGANGA-02</x:v>
      </x:c>
      <x:c r="D399" t="str">
        <x:v>C447_Link01</x:v>
      </x:c>
      <x:c r="E399" t="str">
        <x:v>Kabwohe - Kitagata - Kabira(Mitooma)</x:v>
      </x:c>
      <x:c r="F399" t="str">
        <x:v>C</x:v>
      </x:c>
      <x:c r="G399" t="str">
        <x:v>Southern</x:v>
      </x:c>
      <x:c r="H399" t="str">
        <x:v>Mbarara</x:v>
      </x:c>
      <x:c r="I399" t="str">
        <x:v>RWAMUGANGA SWAMP</x:v>
      </x:c>
      <x:c r="J399" t="str">
        <x:v>Good</x:v>
      </x:c>
      <x:c r="K399" t="n">
        <x:v>30.287889</x:v>
      </x:c>
      <x:c r="L399" t="n">
        <x:v>-0.62338</x:v>
      </x:c>
      <x:c r="M399" t="n">
        <x:v>30.153908</x:v>
      </x:c>
      <x:c r="N399" t="n">
        <x:v>-0.673714</x:v>
      </x:c>
      <x:c r="O399" t="n">
        <x:v>698.1</x:v>
      </x:c>
      <x:c r="P399" t="n">
        <x:f>IFERROR(INDEX(Assumptions!$B$9:$B$13,MATCH(F399,Assumptions!$A$9:$A$13,0)),0.15)</x:f>
        <x:v>0.28</x:v>
      </x:c>
      <x:c r="Q399" t="n">
        <x:f>ROUND(O399*(1-P399),0)</x:f>
        <x:v>503</x:v>
      </x:c>
      <x:c r="R399" t="n">
        <x:f>ROUND(O399*P399,0)</x:f>
        <x:v>195</x:v>
      </x:c>
      <x:c r="S399" t="n">
        <x:f>ROUND(O399*IFERROR(INDEX(Assumptions!$C$9:$C$13,MATCH(F399,Assumptions!$A$9:$A$13,0)),0.55),0)</x:f>
        <x:v>349</x:v>
      </x:c>
      <x:c r="T399" t="n">
        <x:f>ROUND(O399*IFERROR(INDEX(Assumptions!$D$9:$D$13,MATCH(F399,Assumptions!$A$9:$A$13,0)),0.06),0)</x:f>
        <x:v>35</x:v>
      </x:c>
      <x:c r="U399" t="n">
        <x:f>ROUND(O399*IFERROR(INDEX(Assumptions!$E$9:$E$13,MATCH(F399,Assumptions!$A$9:$A$13,0)),0.15),0)</x:f>
        <x:v>77</x:v>
      </x:c>
      <x:c r="V399" t="n">
        <x:f>MAX(0,O399-SUM(R399:U399))</x:f>
        <x:v>42.10000000000002</x:v>
      </x:c>
      <x:c r="W399" t="n">
        <x:f>MIN(100,40+IF(O399&gt;0,20,0)+IF(M399&lt;&gt;"",20,0)+IF(AF399&lt;&gt;"",20,0))</x:f>
        <x:v>100</x:v>
      </x:c>
      <x:c r="X399" t="str">
        <x:v>Placed on exact national road host link</x:v>
      </x:c>
      <x:c r="Y399" t="str">
        <x:v>Unpaved</x:v>
      </x:c>
      <x:c r="Z399" t="str">
        <x:v>C</x:v>
      </x:c>
      <x:c r="AA399" t="str">
        <x:v>Not available in governed source</x:v>
      </x:c>
      <x:c r="AB399" t="str">
        <x:v>Not available in governed source</x:v>
      </x:c>
      <x:c r="AC399" t="str">
        <x:v>FY2025/26</x:v>
      </x:c>
      <x:c r="AD399" t="str">
        <x:v>Modelled</x:v>
      </x:c>
      <x:c r="AE399" t="str">
        <x:v>2026 bridge AADT rebuilt from host-link traffic history, annual collection-link history, same-road corridor history and spatial count-station influence. Vehicle-class values are assigned from functional-class shares.</x:v>
      </x:c>
      <x:c r="AF399" t="str">
        <x:v>Placed on exact national road host link</x:v>
      </x:c>
    </x:row>
    <x:row r="400" ht="15" hidden="0" customHeight="1">
      <x:c r="A400" t="str">
        <x:v>bridge-399</x:v>
      </x:c>
      <x:c r="B400" t="str">
        <x:v>B541</x:v>
      </x:c>
      <x:c r="C400" t="str">
        <x:v>Murongo Bridge</x:v>
      </x:c>
      <x:c r="D400" t="str">
        <x:v>C354_Link01</x:v>
      </x:c>
      <x:c r="E400" t="str">
        <x:v>Kikagati - Murungo bridge</x:v>
      </x:c>
      <x:c r="F400" t="str">
        <x:v>C</x:v>
      </x:c>
      <x:c r="G400" t="str">
        <x:v>Southern</x:v>
      </x:c>
      <x:c r="H400" t="str">
        <x:v>Mbarara</x:v>
      </x:c>
      <x:c r="I400" t="str">
        <x:v>River Kagera</x:v>
      </x:c>
      <x:c r="J400" t="str">
        <x:v>Good</x:v>
      </x:c>
      <x:c r="K400" t="n">
        <x:v>30.948231</x:v>
      </x:c>
      <x:c r="L400" t="n">
        <x:v>1.0655</x:v>
      </x:c>
      <x:c r="M400" t="n">
        <x:v>30.64825</x:v>
      </x:c>
      <x:c r="N400" t="n">
        <x:v>-1.06405</x:v>
      </x:c>
      <x:c r="O400" t="n">
        <x:v>1874</x:v>
      </x:c>
      <x:c r="P400" t="n">
        <x:f>IFERROR(INDEX(Assumptions!$B$9:$B$13,MATCH(F400,Assumptions!$A$9:$A$13,0)),0.15)</x:f>
        <x:v>0.28</x:v>
      </x:c>
      <x:c r="Q400" t="n">
        <x:f>ROUND(O400*(1-P400),0)</x:f>
        <x:v>1349</x:v>
      </x:c>
      <x:c r="R400" t="n">
        <x:f>ROUND(O400*P400,0)</x:f>
        <x:v>525</x:v>
      </x:c>
      <x:c r="S400" t="n">
        <x:f>ROUND(O400*IFERROR(INDEX(Assumptions!$C$9:$C$13,MATCH(F400,Assumptions!$A$9:$A$13,0)),0.55),0)</x:f>
        <x:v>937</x:v>
      </x:c>
      <x:c r="T400" t="n">
        <x:f>ROUND(O400*IFERROR(INDEX(Assumptions!$D$9:$D$13,MATCH(F400,Assumptions!$A$9:$A$13,0)),0.06),0)</x:f>
        <x:v>94</x:v>
      </x:c>
      <x:c r="U400" t="n">
        <x:f>ROUND(O400*IFERROR(INDEX(Assumptions!$E$9:$E$13,MATCH(F400,Assumptions!$A$9:$A$13,0)),0.15),0)</x:f>
        <x:v>206</x:v>
      </x:c>
      <x:c r="V400" t="n">
        <x:f>MAX(0,O400-SUM(R400:U400))</x:f>
        <x:v>112</x:v>
      </x:c>
      <x:c r="W400" t="n">
        <x:f>MIN(100,40+IF(O400&gt;0,20,0)+IF(M400&lt;&gt;"",20,0)+IF(AF400&lt;&gt;"",20,0))</x:f>
        <x:v>100</x:v>
      </x:c>
      <x:c r="X400" t="str">
        <x:v>Placed on exact national road host link</x:v>
      </x:c>
      <x:c r="Y400" t="str">
        <x:v>Paved</x:v>
      </x:c>
      <x:c r="Z400" t="str">
        <x:v>C</x:v>
      </x:c>
      <x:c r="AA400" t="str">
        <x:v>Not available in governed source</x:v>
      </x:c>
      <x:c r="AB400" t="str">
        <x:v>Not available in governed source</x:v>
      </x:c>
      <x:c r="AC400" t="str">
        <x:v>FY2025/26</x:v>
      </x:c>
      <x:c r="AD400" t="str">
        <x:v>Modelled</x:v>
      </x:c>
      <x:c r="AE400" t="str">
        <x:v>2026 bridge AADT rebuilt from host-link traffic history, annual collection-link history, same-road corridor history and spatial count-station influence. Vehicle-class values are assigned from functional-class shares.</x:v>
      </x:c>
      <x:c r="AF400" t="str">
        <x:v>Placed on exact national road host link</x:v>
      </x:c>
    </x:row>
    <x:row r="401" ht="15" hidden="0" customHeight="1">
      <x:c r="A401" t="str">
        <x:v>bridge-400</x:v>
      </x:c>
      <x:c r="B401" t="str">
        <x:v>B542</x:v>
      </x:c>
      <x:c r="C401" t="str">
        <x:v>MIRAMA BORDER 02</x:v>
      </x:c>
      <x:c r="D401" t="str">
        <x:v>C417_Link03</x:v>
      </x:c>
      <x:c r="E401" t="str">
        <x:v>Kafunzo-Kakitumba</x:v>
      </x:c>
      <x:c r="F401" t="str">
        <x:v>C</x:v>
      </x:c>
      <x:c r="G401" t="str">
        <x:v>Southern</x:v>
      </x:c>
      <x:c r="H401" t="str">
        <x:v>Kabale</x:v>
      </x:c>
      <x:c r="I401" t="str">
        <x:v>RIVER KAGERA</x:v>
      </x:c>
      <x:c r="J401" t="str">
        <x:v>Good</x:v>
      </x:c>
      <x:c r="K401" t="n">
        <x:v>30.459562</x:v>
      </x:c>
      <x:c r="L401" t="n">
        <x:v>-1.052326</x:v>
      </x:c>
      <x:c r="M401" t="n">
        <x:v>30.459332</x:v>
      </x:c>
      <x:c r="N401" t="n">
        <x:v>-1.051396</x:v>
      </x:c>
      <x:c r="O401" t="n">
        <x:v>2744.3</x:v>
      </x:c>
      <x:c r="P401" t="n">
        <x:f>IFERROR(INDEX(Assumptions!$B$9:$B$13,MATCH(F401,Assumptions!$A$9:$A$13,0)),0.15)</x:f>
        <x:v>0.28</x:v>
      </x:c>
      <x:c r="Q401" t="n">
        <x:f>ROUND(O401*(1-P401),0)</x:f>
        <x:v>1976</x:v>
      </x:c>
      <x:c r="R401" t="n">
        <x:f>ROUND(O401*P401,0)</x:f>
        <x:v>768</x:v>
      </x:c>
      <x:c r="S401" t="n">
        <x:f>ROUND(O401*IFERROR(INDEX(Assumptions!$C$9:$C$13,MATCH(F401,Assumptions!$A$9:$A$13,0)),0.55),0)</x:f>
        <x:v>1372</x:v>
      </x:c>
      <x:c r="T401" t="n">
        <x:f>ROUND(O401*IFERROR(INDEX(Assumptions!$D$9:$D$13,MATCH(F401,Assumptions!$A$9:$A$13,0)),0.06),0)</x:f>
        <x:v>137</x:v>
      </x:c>
      <x:c r="U401" t="n">
        <x:f>ROUND(O401*IFERROR(INDEX(Assumptions!$E$9:$E$13,MATCH(F401,Assumptions!$A$9:$A$13,0)),0.15),0)</x:f>
        <x:v>302</x:v>
      </x:c>
      <x:c r="V401" t="n">
        <x:f>MAX(0,O401-SUM(R401:U401))</x:f>
        <x:v>165.30000000000018</x:v>
      </x:c>
      <x:c r="W401" t="n">
        <x:f>MIN(100,40+IF(O401&gt;0,20,0)+IF(M401&lt;&gt;"",20,0)+IF(AF401&lt;&gt;"",20,0))</x:f>
        <x:v>100</x:v>
      </x:c>
      <x:c r="X401" t="str">
        <x:v>Placed on exact national road host link</x:v>
      </x:c>
      <x:c r="Y401" t="str">
        <x:v>Paved</x:v>
      </x:c>
      <x:c r="Z401" t="str">
        <x:v>C</x:v>
      </x:c>
      <x:c r="AA401" t="str">
        <x:v>Not available in governed source</x:v>
      </x:c>
      <x:c r="AB401" t="str">
        <x:v>Not available in governed source</x:v>
      </x:c>
      <x:c r="AC401" t="str">
        <x:v>FY2025/26</x:v>
      </x:c>
      <x:c r="AD401" t="str">
        <x:v>Modelled</x:v>
      </x:c>
      <x:c r="AE401" t="str">
        <x:v>2026 bridge AADT rebuilt from host-link traffic history, annual collection-link history, same-road corridor history and spatial count-station influence. Vehicle-class values are assigned from functional-class shares.</x:v>
      </x:c>
      <x:c r="AF401" t="str">
        <x:v>Placed on exact national road host link</x:v>
      </x:c>
    </x:row>
    <x:row r="402" ht="15" hidden="0" customHeight="1">
      <x:c r="A402" t="str">
        <x:v>bridge-401</x:v>
      </x:c>
      <x:c r="B402" t="str">
        <x:v>B543</x:v>
      </x:c>
      <x:c r="C402" t="str">
        <x:v>KYAMBU BRIDGE</x:v>
      </x:c>
      <x:c r="D402" t="str">
        <x:v>C356_Link01</x:v>
      </x:c>
      <x:c r="E402" t="str">
        <x:v>Ibanda-Kanoni-Kazo</x:v>
      </x:c>
      <x:c r="F402" t="str">
        <x:v>C</x:v>
      </x:c>
      <x:c r="G402" t="str">
        <x:v>Southern</x:v>
      </x:c>
      <x:c r="H402" t="str">
        <x:v>Ibanda</x:v>
      </x:c>
      <x:c r="I402" t="str">
        <x:v>KYAMBU RIVER</x:v>
      </x:c>
      <x:c r="J402" t="str">
        <x:v>Good</x:v>
      </x:c>
      <x:c r="K402" t="n">
        <x:v>30.531019</x:v>
      </x:c>
      <x:c r="L402" t="n">
        <x:v>-0.13287</x:v>
      </x:c>
      <x:c r="M402" t="n">
        <x:v>30.752018</x:v>
      </x:c>
      <x:c r="N402" t="n">
        <x:v>-0.061447</x:v>
      </x:c>
      <x:c r="O402" t="n">
        <x:v>2213.75</x:v>
      </x:c>
      <x:c r="P402" t="n">
        <x:f>IFERROR(INDEX(Assumptions!$B$9:$B$13,MATCH(F402,Assumptions!$A$9:$A$13,0)),0.15)</x:f>
        <x:v>0.28</x:v>
      </x:c>
      <x:c r="Q402" t="n">
        <x:f>ROUND(O402*(1-P402),0)</x:f>
        <x:v>1594</x:v>
      </x:c>
      <x:c r="R402" t="n">
        <x:f>ROUND(O402*P402,0)</x:f>
        <x:v>620</x:v>
      </x:c>
      <x:c r="S402" t="n">
        <x:f>ROUND(O402*IFERROR(INDEX(Assumptions!$C$9:$C$13,MATCH(F402,Assumptions!$A$9:$A$13,0)),0.55),0)</x:f>
        <x:v>1107</x:v>
      </x:c>
      <x:c r="T402" t="n">
        <x:f>ROUND(O402*IFERROR(INDEX(Assumptions!$D$9:$D$13,MATCH(F402,Assumptions!$A$9:$A$13,0)),0.06),0)</x:f>
        <x:v>111</x:v>
      </x:c>
      <x:c r="U402" t="n">
        <x:f>ROUND(O402*IFERROR(INDEX(Assumptions!$E$9:$E$13,MATCH(F402,Assumptions!$A$9:$A$13,0)),0.15),0)</x:f>
        <x:v>244</x:v>
      </x:c>
      <x:c r="V402" t="n">
        <x:f>MAX(0,O402-SUM(R402:U402))</x:f>
        <x:v>131.75</x:v>
      </x:c>
      <x:c r="W402" t="n">
        <x:f>MIN(100,40+IF(O402&gt;0,20,0)+IF(M402&lt;&gt;"",20,0)+IF(AF402&lt;&gt;"",20,0))</x:f>
        <x:v>100</x:v>
      </x:c>
      <x:c r="X402" t="str">
        <x:v>Placed on exact national road host link</x:v>
      </x:c>
      <x:c r="Y402" t="str">
        <x:v>Paved</x:v>
      </x:c>
      <x:c r="Z402" t="str">
        <x:v>C</x:v>
      </x:c>
      <x:c r="AA402" t="str">
        <x:v>Not available in governed source</x:v>
      </x:c>
      <x:c r="AB402" t="str">
        <x:v>Not available in governed source</x:v>
      </x:c>
      <x:c r="AC402" t="str">
        <x:v>FY2025/26</x:v>
      </x:c>
      <x:c r="AD402" t="str">
        <x:v>Modelled</x:v>
      </x:c>
      <x:c r="AE402" t="str">
        <x:v>2026 bridge AADT rebuilt from host-link traffic history, annual collection-link history, same-road corridor history and spatial count-station influence. Vehicle-class values are assigned from functional-class shares.</x:v>
      </x:c>
      <x:c r="AF402" t="str">
        <x:v>Placed on exact national road host link</x:v>
      </x:c>
    </x:row>
    <x:row r="403" ht="15" hidden="0" customHeight="1">
      <x:c r="A403" t="str">
        <x:v>bridge-402</x:v>
      </x:c>
      <x:c r="B403" t="str">
        <x:v>B558</x:v>
      </x:c>
      <x:c r="C403" t="str">
        <x:v>NYAMASHEKYE BRIDGE</x:v>
      </x:c>
      <x:c r="D403" t="str">
        <x:v>C356_Link01</x:v>
      </x:c>
      <x:c r="E403" t="str">
        <x:v>Ibanda-Kanoni-Kazo</x:v>
      </x:c>
      <x:c r="F403" t="str">
        <x:v>C</x:v>
      </x:c>
      <x:c r="G403" t="str">
        <x:v>Southern</x:v>
      </x:c>
      <x:c r="H403" t="str">
        <x:v>Ibanda</x:v>
      </x:c>
      <x:c r="I403" t="str">
        <x:v>NYAMASHEKYE</x:v>
      </x:c>
      <x:c r="J403" t="str">
        <x:v>Good</x:v>
      </x:c>
      <x:c r="K403" t="n">
        <x:v>30.460281</x:v>
      </x:c>
      <x:c r="L403" t="n">
        <x:v>-0.43447</x:v>
      </x:c>
      <x:c r="M403" t="n">
        <x:v>30.753599</x:v>
      </x:c>
      <x:c r="N403" t="n">
        <x:v>-0.058327</x:v>
      </x:c>
      <x:c r="O403" t="n">
        <x:v>2213.75</x:v>
      </x:c>
      <x:c r="P403" t="n">
        <x:f>IFERROR(INDEX(Assumptions!$B$9:$B$13,MATCH(F403,Assumptions!$A$9:$A$13,0)),0.15)</x:f>
        <x:v>0.28</x:v>
      </x:c>
      <x:c r="Q403" t="n">
        <x:f>ROUND(O403*(1-P403),0)</x:f>
        <x:v>1594</x:v>
      </x:c>
      <x:c r="R403" t="n">
        <x:f>ROUND(O403*P403,0)</x:f>
        <x:v>620</x:v>
      </x:c>
      <x:c r="S403" t="n">
        <x:f>ROUND(O403*IFERROR(INDEX(Assumptions!$C$9:$C$13,MATCH(F403,Assumptions!$A$9:$A$13,0)),0.55),0)</x:f>
        <x:v>1107</x:v>
      </x:c>
      <x:c r="T403" t="n">
        <x:f>ROUND(O403*IFERROR(INDEX(Assumptions!$D$9:$D$13,MATCH(F403,Assumptions!$A$9:$A$13,0)),0.06),0)</x:f>
        <x:v>111</x:v>
      </x:c>
      <x:c r="U403" t="n">
        <x:f>ROUND(O403*IFERROR(INDEX(Assumptions!$E$9:$E$13,MATCH(F403,Assumptions!$A$9:$A$13,0)),0.15),0)</x:f>
        <x:v>244</x:v>
      </x:c>
      <x:c r="V403" t="n">
        <x:f>MAX(0,O403-SUM(R403:U403))</x:f>
        <x:v>131.75</x:v>
      </x:c>
      <x:c r="W403" t="n">
        <x:f>MIN(100,40+IF(O403&gt;0,20,0)+IF(M403&lt;&gt;"",20,0)+IF(AF403&lt;&gt;"",20,0))</x:f>
        <x:v>100</x:v>
      </x:c>
      <x:c r="X403" t="str">
        <x:v>Placed on exact national road host link</x:v>
      </x:c>
      <x:c r="Y403" t="str">
        <x:v>Paved</x:v>
      </x:c>
      <x:c r="Z403" t="str">
        <x:v>C</x:v>
      </x:c>
      <x:c r="AA403" t="str">
        <x:v>Not available in governed source</x:v>
      </x:c>
      <x:c r="AB403" t="str">
        <x:v>Not available in governed source</x:v>
      </x:c>
      <x:c r="AC403" t="str">
        <x:v>FY2025/26</x:v>
      </x:c>
      <x:c r="AD403" t="str">
        <x:v>Modelled</x:v>
      </x:c>
      <x:c r="AE403" t="str">
        <x:v>2026 bridge AADT rebuilt from host-link traffic history, annual collection-link history, same-road corridor history and spatial count-station influence. Vehicle-class values are assigned from functional-class shares.</x:v>
      </x:c>
      <x:c r="AF403" t="str">
        <x:v>Placed on exact national road host link</x:v>
      </x:c>
    </x:row>
    <x:row r="404" ht="15" hidden="0" customHeight="1">
      <x:c r="A404" t="str">
        <x:v>bridge-403</x:v>
      </x:c>
      <x:c r="B404" t="str">
        <x:v>B545</x:v>
      </x:c>
      <x:c r="C404" t="str">
        <x:v>NYAMASHEKYE BRIDGE</x:v>
      </x:c>
      <x:c r="D404" t="str">
        <x:v>C356_Link01</x:v>
      </x:c>
      <x:c r="E404" t="str">
        <x:v>Ibanda-Kanoni-Kazo</x:v>
      </x:c>
      <x:c r="F404" t="str">
        <x:v>C</x:v>
      </x:c>
      <x:c r="G404" t="str">
        <x:v>Southern</x:v>
      </x:c>
      <x:c r="H404" t="str">
        <x:v>Ibanda</x:v>
      </x:c>
      <x:c r="I404" t="str">
        <x:v>NYAMASHEKYE</x:v>
      </x:c>
      <x:c r="J404" t="str">
        <x:v>Good</x:v>
      </x:c>
      <x:c r="K404" t="n">
        <x:v>30.680361</x:v>
      </x:c>
      <x:c r="L404" t="n">
        <x:v>-0.09666</x:v>
      </x:c>
      <x:c r="M404" t="n">
        <x:v>30.753599</x:v>
      </x:c>
      <x:c r="N404" t="n">
        <x:v>-0.058327</x:v>
      </x:c>
      <x:c r="O404" t="n">
        <x:v>2213.75</x:v>
      </x:c>
      <x:c r="P404" t="n">
        <x:f>IFERROR(INDEX(Assumptions!$B$9:$B$13,MATCH(F404,Assumptions!$A$9:$A$13,0)),0.15)</x:f>
        <x:v>0.28</x:v>
      </x:c>
      <x:c r="Q404" t="n">
        <x:f>ROUND(O404*(1-P404),0)</x:f>
        <x:v>1594</x:v>
      </x:c>
      <x:c r="R404" t="n">
        <x:f>ROUND(O404*P404,0)</x:f>
        <x:v>620</x:v>
      </x:c>
      <x:c r="S404" t="n">
        <x:f>ROUND(O404*IFERROR(INDEX(Assumptions!$C$9:$C$13,MATCH(F404,Assumptions!$A$9:$A$13,0)),0.55),0)</x:f>
        <x:v>1107</x:v>
      </x:c>
      <x:c r="T404" t="n">
        <x:f>ROUND(O404*IFERROR(INDEX(Assumptions!$D$9:$D$13,MATCH(F404,Assumptions!$A$9:$A$13,0)),0.06),0)</x:f>
        <x:v>111</x:v>
      </x:c>
      <x:c r="U404" t="n">
        <x:f>ROUND(O404*IFERROR(INDEX(Assumptions!$E$9:$E$13,MATCH(F404,Assumptions!$A$9:$A$13,0)),0.15),0)</x:f>
        <x:v>244</x:v>
      </x:c>
      <x:c r="V404" t="n">
        <x:f>MAX(0,O404-SUM(R404:U404))</x:f>
        <x:v>131.75</x:v>
      </x:c>
      <x:c r="W404" t="n">
        <x:f>MIN(100,40+IF(O404&gt;0,20,0)+IF(M404&lt;&gt;"",20,0)+IF(AF404&lt;&gt;"",20,0))</x:f>
        <x:v>100</x:v>
      </x:c>
      <x:c r="X404" t="str">
        <x:v>Placed on exact national road host link</x:v>
      </x:c>
      <x:c r="Y404" t="str">
        <x:v>Paved</x:v>
      </x:c>
      <x:c r="Z404" t="str">
        <x:v>C</x:v>
      </x:c>
      <x:c r="AA404" t="str">
        <x:v>Not available in governed source</x:v>
      </x:c>
      <x:c r="AB404" t="str">
        <x:v>Not available in governed source</x:v>
      </x:c>
      <x:c r="AC404" t="str">
        <x:v>FY2025/26</x:v>
      </x:c>
      <x:c r="AD404" t="str">
        <x:v>Modelled</x:v>
      </x:c>
      <x:c r="AE404" t="str">
        <x:v>2026 bridge AADT rebuilt from host-link traffic history, annual collection-link history, same-road corridor history and spatial count-station influence. Vehicle-class values are assigned from functional-class shares.</x:v>
      </x:c>
      <x:c r="AF404" t="str">
        <x:v>Placed on exact national road host link</x:v>
      </x:c>
    </x:row>
    <x:row r="405" ht="15" hidden="0" customHeight="1">
      <x:c r="A405" t="str">
        <x:v>bridge-404</x:v>
      </x:c>
      <x:c r="B405" t="str">
        <x:v>B546</x:v>
      </x:c>
      <x:c r="C405" t="str">
        <x:v>MPANGA BRIDGE</x:v>
      </x:c>
      <x:c r="D405" t="str">
        <x:v>B150_Link03</x:v>
      </x:c>
      <x:c r="E405" t="str">
        <x:v>Ibanda - Muziza - Kamwenge</x:v>
      </x:c>
      <x:c r="F405" t="str">
        <x:v>B</x:v>
      </x:c>
      <x:c r="G405" t="str">
        <x:v>Southern</x:v>
      </x:c>
      <x:c r="H405" t="str">
        <x:v>Ibanda</x:v>
      </x:c>
      <x:c r="I405" t="str">
        <x:v>MPANGA RIVER</x:v>
      </x:c>
      <x:c r="J405" t="str">
        <x:v>Good</x:v>
      </x:c>
      <x:c r="K405" t="n">
        <x:v>30.462099</x:v>
      </x:c>
      <x:c r="L405" t="n">
        <x:v>0.10074</x:v>
      </x:c>
      <x:c r="M405" t="n">
        <x:v>30.457277</x:v>
      </x:c>
      <x:c r="N405" t="n">
        <x:v>0.101422</x:v>
      </x:c>
      <x:c r="O405" t="n">
        <x:v>3474.98</x:v>
      </x:c>
      <x:c r="P405" t="n">
        <x:f>IFERROR(INDEX(Assumptions!$B$9:$B$13,MATCH(F405,Assumptions!$A$9:$A$13,0)),0.15)</x:f>
        <x:v>0.16</x:v>
      </x:c>
      <x:c r="Q405" t="n">
        <x:f>ROUND(O405*(1-P405),0)</x:f>
        <x:v>2919</x:v>
      </x:c>
      <x:c r="R405" t="n">
        <x:f>ROUND(O405*P405,0)</x:f>
        <x:v>556</x:v>
      </x:c>
      <x:c r="S405" t="n">
        <x:f>ROUND(O405*IFERROR(INDEX(Assumptions!$C$9:$C$13,MATCH(F405,Assumptions!$A$9:$A$13,0)),0.55),0)</x:f>
        <x:v>1946</x:v>
      </x:c>
      <x:c r="T405" t="n">
        <x:f>ROUND(O405*IFERROR(INDEX(Assumptions!$D$9:$D$13,MATCH(F405,Assumptions!$A$9:$A$13,0)),0.06),0)</x:f>
        <x:v>243</x:v>
      </x:c>
      <x:c r="U405" t="n">
        <x:f>ROUND(O405*IFERROR(INDEX(Assumptions!$E$9:$E$13,MATCH(F405,Assumptions!$A$9:$A$13,0)),0.15),0)</x:f>
        <x:v>556</x:v>
      </x:c>
      <x:c r="V405" t="n">
        <x:f>MAX(0,O405-SUM(R405:U405))</x:f>
        <x:v>173.98000000000002</x:v>
      </x:c>
      <x:c r="W405" t="n">
        <x:f>MIN(100,40+IF(O405&gt;0,20,0)+IF(M405&lt;&gt;"",20,0)+IF(AF405&lt;&gt;"",20,0))</x:f>
        <x:v>100</x:v>
      </x:c>
      <x:c r="X405" t="str">
        <x:v>Placed on exact national road host link</x:v>
      </x:c>
      <x:c r="Y405" t="str">
        <x:v>Paved</x:v>
      </x:c>
      <x:c r="Z405" t="str">
        <x:v>B</x:v>
      </x:c>
      <x:c r="AA405" t="str">
        <x:v>Not available in governed source</x:v>
      </x:c>
      <x:c r="AB405" t="str">
        <x:v>Not available in governed source</x:v>
      </x:c>
      <x:c r="AC405" t="str">
        <x:v>FY2025/26</x:v>
      </x:c>
      <x:c r="AD405" t="str">
        <x:v>Modelled</x:v>
      </x:c>
      <x:c r="AE405" t="str">
        <x:v>2026 bridge AADT rebuilt from host-link traffic history, annual collection-link history, same-road corridor history and spatial count-station influence. Vehicle-class values are assigned from functional-class shares.</x:v>
      </x:c>
      <x:c r="AF405" t="str">
        <x:v>Placed on exact national road host link</x:v>
      </x:c>
    </x:row>
    <x:row r="406" ht="15" hidden="0" customHeight="1">
      <x:c r="A406" t="str">
        <x:v>bridge-405</x:v>
      </x:c>
      <x:c r="B406" t="str">
        <x:v>B547</x:v>
      </x:c>
      <x:c r="C406" t="str">
        <x:v>IBANDA</x:v>
      </x:c>
      <x:c r="D406" t="str">
        <x:v>B150_Link02</x:v>
      </x:c>
      <x:c r="E406" t="str">
        <x:v>Bwizibwera - Ibanda</x:v>
      </x:c>
      <x:c r="F406" t="str">
        <x:v>B</x:v>
      </x:c>
      <x:c r="G406" t="str">
        <x:v>Southern</x:v>
      </x:c>
      <x:c r="H406" t="str">
        <x:v>Ibanda</x:v>
      </x:c>
      <x:c r="I406" t="str">
        <x:v>Ibanda River</x:v>
      </x:c>
      <x:c r="J406" t="str">
        <x:v>Good</x:v>
      </x:c>
      <x:c r="K406" t="n">
        <x:v>30.486179</x:v>
      </x:c>
      <x:c r="L406" t="n">
        <x:v>-0.17104</x:v>
      </x:c>
      <x:c r="M406" t="n">
        <x:v>30.547793</x:v>
      </x:c>
      <x:c r="N406" t="n">
        <x:v>-0.243404</x:v>
      </x:c>
      <x:c r="O406" t="n">
        <x:v>3474.98</x:v>
      </x:c>
      <x:c r="P406" t="n">
        <x:f>IFERROR(INDEX(Assumptions!$B$9:$B$13,MATCH(F406,Assumptions!$A$9:$A$13,0)),0.15)</x:f>
        <x:v>0.16</x:v>
      </x:c>
      <x:c r="Q406" t="n">
        <x:f>ROUND(O406*(1-P406),0)</x:f>
        <x:v>2919</x:v>
      </x:c>
      <x:c r="R406" t="n">
        <x:f>ROUND(O406*P406,0)</x:f>
        <x:v>556</x:v>
      </x:c>
      <x:c r="S406" t="n">
        <x:f>ROUND(O406*IFERROR(INDEX(Assumptions!$C$9:$C$13,MATCH(F406,Assumptions!$A$9:$A$13,0)),0.55),0)</x:f>
        <x:v>1946</x:v>
      </x:c>
      <x:c r="T406" t="n">
        <x:f>ROUND(O406*IFERROR(INDEX(Assumptions!$D$9:$D$13,MATCH(F406,Assumptions!$A$9:$A$13,0)),0.06),0)</x:f>
        <x:v>243</x:v>
      </x:c>
      <x:c r="U406" t="n">
        <x:f>ROUND(O406*IFERROR(INDEX(Assumptions!$E$9:$E$13,MATCH(F406,Assumptions!$A$9:$A$13,0)),0.15),0)</x:f>
        <x:v>556</x:v>
      </x:c>
      <x:c r="V406" t="n">
        <x:f>MAX(0,O406-SUM(R406:U406))</x:f>
        <x:v>173.98000000000002</x:v>
      </x:c>
      <x:c r="W406" t="n">
        <x:f>MIN(100,40+IF(O406&gt;0,20,0)+IF(M406&lt;&gt;"",20,0)+IF(AF406&lt;&gt;"",20,0))</x:f>
        <x:v>100</x:v>
      </x:c>
      <x:c r="X406" t="str">
        <x:v>Placed on exact national road host link</x:v>
      </x:c>
      <x:c r="Y406" t="str">
        <x:v>Paved</x:v>
      </x:c>
      <x:c r="Z406" t="str">
        <x:v>B</x:v>
      </x:c>
      <x:c r="AA406" t="str">
        <x:v>Not available in governed source</x:v>
      </x:c>
      <x:c r="AB406" t="str">
        <x:v>Not available in governed source</x:v>
      </x:c>
      <x:c r="AC406" t="str">
        <x:v>FY2025/26</x:v>
      </x:c>
      <x:c r="AD406" t="str">
        <x:v>Modelled</x:v>
      </x:c>
      <x:c r="AE406" t="str">
        <x:v>2026 bridge AADT rebuilt from host-link traffic history, annual collection-link history, same-road corridor history and spatial count-station influence. Vehicle-class values are assigned from functional-class shares.</x:v>
      </x:c>
      <x:c r="AF406" t="str">
        <x:v>Placed on exact national road host link</x:v>
      </x:c>
    </x:row>
    <x:row r="407" ht="15" hidden="0" customHeight="1">
      <x:c r="A407" t="str">
        <x:v>bridge-406</x:v>
      </x:c>
      <x:c r="B407" t="str">
        <x:v>B549</x:v>
      </x:c>
      <x:c r="C407" t="str">
        <x:v>RWEMBYO BRIDGE</x:v>
      </x:c>
      <x:c r="D407" t="str">
        <x:v>C513_Link01</x:v>
      </x:c>
      <x:c r="E407" t="str">
        <x:v>Kinyamaseke-Kisinga</x:v>
      </x:c>
      <x:c r="F407" t="str">
        <x:v>C</x:v>
      </x:c>
      <x:c r="G407" t="str">
        <x:v>Southern</x:v>
      </x:c>
      <x:c r="H407" t="str">
        <x:v>Kasese</x:v>
      </x:c>
      <x:c r="I407" t="str">
        <x:v>RWEMBYO</x:v>
      </x:c>
      <x:c r="J407" t="str">
        <x:v>Good</x:v>
      </x:c>
      <x:c r="K407" t="n">
        <x:v>29.897579</x:v>
      </x:c>
      <x:c r="L407" t="n">
        <x:v>0.07288</x:v>
      </x:c>
      <x:c r="M407" t="n">
        <x:v>29.896644</x:v>
      </x:c>
      <x:c r="N407" t="n">
        <x:v>0.07218</x:v>
      </x:c>
      <x:c r="O407" t="n">
        <x:v>1287.6</x:v>
      </x:c>
      <x:c r="P407" t="n">
        <x:f>IFERROR(INDEX(Assumptions!$B$9:$B$13,MATCH(F407,Assumptions!$A$9:$A$13,0)),0.15)</x:f>
        <x:v>0.28</x:v>
      </x:c>
      <x:c r="Q407" t="n">
        <x:f>ROUND(O407*(1-P407),0)</x:f>
        <x:v>927</x:v>
      </x:c>
      <x:c r="R407" t="n">
        <x:f>ROUND(O407*P407,0)</x:f>
        <x:v>361</x:v>
      </x:c>
      <x:c r="S407" t="n">
        <x:f>ROUND(O407*IFERROR(INDEX(Assumptions!$C$9:$C$13,MATCH(F407,Assumptions!$A$9:$A$13,0)),0.55),0)</x:f>
        <x:v>644</x:v>
      </x:c>
      <x:c r="T407" t="n">
        <x:f>ROUND(O407*IFERROR(INDEX(Assumptions!$D$9:$D$13,MATCH(F407,Assumptions!$A$9:$A$13,0)),0.06),0)</x:f>
        <x:v>64</x:v>
      </x:c>
      <x:c r="U407" t="n">
        <x:f>ROUND(O407*IFERROR(INDEX(Assumptions!$E$9:$E$13,MATCH(F407,Assumptions!$A$9:$A$13,0)),0.15),0)</x:f>
        <x:v>142</x:v>
      </x:c>
      <x:c r="V407" t="n">
        <x:f>MAX(0,O407-SUM(R407:U407))</x:f>
        <x:v>76.59999999999991</x:v>
      </x:c>
      <x:c r="W407" t="n">
        <x:f>MIN(100,40+IF(O407&gt;0,20,0)+IF(M407&lt;&gt;"",20,0)+IF(AF407&lt;&gt;"",20,0))</x:f>
        <x:v>100</x:v>
      </x:c>
      <x:c r="X407" t="str">
        <x:v>Placed on exact national road host link</x:v>
      </x:c>
      <x:c r="Y407" t="str">
        <x:v>Unpaved</x:v>
      </x:c>
      <x:c r="Z407" t="str">
        <x:v>C</x:v>
      </x:c>
      <x:c r="AA407" t="str">
        <x:v>Not available in governed source</x:v>
      </x:c>
      <x:c r="AB407" t="str">
        <x:v>Not available in governed source</x:v>
      </x:c>
      <x:c r="AC407" t="str">
        <x:v>FY2025/26</x:v>
      </x:c>
      <x:c r="AD407" t="str">
        <x:v>Modelled</x:v>
      </x:c>
      <x:c r="AE407" t="str">
        <x:v>2026 bridge AADT rebuilt from host-link traffic history, annual collection-link history, same-road corridor history and spatial count-station influence. Vehicle-class values are assigned from functional-class shares.</x:v>
      </x:c>
      <x:c r="AF407" t="str">
        <x:v>Placed on exact national road host link</x:v>
      </x:c>
    </x:row>
    <x:row r="408" ht="15" hidden="0" customHeight="1">
      <x:c r="A408" t="str">
        <x:v>bridge-407</x:v>
      </x:c>
      <x:c r="B408" t="str">
        <x:v>B550</x:v>
      </x:c>
      <x:c r="C408" t="str">
        <x:v>KAJWENGE BRIDGE</x:v>
      </x:c>
      <x:c r="D408" t="str">
        <x:v>C513_Link01</x:v>
      </x:c>
      <x:c r="E408" t="str">
        <x:v>Kinyamaseke-Kisinga</x:v>
      </x:c>
      <x:c r="F408" t="str">
        <x:v>C</x:v>
      </x:c>
      <x:c r="G408" t="str">
        <x:v>Southern</x:v>
      </x:c>
      <x:c r="H408" t="str">
        <x:v>Kasese</x:v>
      </x:c>
      <x:c r="I408" t="str">
        <x:v>KAJWENGE RIVER</x:v>
      </x:c>
      <x:c r="J408" t="str">
        <x:v>Good</x:v>
      </x:c>
      <x:c r="K408" t="n">
        <x:v>29.872471</x:v>
      </x:c>
      <x:c r="L408" t="n">
        <x:v>0.06276</x:v>
      </x:c>
      <x:c r="M408" t="n">
        <x:v>29.871027</x:v>
      </x:c>
      <x:c r="N408" t="n">
        <x:v>0.062433</x:v>
      </x:c>
      <x:c r="O408" t="n">
        <x:v>1287.6</x:v>
      </x:c>
      <x:c r="P408" t="n">
        <x:f>IFERROR(INDEX(Assumptions!$B$9:$B$13,MATCH(F408,Assumptions!$A$9:$A$13,0)),0.15)</x:f>
        <x:v>0.28</x:v>
      </x:c>
      <x:c r="Q408" t="n">
        <x:f>ROUND(O408*(1-P408),0)</x:f>
        <x:v>927</x:v>
      </x:c>
      <x:c r="R408" t="n">
        <x:f>ROUND(O408*P408,0)</x:f>
        <x:v>361</x:v>
      </x:c>
      <x:c r="S408" t="n">
        <x:f>ROUND(O408*IFERROR(INDEX(Assumptions!$C$9:$C$13,MATCH(F408,Assumptions!$A$9:$A$13,0)),0.55),0)</x:f>
        <x:v>644</x:v>
      </x:c>
      <x:c r="T408" t="n">
        <x:f>ROUND(O408*IFERROR(INDEX(Assumptions!$D$9:$D$13,MATCH(F408,Assumptions!$A$9:$A$13,0)),0.06),0)</x:f>
        <x:v>64</x:v>
      </x:c>
      <x:c r="U408" t="n">
        <x:f>ROUND(O408*IFERROR(INDEX(Assumptions!$E$9:$E$13,MATCH(F408,Assumptions!$A$9:$A$13,0)),0.15),0)</x:f>
        <x:v>142</x:v>
      </x:c>
      <x:c r="V408" t="n">
        <x:f>MAX(0,O408-SUM(R408:U408))</x:f>
        <x:v>76.59999999999991</x:v>
      </x:c>
      <x:c r="W408" t="n">
        <x:f>MIN(100,40+IF(O408&gt;0,20,0)+IF(M408&lt;&gt;"",20,0)+IF(AF408&lt;&gt;"",20,0))</x:f>
        <x:v>100</x:v>
      </x:c>
      <x:c r="X408" t="str">
        <x:v>Placed on exact national road host link</x:v>
      </x:c>
      <x:c r="Y408" t="str">
        <x:v>Unpaved</x:v>
      </x:c>
      <x:c r="Z408" t="str">
        <x:v>C</x:v>
      </x:c>
      <x:c r="AA408" t="str">
        <x:v>Not available in governed source</x:v>
      </x:c>
      <x:c r="AB408" t="str">
        <x:v>Not available in governed source</x:v>
      </x:c>
      <x:c r="AC408" t="str">
        <x:v>FY2025/26</x:v>
      </x:c>
      <x:c r="AD408" t="str">
        <x:v>Modelled</x:v>
      </x:c>
      <x:c r="AE408" t="str">
        <x:v>2026 bridge AADT rebuilt from host-link traffic history, annual collection-link history, same-road corridor history and spatial count-station influence. Vehicle-class values are assigned from functional-class shares.</x:v>
      </x:c>
      <x:c r="AF408" t="str">
        <x:v>Placed on exact national road host link</x:v>
      </x:c>
    </x:row>
    <x:row r="409" ht="15" hidden="0" customHeight="1">
      <x:c r="A409" t="str">
        <x:v>bridge-408</x:v>
      </x:c>
      <x:c r="B409" t="str">
        <x:v>B551</x:v>
      </x:c>
      <x:c r="C409" t="str">
        <x:v>KYANJUKI</x:v>
      </x:c>
      <x:c r="D409" t="str">
        <x:v>C511_Link01</x:v>
      </x:c>
      <x:c r="E409" t="str">
        <x:v>Kasese - Kilembe mines</x:v>
      </x:c>
      <x:c r="F409" t="str">
        <x:v>C</x:v>
      </x:c>
      <x:c r="G409" t="str">
        <x:v>Southern</x:v>
      </x:c>
      <x:c r="H409" t="str">
        <x:v>Kasese</x:v>
      </x:c>
      <x:c r="I409" t="str">
        <x:v>NYAMWAMBA RIVER</x:v>
      </x:c>
      <x:c r="J409" t="str">
        <x:v>Good</x:v>
      </x:c>
      <x:c r="K409" t="n">
        <x:v>30.005421</x:v>
      </x:c>
      <x:c r="L409" t="n">
        <x:v>0.21362</x:v>
      </x:c>
      <x:c r="M409" t="n">
        <x:v>30.00748</x:v>
      </x:c>
      <x:c r="N409" t="n">
        <x:v>0.20924</x:v>
      </x:c>
      <x:c r="O409" t="n">
        <x:v>1287.6</x:v>
      </x:c>
      <x:c r="P409" t="n">
        <x:f>IFERROR(INDEX(Assumptions!$B$9:$B$13,MATCH(F409,Assumptions!$A$9:$A$13,0)),0.15)</x:f>
        <x:v>0.28</x:v>
      </x:c>
      <x:c r="Q409" t="n">
        <x:f>ROUND(O409*(1-P409),0)</x:f>
        <x:v>927</x:v>
      </x:c>
      <x:c r="R409" t="n">
        <x:f>ROUND(O409*P409,0)</x:f>
        <x:v>361</x:v>
      </x:c>
      <x:c r="S409" t="n">
        <x:f>ROUND(O409*IFERROR(INDEX(Assumptions!$C$9:$C$13,MATCH(F409,Assumptions!$A$9:$A$13,0)),0.55),0)</x:f>
        <x:v>644</x:v>
      </x:c>
      <x:c r="T409" t="n">
        <x:f>ROUND(O409*IFERROR(INDEX(Assumptions!$D$9:$D$13,MATCH(F409,Assumptions!$A$9:$A$13,0)),0.06),0)</x:f>
        <x:v>64</x:v>
      </x:c>
      <x:c r="U409" t="n">
        <x:f>ROUND(O409*IFERROR(INDEX(Assumptions!$E$9:$E$13,MATCH(F409,Assumptions!$A$9:$A$13,0)),0.15),0)</x:f>
        <x:v>142</x:v>
      </x:c>
      <x:c r="V409" t="n">
        <x:f>MAX(0,O409-SUM(R409:U409))</x:f>
        <x:v>76.59999999999991</x:v>
      </x:c>
      <x:c r="W409" t="n">
        <x:f>MIN(100,40+IF(O409&gt;0,20,0)+IF(M409&lt;&gt;"",20,0)+IF(AF409&lt;&gt;"",20,0))</x:f>
        <x:v>100</x:v>
      </x:c>
      <x:c r="X409" t="str">
        <x:v>Placed on exact national road host link</x:v>
      </x:c>
      <x:c r="Y409" t="str">
        <x:v>Paved</x:v>
      </x:c>
      <x:c r="Z409" t="str">
        <x:v>C</x:v>
      </x:c>
      <x:c r="AA409" t="str">
        <x:v>Not available in governed source</x:v>
      </x:c>
      <x:c r="AB409" t="str">
        <x:v>Not available in governed source</x:v>
      </x:c>
      <x:c r="AC409" t="str">
        <x:v>FY2025/26</x:v>
      </x:c>
      <x:c r="AD409" t="str">
        <x:v>Modelled</x:v>
      </x:c>
      <x:c r="AE409" t="str">
        <x:v>2026 bridge AADT rebuilt from host-link traffic history, annual collection-link history, same-road corridor history and spatial count-station influence. Vehicle-class values are assigned from functional-class shares.</x:v>
      </x:c>
      <x:c r="AF409" t="str">
        <x:v>Placed on exact national road host link</x:v>
      </x:c>
    </x:row>
    <x:row r="410" ht="15" hidden="0" customHeight="1">
      <x:c r="A410" t="str">
        <x:v>bridge-409</x:v>
      </x:c>
      <x:c r="B410" t="str">
        <x:v>B552</x:v>
      </x:c>
      <x:c r="C410" t="str">
        <x:v>DELTA BRIDGE</x:v>
      </x:c>
      <x:c r="D410" t="str">
        <x:v>A005_Link13</x:v>
      </x:c>
      <x:c r="E410" t="str">
        <x:v>Mubuku - Kasese</x:v>
      </x:c>
      <x:c r="F410" t="str">
        <x:v>A</x:v>
      </x:c>
      <x:c r="G410" t="str">
        <x:v>Southern</x:v>
      </x:c>
      <x:c r="H410" t="str">
        <x:v>Kasese</x:v>
      </x:c>
      <x:c r="I410" t="str">
        <x:v>STREAM</x:v>
      </x:c>
      <x:c r="J410" t="str">
        <x:v>Good</x:v>
      </x:c>
      <x:c r="K410" t="n">
        <x:v>30.088383</x:v>
      </x:c>
      <x:c r="L410" t="n">
        <x:v>0.177148</x:v>
      </x:c>
      <x:c r="M410" t="n">
        <x:v>30.08557</x:v>
      </x:c>
      <x:c r="N410" t="n">
        <x:v>0.172</x:v>
      </x:c>
      <x:c r="O410" t="n">
        <x:v>5246.59</x:v>
      </x:c>
      <x:c r="P410" t="n">
        <x:f>IFERROR(INDEX(Assumptions!$B$9:$B$13,MATCH(F410,Assumptions!$A$9:$A$13,0)),0.15)</x:f>
        <x:v>0.12</x:v>
      </x:c>
      <x:c r="Q410" t="n">
        <x:f>ROUND(O410*(1-P410),0)</x:f>
        <x:v>4617</x:v>
      </x:c>
      <x:c r="R410" t="n">
        <x:f>ROUND(O410*P410,0)</x:f>
        <x:v>630</x:v>
      </x:c>
      <x:c r="S410" t="n">
        <x:f>ROUND(O410*IFERROR(INDEX(Assumptions!$C$9:$C$13,MATCH(F410,Assumptions!$A$9:$A$13,0)),0.55),0)</x:f>
        <x:v>3043</x:v>
      </x:c>
      <x:c r="T410" t="n">
        <x:f>ROUND(O410*IFERROR(INDEX(Assumptions!$D$9:$D$13,MATCH(F410,Assumptions!$A$9:$A$13,0)),0.06),0)</x:f>
        <x:v>420</x:v>
      </x:c>
      <x:c r="U410" t="n">
        <x:f>ROUND(O410*IFERROR(INDEX(Assumptions!$E$9:$E$13,MATCH(F410,Assumptions!$A$9:$A$13,0)),0.15),0)</x:f>
        <x:v>944</x:v>
      </x:c>
      <x:c r="V410" t="n">
        <x:f>MAX(0,O410-SUM(R410:U410))</x:f>
        <x:v>209.59000000000015</x:v>
      </x:c>
      <x:c r="W410" t="n">
        <x:f>MIN(100,40+IF(O410&gt;0,20,0)+IF(M410&lt;&gt;"",20,0)+IF(AF410&lt;&gt;"",20,0))</x:f>
        <x:v>100</x:v>
      </x:c>
      <x:c r="X410" t="str">
        <x:v>Placed on exact national road host link</x:v>
      </x:c>
      <x:c r="Y410" t="str">
        <x:v>Paved</x:v>
      </x:c>
      <x:c r="Z410" t="str">
        <x:v>A</x:v>
      </x:c>
      <x:c r="AA410" t="str">
        <x:v>Not available in governed source</x:v>
      </x:c>
      <x:c r="AB410" t="str">
        <x:v>Not available in governed source</x:v>
      </x:c>
      <x:c r="AC410" t="str">
        <x:v>FY2025/26</x:v>
      </x:c>
      <x:c r="AD410" t="str">
        <x:v>Modelled</x:v>
      </x:c>
      <x:c r="AE410" t="str">
        <x:v>2026 bridge AADT rebuilt from host-link traffic history, annual collection-link history, same-road corridor history and spatial count-station influence. Vehicle-class values are assigned from functional-class shares.</x:v>
      </x:c>
      <x:c r="AF410" t="str">
        <x:v>Placed on exact national road host link</x:v>
      </x:c>
    </x:row>
    <x:row r="411" ht="15" hidden="0" customHeight="1">
      <x:c r="A411" t="str">
        <x:v>bridge-410</x:v>
      </x:c>
      <x:c r="B411" t="str">
        <x:v>B553</x:v>
      </x:c>
      <x:c r="C411" t="str">
        <x:v>OMUKABARE BRIDGE</x:v>
      </x:c>
      <x:c r="D411" t="str">
        <x:v>C424_Link01</x:v>
      </x:c>
      <x:c r="E411" t="str">
        <x:v>Old Kabale Road (Kigata - Kabunyonyi - N</x:v>
      </x:c>
      <x:c r="F411" t="str">
        <x:v>C</x:v>
      </x:c>
      <x:c r="G411" t="str">
        <x:v>Southern</x:v>
      </x:c>
      <x:c r="H411" t="str">
        <x:v>Kabale</x:v>
      </x:c>
      <x:c r="I411" t="str">
        <x:v>Old Kabale Road (Kigata Waterway</x:v>
      </x:c>
      <x:c r="J411" t="str">
        <x:v>Satisfactory</x:v>
      </x:c>
      <x:c r="K411" t="n">
        <x:v>30.101078</x:v>
      </x:c>
      <x:c r="L411" t="n">
        <x:v>-1.303756</x:v>
      </x:c>
      <x:c r="M411" t="n">
        <x:v>30.063292</x:v>
      </x:c>
      <x:c r="N411" t="n">
        <x:v>-1.298719</x:v>
      </x:c>
      <x:c r="O411" t="n">
        <x:v>716.71</x:v>
      </x:c>
      <x:c r="P411" t="n">
        <x:f>IFERROR(INDEX(Assumptions!$B$9:$B$13,MATCH(F411,Assumptions!$A$9:$A$13,0)),0.15)</x:f>
        <x:v>0.28</x:v>
      </x:c>
      <x:c r="Q411" t="n">
        <x:f>ROUND(O411*(1-P411),0)</x:f>
        <x:v>516</x:v>
      </x:c>
      <x:c r="R411" t="n">
        <x:f>ROUND(O411*P411,0)</x:f>
        <x:v>201</x:v>
      </x:c>
      <x:c r="S411" t="n">
        <x:f>ROUND(O411*IFERROR(INDEX(Assumptions!$C$9:$C$13,MATCH(F411,Assumptions!$A$9:$A$13,0)),0.55),0)</x:f>
        <x:v>358</x:v>
      </x:c>
      <x:c r="T411" t="n">
        <x:f>ROUND(O411*IFERROR(INDEX(Assumptions!$D$9:$D$13,MATCH(F411,Assumptions!$A$9:$A$13,0)),0.06),0)</x:f>
        <x:v>36</x:v>
      </x:c>
      <x:c r="U411" t="n">
        <x:f>ROUND(O411*IFERROR(INDEX(Assumptions!$E$9:$E$13,MATCH(F411,Assumptions!$A$9:$A$13,0)),0.15),0)</x:f>
        <x:v>79</x:v>
      </x:c>
      <x:c r="V411" t="n">
        <x:f>MAX(0,O411-SUM(R411:U411))</x:f>
        <x:v>42.710000000000036</x:v>
      </x:c>
      <x:c r="W411" t="n">
        <x:f>MIN(100,40+IF(O411&gt;0,20,0)+IF(M411&lt;&gt;"",20,0)+IF(AF411&lt;&gt;"",20,0))</x:f>
        <x:v>100</x:v>
      </x:c>
      <x:c r="X411" t="str">
        <x:v>Placed on exact national road host link</x:v>
      </x:c>
      <x:c r="Y411" t="str">
        <x:v>Unpaved</x:v>
      </x:c>
      <x:c r="Z411" t="str">
        <x:v>C</x:v>
      </x:c>
      <x:c r="AA411" t="str">
        <x:v>Not available in governed source</x:v>
      </x:c>
      <x:c r="AB411" t="str">
        <x:v>Not available in governed source</x:v>
      </x:c>
      <x:c r="AC411" t="str">
        <x:v>FY2025/26</x:v>
      </x:c>
      <x:c r="AD411" t="str">
        <x:v>Modelled</x:v>
      </x:c>
      <x:c r="AE411" t="str">
        <x:v>2026 bridge AADT rebuilt from host-link traffic history, annual collection-link history, same-road corridor history and spatial count-station influence. Vehicle-class values are assigned from functional-class shares.</x:v>
      </x:c>
      <x:c r="AF411" t="str">
        <x:v>Placed on exact national road host link</x:v>
      </x:c>
    </x:row>
    <x:row r="412" ht="15" hidden="0" customHeight="1">
      <x:c r="A412" t="str">
        <x:v>bridge-411</x:v>
      </x:c>
      <x:c r="B412" t="str">
        <x:v>B554</x:v>
      </x:c>
      <x:c r="C412" t="str">
        <x:v>RUKIRI BRIDGE</x:v>
      </x:c>
      <x:c r="D412" t="str">
        <x:v>A002_Link10</x:v>
      </x:c>
      <x:c r="E412" t="str">
        <x:v>Rubaale - Muhanga - Kabale</x:v>
      </x:c>
      <x:c r="F412" t="str">
        <x:v>A</x:v>
      </x:c>
      <x:c r="G412" t="str">
        <x:v>Southern</x:v>
      </x:c>
      <x:c r="H412" t="str">
        <x:v>Kabale</x:v>
      </x:c>
      <x:c r="I412" t="str">
        <x:v>RUKIRI RIVER</x:v>
      </x:c>
      <x:c r="J412" t="str">
        <x:v>Good</x:v>
      </x:c>
      <x:c r="K412" t="n">
        <x:v>30.182991</x:v>
      </x:c>
      <x:c r="L412" t="n">
        <x:v>-1.053159</x:v>
      </x:c>
      <x:c r="M412" t="n">
        <x:v>30.187853</x:v>
      </x:c>
      <x:c r="N412" t="n">
        <x:v>-1.019176</x:v>
      </x:c>
      <x:c r="O412" t="n">
        <x:v>2333.2</x:v>
      </x:c>
      <x:c r="P412" t="n">
        <x:f>IFERROR(INDEX(Assumptions!$B$9:$B$13,MATCH(F412,Assumptions!$A$9:$A$13,0)),0.15)</x:f>
        <x:v>0.12</x:v>
      </x:c>
      <x:c r="Q412" t="n">
        <x:f>ROUND(O412*(1-P412),0)</x:f>
        <x:v>2053</x:v>
      </x:c>
      <x:c r="R412" t="n">
        <x:f>ROUND(O412*P412,0)</x:f>
        <x:v>280</x:v>
      </x:c>
      <x:c r="S412" t="n">
        <x:f>ROUND(O412*IFERROR(INDEX(Assumptions!$C$9:$C$13,MATCH(F412,Assumptions!$A$9:$A$13,0)),0.55),0)</x:f>
        <x:v>1353</x:v>
      </x:c>
      <x:c r="T412" t="n">
        <x:f>ROUND(O412*IFERROR(INDEX(Assumptions!$D$9:$D$13,MATCH(F412,Assumptions!$A$9:$A$13,0)),0.06),0)</x:f>
        <x:v>187</x:v>
      </x:c>
      <x:c r="U412" t="n">
        <x:f>ROUND(O412*IFERROR(INDEX(Assumptions!$E$9:$E$13,MATCH(F412,Assumptions!$A$9:$A$13,0)),0.15),0)</x:f>
        <x:v>420</x:v>
      </x:c>
      <x:c r="V412" t="n">
        <x:f>MAX(0,O412-SUM(R412:U412))</x:f>
        <x:v>93.19999999999982</x:v>
      </x:c>
      <x:c r="W412" t="n">
        <x:f>MIN(100,40+IF(O412&gt;0,20,0)+IF(M412&lt;&gt;"",20,0)+IF(AF412&lt;&gt;"",20,0))</x:f>
        <x:v>100</x:v>
      </x:c>
      <x:c r="X412" t="str">
        <x:v>Placed on exact national road host link</x:v>
      </x:c>
      <x:c r="Y412" t="str">
        <x:v>Paved</x:v>
      </x:c>
      <x:c r="Z412" t="str">
        <x:v>A</x:v>
      </x:c>
      <x:c r="AA412" t="str">
        <x:v>Not available in governed source</x:v>
      </x:c>
      <x:c r="AB412" t="str">
        <x:v>Not available in governed source</x:v>
      </x:c>
      <x:c r="AC412" t="str">
        <x:v>FY2025/26</x:v>
      </x:c>
      <x:c r="AD412" t="str">
        <x:v>Modelled</x:v>
      </x:c>
      <x:c r="AE412" t="str">
        <x:v>2026 bridge AADT rebuilt from host-link traffic history, annual collection-link history, same-road corridor history and spatial count-station influence. Vehicle-class values are assigned from functional-class shares.</x:v>
      </x:c>
      <x:c r="AF412" t="str">
        <x:v>Placed on exact national road host link</x:v>
      </x:c>
    </x:row>
    <x:row r="413" ht="15" hidden="0" customHeight="1">
      <x:c r="A413" t="str">
        <x:v>bridge-412</x:v>
      </x:c>
      <x:c r="B413" t="str">
        <x:v>B555</x:v>
      </x:c>
      <x:c r="C413" t="str">
        <x:v>Kizinga Bridge</x:v>
      </x:c>
      <x:c r="D413" t="str">
        <x:v>C422_Link01</x:v>
      </x:c>
      <x:c r="E413" t="str">
        <x:v>Rwentobo - Ngoma - Kizinga</x:v>
      </x:c>
      <x:c r="F413" t="str">
        <x:v>C</x:v>
      </x:c>
      <x:c r="G413" t="str">
        <x:v>Southern</x:v>
      </x:c>
      <x:c r="H413" t="str">
        <x:v>Kabale</x:v>
      </x:c>
      <x:c r="I413" t="str">
        <x:v>OMUYANJA</x:v>
      </x:c>
      <x:c r="J413" t="str">
        <x:v>Poor</x:v>
      </x:c>
      <x:c r="K413" t="n">
        <x:v>30.30652</x:v>
      </x:c>
      <x:c r="L413" t="n">
        <x:v>-1.14626</x:v>
      </x:c>
      <x:c r="M413" t="n">
        <x:v>30.30637</x:v>
      </x:c>
      <x:c r="N413" t="n">
        <x:v>-1.14614</x:v>
      </x:c>
      <x:c r="O413" t="n">
        <x:v>8031.23</x:v>
      </x:c>
      <x:c r="P413" t="n">
        <x:f>IFERROR(INDEX(Assumptions!$B$9:$B$13,MATCH(F413,Assumptions!$A$9:$A$13,0)),0.15)</x:f>
        <x:v>0.28</x:v>
      </x:c>
      <x:c r="Q413" t="n">
        <x:f>ROUND(O413*(1-P413),0)</x:f>
        <x:v>5782</x:v>
      </x:c>
      <x:c r="R413" t="n">
        <x:f>ROUND(O413*P413,0)</x:f>
        <x:v>2249</x:v>
      </x:c>
      <x:c r="S413" t="n">
        <x:f>ROUND(O413*IFERROR(INDEX(Assumptions!$C$9:$C$13,MATCH(F413,Assumptions!$A$9:$A$13,0)),0.55),0)</x:f>
        <x:v>4016</x:v>
      </x:c>
      <x:c r="T413" t="n">
        <x:f>ROUND(O413*IFERROR(INDEX(Assumptions!$D$9:$D$13,MATCH(F413,Assumptions!$A$9:$A$13,0)),0.06),0)</x:f>
        <x:v>402</x:v>
      </x:c>
      <x:c r="U413" t="n">
        <x:f>ROUND(O413*IFERROR(INDEX(Assumptions!$E$9:$E$13,MATCH(F413,Assumptions!$A$9:$A$13,0)),0.15),0)</x:f>
        <x:v>883</x:v>
      </x:c>
      <x:c r="V413" t="n">
        <x:f>MAX(0,O413-SUM(R413:U413))</x:f>
        <x:v>481.22999999999956</x:v>
      </x:c>
      <x:c r="W413" t="n">
        <x:f>MIN(100,40+IF(O413&gt;0,20,0)+IF(M413&lt;&gt;"",20,0)+IF(AF413&lt;&gt;"",20,0))</x:f>
        <x:v>100</x:v>
      </x:c>
      <x:c r="X413" t="str">
        <x:v>Placed on exact national road host link</x:v>
      </x:c>
      <x:c r="Y413" t="str">
        <x:v>Unpaved</x:v>
      </x:c>
      <x:c r="Z413" t="str">
        <x:v>C</x:v>
      </x:c>
      <x:c r="AA413" t="str">
        <x:v>Not available in governed source</x:v>
      </x:c>
      <x:c r="AB413" t="str">
        <x:v>Not available in governed source</x:v>
      </x:c>
      <x:c r="AC413" t="str">
        <x:v>FY2025/26</x:v>
      </x:c>
      <x:c r="AD413" t="str">
        <x:v>Modelled</x:v>
      </x:c>
      <x:c r="AE413" t="str">
        <x:v>2026 bridge AADT rebuilt from host-link traffic history, annual collection-link history, same-road corridor history and spatial count-station influence. Vehicle-class values are assigned from functional-class shares.</x:v>
      </x:c>
      <x:c r="AF413" t="str">
        <x:v>Placed on exact national road host link</x:v>
      </x:c>
    </x:row>
    <x:row r="414" ht="15" hidden="0" customHeight="1">
      <x:c r="A414" t="str">
        <x:v>bridge-413</x:v>
      </x:c>
      <x:c r="B414" t="str">
        <x:v>B556</x:v>
      </x:c>
      <x:c r="C414" t="str">
        <x:v>MUNYANGA BRIDGE</x:v>
      </x:c>
      <x:c r="D414" t="str">
        <x:v>C456_Link01</x:v>
      </x:c>
      <x:c r="E414" t="str">
        <x:v>Rwabuteera-Kanyansande spur</x:v>
      </x:c>
      <x:c r="F414" t="str">
        <x:v>C</x:v>
      </x:c>
      <x:c r="G414" t="str">
        <x:v>Southern</x:v>
      </x:c>
      <x:c r="H414" t="str">
        <x:v>Kabale</x:v>
      </x:c>
      <x:c r="I414" t="str">
        <x:v>MUTANGA RIVER</x:v>
      </x:c>
      <x:c r="J414" t="str">
        <x:v>Marginal</x:v>
      </x:c>
      <x:c r="K414" t="n">
        <x:v>29.635759</x:v>
      </x:c>
      <x:c r="L414" t="n">
        <x:v>-0.93741</x:v>
      </x:c>
      <x:c r="M414" t="n">
        <x:v>29.633676</x:v>
      </x:c>
      <x:c r="N414" t="n">
        <x:v>-0.938462</x:v>
      </x:c>
      <x:c r="O414" t="n">
        <x:v>1255.02</x:v>
      </x:c>
      <x:c r="P414" t="n">
        <x:f>IFERROR(INDEX(Assumptions!$B$9:$B$13,MATCH(F414,Assumptions!$A$9:$A$13,0)),0.15)</x:f>
        <x:v>0.28</x:v>
      </x:c>
      <x:c r="Q414" t="n">
        <x:f>ROUND(O414*(1-P414),0)</x:f>
        <x:v>904</x:v>
      </x:c>
      <x:c r="R414" t="n">
        <x:f>ROUND(O414*P414,0)</x:f>
        <x:v>351</x:v>
      </x:c>
      <x:c r="S414" t="n">
        <x:f>ROUND(O414*IFERROR(INDEX(Assumptions!$C$9:$C$13,MATCH(F414,Assumptions!$A$9:$A$13,0)),0.55),0)</x:f>
        <x:v>628</x:v>
      </x:c>
      <x:c r="T414" t="n">
        <x:f>ROUND(O414*IFERROR(INDEX(Assumptions!$D$9:$D$13,MATCH(F414,Assumptions!$A$9:$A$13,0)),0.06),0)</x:f>
        <x:v>63</x:v>
      </x:c>
      <x:c r="U414" t="n">
        <x:f>ROUND(O414*IFERROR(INDEX(Assumptions!$E$9:$E$13,MATCH(F414,Assumptions!$A$9:$A$13,0)),0.15),0)</x:f>
        <x:v>138</x:v>
      </x:c>
      <x:c r="V414" t="n">
        <x:f>MAX(0,O414-SUM(R414:U414))</x:f>
        <x:v>75.01999999999998</x:v>
      </x:c>
      <x:c r="W414" t="n">
        <x:f>MIN(100,40+IF(O414&gt;0,20,0)+IF(M414&lt;&gt;"",20,0)+IF(AF414&lt;&gt;"",20,0))</x:f>
        <x:v>100</x:v>
      </x:c>
      <x:c r="X414" t="str">
        <x:v>Placed on exact national road host link</x:v>
      </x:c>
      <x:c r="Y414" t="str">
        <x:v>Unpaved</x:v>
      </x:c>
      <x:c r="Z414" t="str">
        <x:v>C</x:v>
      </x:c>
      <x:c r="AA414" t="str">
        <x:v>Not available in governed source</x:v>
      </x:c>
      <x:c r="AB414" t="str">
        <x:v>Not available in governed source</x:v>
      </x:c>
      <x:c r="AC414" t="str">
        <x:v>FY2025/26</x:v>
      </x:c>
      <x:c r="AD414" t="str">
        <x:v>Modelled</x:v>
      </x:c>
      <x:c r="AE414" t="str">
        <x:v>2026 bridge AADT rebuilt from host-link traffic history, annual collection-link history, same-road corridor history and spatial count-station influence. Vehicle-class values are assigned from functional-class shares.</x:v>
      </x:c>
      <x:c r="AF414" t="str">
        <x:v>Placed on exact national road host link</x:v>
      </x:c>
    </x:row>
    <x:row r="415" ht="15" hidden="0" customHeight="1">
      <x:c r="A415" t="str">
        <x:v>bridge-414</x:v>
      </x:c>
      <x:c r="B415" t="str">
        <x:v>B559</x:v>
      </x:c>
      <x:c r="C415" t="str">
        <x:v>Old Railway Bridge</x:v>
      </x:c>
      <x:c r="D415" t="str">
        <x:v>C023_Link01</x:v>
      </x:c>
      <x:c r="E415" t="str">
        <x:v>Old Njeru - Jinja</x:v>
      </x:c>
      <x:c r="F415" t="str">
        <x:v>C</x:v>
      </x:c>
      <x:c r="G415" t="str">
        <x:v>Central</x:v>
      </x:c>
      <x:c r="H415" t="str">
        <x:v>Kampala</x:v>
      </x:c>
      <x:c r="I415" t="str">
        <x:v>Unknown Road Waterway</x:v>
      </x:c>
      <x:c r="J415" t="str">
        <x:v>Good</x:v>
      </x:c>
      <x:c r="K415" t="n">
        <x:v>33.188</x:v>
      </x:c>
      <x:c r="L415" t="n">
        <x:v>0.443</x:v>
      </x:c>
      <x:c r="M415" t="n">
        <x:v>33.188</x:v>
      </x:c>
      <x:c r="N415" t="n">
        <x:v>0.443</x:v>
      </x:c>
      <x:c r="O415" t="n">
        <x:v>0</x:v>
      </x:c>
      <x:c r="P415" t="n">
        <x:f>IFERROR(INDEX(Assumptions!$B$9:$B$13,MATCH(F415,Assumptions!$A$9:$A$13,0)),0.15)</x:f>
        <x:v>0.28</x:v>
      </x:c>
      <x:c r="Q415" t="n">
        <x:f>ROUND(O415*(1-P415),0)</x:f>
        <x:v>0</x:v>
      </x:c>
      <x:c r="R415" t="n">
        <x:f>ROUND(O415*P415,0)</x:f>
        <x:v>0</x:v>
      </x:c>
      <x:c r="S415" t="n">
        <x:f>ROUND(O415*IFERROR(INDEX(Assumptions!$C$9:$C$13,MATCH(F415,Assumptions!$A$9:$A$13,0)),0.55),0)</x:f>
        <x:v>0</x:v>
      </x:c>
      <x:c r="T415" t="n">
        <x:f>ROUND(O415*IFERROR(INDEX(Assumptions!$D$9:$D$13,MATCH(F415,Assumptions!$A$9:$A$13,0)),0.06),0)</x:f>
        <x:v>0</x:v>
      </x:c>
      <x:c r="U415" t="n">
        <x:f>ROUND(O415*IFERROR(INDEX(Assumptions!$E$9:$E$13,MATCH(F415,Assumptions!$A$9:$A$13,0)),0.15),0)</x:f>
        <x:v>0</x:v>
      </x:c>
      <x:c r="V415" t="n">
        <x:f>MAX(0,O415-SUM(R415:U415))</x:f>
        <x:v>0</x:v>
      </x:c>
      <x:c r="W415" t="n">
        <x:f>MIN(100,40+IF(O415&gt;0,20,0)+IF(M415&lt;&gt;"",20,0)+IF(AF415&lt;&gt;"",20,0))</x:f>
        <x:v>80</x:v>
      </x:c>
      <x:c r="X415" t="str">
        <x:v>manual</x:v>
      </x:c>
      <x:c r="Y415" t="str">
        <x:v>Unpaved</x:v>
      </x:c>
      <x:c r="Z415" t="str">
        <x:v>C</x:v>
      </x:c>
      <x:c r="AA415" t="str">
        <x:v>Not available in governed source</x:v>
      </x:c>
      <x:c r="AB415" t="str">
        <x:v>Not available in governed source</x:v>
      </x:c>
      <x:c r="AC415" t="str">
        <x:v>FY2025/26</x:v>
      </x:c>
      <x:c r="AD415" t="str">
        <x:v>Modelled</x:v>
      </x:c>
      <x:c r="AE415" t="str">
        <x:v>2026 bridge AADT rebuilt from host-link traffic history, annual collection-link history, same-road corridor history and spatial count-station influence. Vehicle-class values are assigned from functional-class shares.</x:v>
      </x:c>
      <x:c r="AF415" t="str">
        <x:v>manual</x:v>
      </x:c>
    </x:row>
    <x:row r="416" ht="15" hidden="0" customHeight="1">
      <x:c r="A416" t="str">
        <x:v>bridge-415</x:v>
      </x:c>
      <x:c r="B416" t="str">
        <x:v>B560</x:v>
      </x:c>
      <x:c r="C416" t="str">
        <x:v>Kisinga-Kyarumba-Kibirizi</x:v>
      </x:c>
      <x:c r="D416" t="str">
        <x:v>C513_Link02</x:v>
      </x:c>
      <x:c r="E416" t="str">
        <x:v>Kisinga-Kyarumba-Kibirizi</x:v>
      </x:c>
      <x:c r="F416" t="str">
        <x:v>C</x:v>
      </x:c>
      <x:c r="G416" t="str">
        <x:v>Southern</x:v>
      </x:c>
      <x:c r="H416" t="str">
        <x:v>Kasese</x:v>
      </x:c>
      <x:c r="I416" t="str">
        <x:v>DUNGULUHA</x:v>
      </x:c>
      <x:c r="J416" t="str">
        <x:v>Good</x:v>
      </x:c>
      <x:c r="K416" t="n">
        <x:v>29.95256</x:v>
      </x:c>
      <x:c r="L416" t="n">
        <x:v>0.11621</x:v>
      </x:c>
      <x:c r="M416" t="n">
        <x:v>29.950729</x:v>
      </x:c>
      <x:c r="N416" t="n">
        <x:v>0.122015</x:v>
      </x:c>
      <x:c r="O416" t="n">
        <x:v>1287.6</x:v>
      </x:c>
      <x:c r="P416" t="n">
        <x:f>IFERROR(INDEX(Assumptions!$B$9:$B$13,MATCH(F416,Assumptions!$A$9:$A$13,0)),0.15)</x:f>
        <x:v>0.28</x:v>
      </x:c>
      <x:c r="Q416" t="n">
        <x:f>ROUND(O416*(1-P416),0)</x:f>
        <x:v>927</x:v>
      </x:c>
      <x:c r="R416" t="n">
        <x:f>ROUND(O416*P416,0)</x:f>
        <x:v>361</x:v>
      </x:c>
      <x:c r="S416" t="n">
        <x:f>ROUND(O416*IFERROR(INDEX(Assumptions!$C$9:$C$13,MATCH(F416,Assumptions!$A$9:$A$13,0)),0.55),0)</x:f>
        <x:v>644</x:v>
      </x:c>
      <x:c r="T416" t="n">
        <x:f>ROUND(O416*IFERROR(INDEX(Assumptions!$D$9:$D$13,MATCH(F416,Assumptions!$A$9:$A$13,0)),0.06),0)</x:f>
        <x:v>64</x:v>
      </x:c>
      <x:c r="U416" t="n">
        <x:f>ROUND(O416*IFERROR(INDEX(Assumptions!$E$9:$E$13,MATCH(F416,Assumptions!$A$9:$A$13,0)),0.15),0)</x:f>
        <x:v>142</x:v>
      </x:c>
      <x:c r="V416" t="n">
        <x:f>MAX(0,O416-SUM(R416:U416))</x:f>
        <x:v>76.59999999999991</x:v>
      </x:c>
      <x:c r="W416" t="n">
        <x:f>MIN(100,40+IF(O416&gt;0,20,0)+IF(M416&lt;&gt;"",20,0)+IF(AF416&lt;&gt;"",20,0))</x:f>
        <x:v>100</x:v>
      </x:c>
      <x:c r="X416" t="str">
        <x:v>Placed on exact national road host link</x:v>
      </x:c>
      <x:c r="Y416" t="str">
        <x:v>Unpaved</x:v>
      </x:c>
      <x:c r="Z416" t="str">
        <x:v>C</x:v>
      </x:c>
      <x:c r="AA416" t="str">
        <x:v>Not available in governed source</x:v>
      </x:c>
      <x:c r="AB416" t="str">
        <x:v>Not available in governed source</x:v>
      </x:c>
      <x:c r="AC416" t="str">
        <x:v>FY2025/26</x:v>
      </x:c>
      <x:c r="AD416" t="str">
        <x:v>Modelled</x:v>
      </x:c>
      <x:c r="AE416" t="str">
        <x:v>2026 bridge AADT rebuilt from host-link traffic history, annual collection-link history, same-road corridor history and spatial count-station influence. Vehicle-class values are assigned from functional-class shares.</x:v>
      </x:c>
      <x:c r="AF416" t="str">
        <x:v>Placed on exact national road host link</x:v>
      </x:c>
    </x:row>
    <x:row r="417" ht="15" hidden="0" customHeight="1">
      <x:c r="A417" t="str">
        <x:v>bridge-416</x:v>
      </x:c>
      <x:c r="B417" t="str">
        <x:v>B561</x:v>
      </x:c>
      <x:c r="C417" t="str">
        <x:v>BIRARA BRIDGE</x:v>
      </x:c>
      <x:c r="D417" t="str">
        <x:v>C459_Link01</x:v>
      </x:c>
      <x:c r="E417" t="str">
        <x:v>Ruwerere - Biraara - Kanungu</x:v>
      </x:c>
      <x:c r="F417" t="str">
        <x:v>C</x:v>
      </x:c>
      <x:c r="G417" t="str">
        <x:v>Southern</x:v>
      </x:c>
      <x:c r="H417" t="str">
        <x:v>Kabale</x:v>
      </x:c>
      <x:c r="I417" t="str">
        <x:v>BIRARA</x:v>
      </x:c>
      <x:c r="J417" t="str">
        <x:v>Good</x:v>
      </x:c>
      <x:c r="K417" t="n">
        <x:v>29.86849</x:v>
      </x:c>
      <x:c r="L417" t="n">
        <x:v>-0.87154</x:v>
      </x:c>
      <x:c r="M417" t="n">
        <x:v>29.847285</x:v>
      </x:c>
      <x:c r="N417" t="n">
        <x:v>-0.917736</x:v>
      </x:c>
      <x:c r="O417" t="n">
        <x:v>631.39</x:v>
      </x:c>
      <x:c r="P417" t="n">
        <x:f>IFERROR(INDEX(Assumptions!$B$9:$B$13,MATCH(F417,Assumptions!$A$9:$A$13,0)),0.15)</x:f>
        <x:v>0.28</x:v>
      </x:c>
      <x:c r="Q417" t="n">
        <x:f>ROUND(O417*(1-P417),0)</x:f>
        <x:v>455</x:v>
      </x:c>
      <x:c r="R417" t="n">
        <x:f>ROUND(O417*P417,0)</x:f>
        <x:v>177</x:v>
      </x:c>
      <x:c r="S417" t="n">
        <x:f>ROUND(O417*IFERROR(INDEX(Assumptions!$C$9:$C$13,MATCH(F417,Assumptions!$A$9:$A$13,0)),0.55),0)</x:f>
        <x:v>316</x:v>
      </x:c>
      <x:c r="T417" t="n">
        <x:f>ROUND(O417*IFERROR(INDEX(Assumptions!$D$9:$D$13,MATCH(F417,Assumptions!$A$9:$A$13,0)),0.06),0)</x:f>
        <x:v>32</x:v>
      </x:c>
      <x:c r="U417" t="n">
        <x:f>ROUND(O417*IFERROR(INDEX(Assumptions!$E$9:$E$13,MATCH(F417,Assumptions!$A$9:$A$13,0)),0.15),0)</x:f>
        <x:v>69</x:v>
      </x:c>
      <x:c r="V417" t="n">
        <x:f>MAX(0,O417-SUM(R417:U417))</x:f>
        <x:v>37.389999999999986</x:v>
      </x:c>
      <x:c r="W417" t="n">
        <x:f>MIN(100,40+IF(O417&gt;0,20,0)+IF(M417&lt;&gt;"",20,0)+IF(AF417&lt;&gt;"",20,0))</x:f>
        <x:v>100</x:v>
      </x:c>
      <x:c r="X417" t="str">
        <x:v>Placed on exact national road host link</x:v>
      </x:c>
      <x:c r="Y417" t="str">
        <x:v>Unpaved</x:v>
      </x:c>
      <x:c r="Z417" t="str">
        <x:v>C</x:v>
      </x:c>
      <x:c r="AA417" t="str">
        <x:v>Not available in governed source</x:v>
      </x:c>
      <x:c r="AB417" t="str">
        <x:v>Not available in governed source</x:v>
      </x:c>
      <x:c r="AC417" t="str">
        <x:v>FY2025/26</x:v>
      </x:c>
      <x:c r="AD417" t="str">
        <x:v>Modelled</x:v>
      </x:c>
      <x:c r="AE417" t="str">
        <x:v>2026 bridge AADT rebuilt from host-link traffic history, annual collection-link history, same-road corridor history and spatial count-station influence. Vehicle-class values are assigned from functional-class shares.</x:v>
      </x:c>
      <x:c r="AF417" t="str">
        <x:v>Placed on exact national road host link</x:v>
      </x:c>
    </x:row>
    <x:row r="418" ht="15" hidden="0" customHeight="1">
      <x:c r="A418" t="str">
        <x:v>bridge-417</x:v>
      </x:c>
      <x:c r="B418" t="str">
        <x:v>B562</x:v>
      </x:c>
      <x:c r="C418" t="str">
        <x:v>Nyamashekye Bridge</x:v>
      </x:c>
      <x:c r="D418" t="str">
        <x:v>C357_Link01</x:v>
      </x:c>
      <x:c r="E418" t="str">
        <x:v>Muzizi-Buremba</x:v>
      </x:c>
      <x:c r="F418" t="str">
        <x:v>C</x:v>
      </x:c>
      <x:c r="G418" t="str">
        <x:v>Southern</x:v>
      </x:c>
      <x:c r="H418" t="str">
        <x:v>Ibanda</x:v>
      </x:c>
      <x:c r="I418" t="str">
        <x:v>Nyamashekye</x:v>
      </x:c>
      <x:c r="J418" t="str">
        <x:v>Good</x:v>
      </x:c>
      <x:c r="K418" t="n">
        <x:v>30.680361</x:v>
      </x:c>
      <x:c r="L418" t="n">
        <x:v>0.09666</x:v>
      </x:c>
      <x:c r="M418" t="n">
        <x:v>30.676906</x:v>
      </x:c>
      <x:c r="N418" t="n">
        <x:v>0.102989</x:v>
      </x:c>
      <x:c r="O418" t="n">
        <x:v>2213.75</x:v>
      </x:c>
      <x:c r="P418" t="n">
        <x:f>IFERROR(INDEX(Assumptions!$B$9:$B$13,MATCH(F418,Assumptions!$A$9:$A$13,0)),0.15)</x:f>
        <x:v>0.28</x:v>
      </x:c>
      <x:c r="Q418" t="n">
        <x:f>ROUND(O418*(1-P418),0)</x:f>
        <x:v>1594</x:v>
      </x:c>
      <x:c r="R418" t="n">
        <x:f>ROUND(O418*P418,0)</x:f>
        <x:v>620</x:v>
      </x:c>
      <x:c r="S418" t="n">
        <x:f>ROUND(O418*IFERROR(INDEX(Assumptions!$C$9:$C$13,MATCH(F418,Assumptions!$A$9:$A$13,0)),0.55),0)</x:f>
        <x:v>1107</x:v>
      </x:c>
      <x:c r="T418" t="n">
        <x:f>ROUND(O418*IFERROR(INDEX(Assumptions!$D$9:$D$13,MATCH(F418,Assumptions!$A$9:$A$13,0)),0.06),0)</x:f>
        <x:v>111</x:v>
      </x:c>
      <x:c r="U418" t="n">
        <x:f>ROUND(O418*IFERROR(INDEX(Assumptions!$E$9:$E$13,MATCH(F418,Assumptions!$A$9:$A$13,0)),0.15),0)</x:f>
        <x:v>244</x:v>
      </x:c>
      <x:c r="V418" t="n">
        <x:f>MAX(0,O418-SUM(R418:U418))</x:f>
        <x:v>131.75</x:v>
      </x:c>
      <x:c r="W418" t="n">
        <x:f>MIN(100,40+IF(O418&gt;0,20,0)+IF(M418&lt;&gt;"",20,0)+IF(AF418&lt;&gt;"",20,0))</x:f>
        <x:v>100</x:v>
      </x:c>
      <x:c r="X418" t="str">
        <x:v>Placed on national road link from structure registry</x:v>
      </x:c>
      <x:c r="Y418" t="str">
        <x:v>Unpaved</x:v>
      </x:c>
      <x:c r="Z418" t="str">
        <x:v>C</x:v>
      </x:c>
      <x:c r="AA418" t="str">
        <x:v>Not available in governed source</x:v>
      </x:c>
      <x:c r="AB418" t="str">
        <x:v>Not available in governed source</x:v>
      </x:c>
      <x:c r="AC418" t="str">
        <x:v>FY2025/26</x:v>
      </x:c>
      <x:c r="AD418" t="str">
        <x:v>Modelled</x:v>
      </x:c>
      <x:c r="AE418" t="str">
        <x:v>2026 bridge AADT rebuilt from host-link traffic history, annual collection-link history, same-road corridor history and spatial count-station influence. Vehicle-class values are assigned from functional-class shares.</x:v>
      </x:c>
      <x:c r="AF418" t="str">
        <x:v>Placed on national road link from structure registry</x:v>
      </x:c>
    </x:row>
    <x:row r="419" ht="15" hidden="0" customHeight="1">
      <x:c r="A419" t="str">
        <x:v>bridge-418</x:v>
      </x:c>
      <x:c r="B419" t="str">
        <x:v>B600</x:v>
      </x:c>
      <x:c r="C419" t="str">
        <x:v>Kidoko - Kachonga</x:v>
      </x:c>
      <x:c r="D419" t="str">
        <x:v>C838_Link02</x:v>
      </x:c>
      <x:c r="E419" t="str">
        <x:v>Kidoko - Kachonga</x:v>
      </x:c>
      <x:c r="F419" t="str">
        <x:v>C</x:v>
      </x:c>
      <x:c r="G419" t="str">
        <x:v>Eastern</x:v>
      </x:c>
      <x:c r="H419" t="str">
        <x:v>Tororo</x:v>
      </x:c>
      <x:c r="I419" t="str">
        <x:v>Kidoko - Kachonga River</x:v>
      </x:c>
      <x:c r="J419" t="str">
        <x:v>Good</x:v>
      </x:c>
      <x:c r="K419" t="n">
        <x:v>34.093479</x:v>
      </x:c>
      <x:c r="L419" t="n">
        <x:v>0.94691</x:v>
      </x:c>
      <x:c r="M419" t="n">
        <x:v>34.113326</x:v>
      </x:c>
      <x:c r="N419" t="n">
        <x:v>0.88312</x:v>
      </x:c>
      <x:c r="O419" t="n">
        <x:v>5179.88</x:v>
      </x:c>
      <x:c r="P419" t="n">
        <x:f>IFERROR(INDEX(Assumptions!$B$9:$B$13,MATCH(F419,Assumptions!$A$9:$A$13,0)),0.15)</x:f>
        <x:v>0.28</x:v>
      </x:c>
      <x:c r="Q419" t="n">
        <x:f>ROUND(O419*(1-P419),0)</x:f>
        <x:v>3730</x:v>
      </x:c>
      <x:c r="R419" t="n">
        <x:f>ROUND(O419*P419,0)</x:f>
        <x:v>1450</x:v>
      </x:c>
      <x:c r="S419" t="n">
        <x:f>ROUND(O419*IFERROR(INDEX(Assumptions!$C$9:$C$13,MATCH(F419,Assumptions!$A$9:$A$13,0)),0.55),0)</x:f>
        <x:v>2590</x:v>
      </x:c>
      <x:c r="T419" t="n">
        <x:f>ROUND(O419*IFERROR(INDEX(Assumptions!$D$9:$D$13,MATCH(F419,Assumptions!$A$9:$A$13,0)),0.06),0)</x:f>
        <x:v>259</x:v>
      </x:c>
      <x:c r="U419" t="n">
        <x:f>ROUND(O419*IFERROR(INDEX(Assumptions!$E$9:$E$13,MATCH(F419,Assumptions!$A$9:$A$13,0)),0.15),0)</x:f>
        <x:v>570</x:v>
      </x:c>
      <x:c r="V419" t="n">
        <x:f>MAX(0,O419-SUM(R419:U419))</x:f>
        <x:v>310.8800000000001</x:v>
      </x:c>
      <x:c r="W419" t="n">
        <x:f>MIN(100,40+IF(O419&gt;0,20,0)+IF(M419&lt;&gt;"",20,0)+IF(AF419&lt;&gt;"",20,0))</x:f>
        <x:v>100</x:v>
      </x:c>
      <x:c r="X419" t="str">
        <x:v>Placed on exact national road host link</x:v>
      </x:c>
      <x:c r="Y419" t="str">
        <x:v>Unpaved</x:v>
      </x:c>
      <x:c r="Z419" t="str">
        <x:v>C</x:v>
      </x:c>
      <x:c r="AA419" t="str">
        <x:v>Not available in governed source</x:v>
      </x:c>
      <x:c r="AB419" t="str">
        <x:v>Not available in governed source</x:v>
      </x:c>
      <x:c r="AC419" t="str">
        <x:v>FY2025/26</x:v>
      </x:c>
      <x:c r="AD419" t="str">
        <x:v>Modelled</x:v>
      </x:c>
      <x:c r="AE419" t="str">
        <x:v>2026 bridge AADT rebuilt from host-link traffic history, annual collection-link history, same-road corridor history and spatial count-station influence. Vehicle-class values are assigned from functional-class shares.</x:v>
      </x:c>
      <x:c r="AF419" t="str">
        <x:v>Placed on exact national road host link</x:v>
      </x:c>
    </x:row>
    <x:row r="420" ht="15" hidden="0" customHeight="1">
      <x:c r="A420" t="str">
        <x:v>bridge-419</x:v>
      </x:c>
      <x:c r="B420" t="str">
        <x:v>B601</x:v>
      </x:c>
      <x:c r="C420" t="str">
        <x:v>Kapir - Ngora</x:v>
      </x:c>
      <x:c r="D420" t="str">
        <x:v>C930_Link01</x:v>
      </x:c>
      <x:c r="E420" t="str">
        <x:v>Kapir - Ngora</x:v>
      </x:c>
      <x:c r="F420" t="str">
        <x:v>C</x:v>
      </x:c>
      <x:c r="G420" t="str">
        <x:v>North Eastern</x:v>
      </x:c>
      <x:c r="H420" t="str">
        <x:v>Soroti</x:v>
      </x:c>
      <x:c r="I420" t="str">
        <x:v>Kapir - Ngora River</x:v>
      </x:c>
      <x:c r="J420" t="str">
        <x:v>Good</x:v>
      </x:c>
      <x:c r="K420" t="n">
        <x:v>33.92091</x:v>
      </x:c>
      <x:c r="L420" t="n">
        <x:v>1.41228</x:v>
      </x:c>
      <x:c r="M420" t="n">
        <x:v>33.77821</x:v>
      </x:c>
      <x:c r="N420" t="n">
        <x:v>1.460197</x:v>
      </x:c>
      <x:c r="O420" t="n">
        <x:v>3855.92</x:v>
      </x:c>
      <x:c r="P420" t="n">
        <x:f>IFERROR(INDEX(Assumptions!$B$9:$B$13,MATCH(F420,Assumptions!$A$9:$A$13,0)),0.15)</x:f>
        <x:v>0.28</x:v>
      </x:c>
      <x:c r="Q420" t="n">
        <x:f>ROUND(O420*(1-P420),0)</x:f>
        <x:v>2776</x:v>
      </x:c>
      <x:c r="R420" t="n">
        <x:f>ROUND(O420*P420,0)</x:f>
        <x:v>1080</x:v>
      </x:c>
      <x:c r="S420" t="n">
        <x:f>ROUND(O420*IFERROR(INDEX(Assumptions!$C$9:$C$13,MATCH(F420,Assumptions!$A$9:$A$13,0)),0.55),0)</x:f>
        <x:v>1928</x:v>
      </x:c>
      <x:c r="T420" t="n">
        <x:f>ROUND(O420*IFERROR(INDEX(Assumptions!$D$9:$D$13,MATCH(F420,Assumptions!$A$9:$A$13,0)),0.06),0)</x:f>
        <x:v>193</x:v>
      </x:c>
      <x:c r="U420" t="n">
        <x:f>ROUND(O420*IFERROR(INDEX(Assumptions!$E$9:$E$13,MATCH(F420,Assumptions!$A$9:$A$13,0)),0.15),0)</x:f>
        <x:v>424</x:v>
      </x:c>
      <x:c r="V420" t="n">
        <x:f>MAX(0,O420-SUM(R420:U420))</x:f>
        <x:v>230.92000000000007</x:v>
      </x:c>
      <x:c r="W420" t="n">
        <x:f>MIN(100,40+IF(O420&gt;0,20,0)+IF(M420&lt;&gt;"",20,0)+IF(AF420&lt;&gt;"",20,0))</x:f>
        <x:v>100</x:v>
      </x:c>
      <x:c r="X420" t="str">
        <x:v>Placed on exact national road host link</x:v>
      </x:c>
      <x:c r="Y420" t="str">
        <x:v>Unpaved</x:v>
      </x:c>
      <x:c r="Z420" t="str">
        <x:v>C</x:v>
      </x:c>
      <x:c r="AA420" t="str">
        <x:v>Not available in governed source</x:v>
      </x:c>
      <x:c r="AB420" t="str">
        <x:v>Not available in governed source</x:v>
      </x:c>
      <x:c r="AC420" t="str">
        <x:v>FY2025/26</x:v>
      </x:c>
      <x:c r="AD420" t="str">
        <x:v>Modelled</x:v>
      </x:c>
      <x:c r="AE420" t="str">
        <x:v>2026 bridge AADT rebuilt from host-link traffic history, annual collection-link history, same-road corridor history and spatial count-station influence. Vehicle-class values are assigned from functional-class shares.</x:v>
      </x:c>
      <x:c r="AF420" t="str">
        <x:v>Placed on exact national road host link</x:v>
      </x:c>
    </x:row>
    <x:row r="421" ht="15" hidden="0" customHeight="1">
      <x:c r="A421" t="str">
        <x:v>bridge-420</x:v>
      </x:c>
      <x:c r="B421" t="str">
        <x:v>B602</x:v>
      </x:c>
      <x:c r="C421" t="str">
        <x:v>Mulanda - Nagongera</x:v>
      </x:c>
      <x:c r="D421" t="str">
        <x:v>C836_Link02</x:v>
      </x:c>
      <x:c r="E421" t="str">
        <x:v>Mulanda - Nagongera</x:v>
      </x:c>
      <x:c r="F421" t="str">
        <x:v>C</x:v>
      </x:c>
      <x:c r="G421" t="str">
        <x:v>Eastern</x:v>
      </x:c>
      <x:c r="H421" t="str">
        <x:v>Tororo</x:v>
      </x:c>
      <x:c r="I421" t="str">
        <x:v>Mulanda - Nagongera River</x:v>
      </x:c>
      <x:c r="J421" t="str">
        <x:v>Poor</x:v>
      </x:c>
      <x:c r="K421" t="n">
        <x:v>34.014622</x:v>
      </x:c>
      <x:c r="L421" t="n">
        <x:v>0.71138</x:v>
      </x:c>
      <x:c r="M421" t="n">
        <x:v>34.010772</x:v>
      </x:c>
      <x:c r="N421" t="n">
        <x:v>0.693282</x:v>
      </x:c>
      <x:c r="O421" t="n">
        <x:v>5179.88</x:v>
      </x:c>
      <x:c r="P421" t="n">
        <x:f>IFERROR(INDEX(Assumptions!$B$9:$B$13,MATCH(F421,Assumptions!$A$9:$A$13,0)),0.15)</x:f>
        <x:v>0.28</x:v>
      </x:c>
      <x:c r="Q421" t="n">
        <x:f>ROUND(O421*(1-P421),0)</x:f>
        <x:v>3730</x:v>
      </x:c>
      <x:c r="R421" t="n">
        <x:f>ROUND(O421*P421,0)</x:f>
        <x:v>1450</x:v>
      </x:c>
      <x:c r="S421" t="n">
        <x:f>ROUND(O421*IFERROR(INDEX(Assumptions!$C$9:$C$13,MATCH(F421,Assumptions!$A$9:$A$13,0)),0.55),0)</x:f>
        <x:v>2590</x:v>
      </x:c>
      <x:c r="T421" t="n">
        <x:f>ROUND(O421*IFERROR(INDEX(Assumptions!$D$9:$D$13,MATCH(F421,Assumptions!$A$9:$A$13,0)),0.06),0)</x:f>
        <x:v>259</x:v>
      </x:c>
      <x:c r="U421" t="n">
        <x:f>ROUND(O421*IFERROR(INDEX(Assumptions!$E$9:$E$13,MATCH(F421,Assumptions!$A$9:$A$13,0)),0.15),0)</x:f>
        <x:v>570</x:v>
      </x:c>
      <x:c r="V421" t="n">
        <x:f>MAX(0,O421-SUM(R421:U421))</x:f>
        <x:v>310.8800000000001</x:v>
      </x:c>
      <x:c r="W421" t="n">
        <x:f>MIN(100,40+IF(O421&gt;0,20,0)+IF(M421&lt;&gt;"",20,0)+IF(AF421&lt;&gt;"",20,0))</x:f>
        <x:v>100</x:v>
      </x:c>
      <x:c r="X421" t="str">
        <x:v>Placed on exact national road host link</x:v>
      </x:c>
      <x:c r="Y421" t="str">
        <x:v>Unpaved</x:v>
      </x:c>
      <x:c r="Z421" t="str">
        <x:v>C</x:v>
      </x:c>
      <x:c r="AA421" t="str">
        <x:v>Not available in governed source</x:v>
      </x:c>
      <x:c r="AB421" t="str">
        <x:v>Not available in governed source</x:v>
      </x:c>
      <x:c r="AC421" t="str">
        <x:v>FY2025/26</x:v>
      </x:c>
      <x:c r="AD421" t="str">
        <x:v>Modelled</x:v>
      </x:c>
      <x:c r="AE421" t="str">
        <x:v>2026 bridge AADT rebuilt from host-link traffic history, annual collection-link history, same-road corridor history and spatial count-station influence. Vehicle-class values are assigned from functional-class shares.</x:v>
      </x:c>
      <x:c r="AF421" t="str">
        <x:v>Placed on exact national road host link</x:v>
      </x:c>
    </x:row>
    <x:row r="422" ht="15" hidden="0" customHeight="1">
      <x:c r="A422" t="str">
        <x:v>bridge-421</x:v>
      </x:c>
      <x:c r="B422" t="str">
        <x:v>B603</x:v>
      </x:c>
      <x:c r="C422" t="str">
        <x:v>Kaserem-Kapchorwa-Suam</x:v>
      </x:c>
      <x:c r="D422" t="str">
        <x:v>B304_Link02</x:v>
      </x:c>
      <x:c r="E422" t="str">
        <x:v>Kapchorwa-Suam</x:v>
      </x:c>
      <x:c r="F422" t="str">
        <x:v>B</x:v>
      </x:c>
      <x:c r="G422" t="str">
        <x:v>Eastern</x:v>
      </x:c>
      <x:c r="H422" t="str">
        <x:v>Mbale</x:v>
      </x:c>
      <x:c r="I422" t="str">
        <x:v>Kaserem-Kapchorwa-Suam River</x:v>
      </x:c>
      <x:c r="J422" t="str">
        <x:v>Good</x:v>
      </x:c>
      <x:c r="K422" t="n">
        <x:v>34.62104</x:v>
      </x:c>
      <x:c r="L422" t="n">
        <x:v>1.41423</x:v>
      </x:c>
      <x:c r="M422" t="n">
        <x:v>34.621132</x:v>
      </x:c>
      <x:c r="N422" t="n">
        <x:v>1.414204</x:v>
      </x:c>
      <x:c r="O422" t="n">
        <x:v>1695.6</x:v>
      </x:c>
      <x:c r="P422" t="n">
        <x:f>IFERROR(INDEX(Assumptions!$B$9:$B$13,MATCH(F422,Assumptions!$A$9:$A$13,0)),0.15)</x:f>
        <x:v>0.16</x:v>
      </x:c>
      <x:c r="Q422" t="n">
        <x:f>ROUND(O422*(1-P422),0)</x:f>
        <x:v>1424</x:v>
      </x:c>
      <x:c r="R422" t="n">
        <x:f>ROUND(O422*P422,0)</x:f>
        <x:v>271</x:v>
      </x:c>
      <x:c r="S422" t="n">
        <x:f>ROUND(O422*IFERROR(INDEX(Assumptions!$C$9:$C$13,MATCH(F422,Assumptions!$A$9:$A$13,0)),0.55),0)</x:f>
        <x:v>950</x:v>
      </x:c>
      <x:c r="T422" t="n">
        <x:f>ROUND(O422*IFERROR(INDEX(Assumptions!$D$9:$D$13,MATCH(F422,Assumptions!$A$9:$A$13,0)),0.06),0)</x:f>
        <x:v>119</x:v>
      </x:c>
      <x:c r="U422" t="n">
        <x:f>ROUND(O422*IFERROR(INDEX(Assumptions!$E$9:$E$13,MATCH(F422,Assumptions!$A$9:$A$13,0)),0.15),0)</x:f>
        <x:v>271</x:v>
      </x:c>
      <x:c r="V422" t="n">
        <x:f>MAX(0,O422-SUM(R422:U422))</x:f>
        <x:v>84.59999999999991</x:v>
      </x:c>
      <x:c r="W422" t="n">
        <x:f>MIN(100,40+IF(O422&gt;0,20,0)+IF(M422&lt;&gt;"",20,0)+IF(AF422&lt;&gt;"",20,0))</x:f>
        <x:v>100</x:v>
      </x:c>
      <x:c r="X422" t="str">
        <x:v>Placed on exact national road host link</x:v>
      </x:c>
      <x:c r="Y422" t="str">
        <x:v>Paved</x:v>
      </x:c>
      <x:c r="Z422" t="str">
        <x:v>B</x:v>
      </x:c>
      <x:c r="AA422" t="str">
        <x:v>Not available in governed source</x:v>
      </x:c>
      <x:c r="AB422" t="str">
        <x:v>Not available in governed source</x:v>
      </x:c>
      <x:c r="AC422" t="str">
        <x:v>FY2025/26</x:v>
      </x:c>
      <x:c r="AD422" t="str">
        <x:v>Modelled</x:v>
      </x:c>
      <x:c r="AE422" t="str">
        <x:v>2026 bridge AADT rebuilt from host-link traffic history, annual collection-link history, same-road corridor history and spatial count-station influence. Vehicle-class values are assigned from functional-class shares.</x:v>
      </x:c>
      <x:c r="AF422" t="str">
        <x:v>Placed on exact national road host link</x:v>
      </x:c>
    </x:row>
    <x:row r="423" ht="15" hidden="0" customHeight="1">
      <x:c r="A423" t="str">
        <x:v>bridge-422</x:v>
      </x:c>
      <x:c r="B423" t="str">
        <x:v>B605</x:v>
      </x:c>
      <x:c r="C423" t="str">
        <x:v>Rubongi - Mulanda</x:v>
      </x:c>
      <x:c r="D423" t="str">
        <x:v>C844_Link01</x:v>
      </x:c>
      <x:c r="E423" t="str">
        <x:v>Rubongi - Mulanda</x:v>
      </x:c>
      <x:c r="F423" t="str">
        <x:v>C</x:v>
      </x:c>
      <x:c r="G423" t="str">
        <x:v>Eastern</x:v>
      </x:c>
      <x:c r="H423" t="str">
        <x:v>Tororo</x:v>
      </x:c>
      <x:c r="I423" t="str">
        <x:v>Rubongi - Mulanda River</x:v>
      </x:c>
      <x:c r="J423" t="str">
        <x:v>Poor</x:v>
      </x:c>
      <x:c r="K423" t="n">
        <x:v>34.085941</x:v>
      </x:c>
      <x:c r="L423" t="n">
        <x:v>0.68541</x:v>
      </x:c>
      <x:c r="M423" t="n">
        <x:v>34.01114</x:v>
      </x:c>
      <x:c r="N423" t="n">
        <x:v>0.692333</x:v>
      </x:c>
      <x:c r="O423" t="n">
        <x:v>1177.46</x:v>
      </x:c>
      <x:c r="P423" t="n">
        <x:f>IFERROR(INDEX(Assumptions!$B$9:$B$13,MATCH(F423,Assumptions!$A$9:$A$13,0)),0.15)</x:f>
        <x:v>0.28</x:v>
      </x:c>
      <x:c r="Q423" t="n">
        <x:f>ROUND(O423*(1-P423),0)</x:f>
        <x:v>848</x:v>
      </x:c>
      <x:c r="R423" t="n">
        <x:f>ROUND(O423*P423,0)</x:f>
        <x:v>330</x:v>
      </x:c>
      <x:c r="S423" t="n">
        <x:f>ROUND(O423*IFERROR(INDEX(Assumptions!$C$9:$C$13,MATCH(F423,Assumptions!$A$9:$A$13,0)),0.55),0)</x:f>
        <x:v>589</x:v>
      </x:c>
      <x:c r="T423" t="n">
        <x:f>ROUND(O423*IFERROR(INDEX(Assumptions!$D$9:$D$13,MATCH(F423,Assumptions!$A$9:$A$13,0)),0.06),0)</x:f>
        <x:v>59</x:v>
      </x:c>
      <x:c r="U423" t="n">
        <x:f>ROUND(O423*IFERROR(INDEX(Assumptions!$E$9:$E$13,MATCH(F423,Assumptions!$A$9:$A$13,0)),0.15),0)</x:f>
        <x:v>130</x:v>
      </x:c>
      <x:c r="V423" t="n">
        <x:f>MAX(0,O423-SUM(R423:U423))</x:f>
        <x:v>69.46000000000004</x:v>
      </x:c>
      <x:c r="W423" t="n">
        <x:f>MIN(100,40+IF(O423&gt;0,20,0)+IF(M423&lt;&gt;"",20,0)+IF(AF423&lt;&gt;"",20,0))</x:f>
        <x:v>100</x:v>
      </x:c>
      <x:c r="X423" t="str">
        <x:v>Placed on exact national road host link</x:v>
      </x:c>
      <x:c r="Y423" t="str">
        <x:v>Unpaved</x:v>
      </x:c>
      <x:c r="Z423" t="str">
        <x:v>C</x:v>
      </x:c>
      <x:c r="AA423" t="str">
        <x:v>Not available in governed source</x:v>
      </x:c>
      <x:c r="AB423" t="str">
        <x:v>Not available in governed source</x:v>
      </x:c>
      <x:c r="AC423" t="str">
        <x:v>FY2025/26</x:v>
      </x:c>
      <x:c r="AD423" t="str">
        <x:v>Modelled</x:v>
      </x:c>
      <x:c r="AE423" t="str">
        <x:v>2026 bridge AADT rebuilt from host-link traffic history, annual collection-link history, same-road corridor history and spatial count-station influence. Vehicle-class values are assigned from functional-class shares.</x:v>
      </x:c>
      <x:c r="AF423" t="str">
        <x:v>Placed on exact national road host link</x:v>
      </x:c>
    </x:row>
    <x:row r="424" ht="15" hidden="0" customHeight="1">
      <x:c r="A424" t="str">
        <x:v>bridge-423</x:v>
      </x:c>
      <x:c r="B424" t="str">
        <x:v>B606</x:v>
      </x:c>
      <x:c r="C424" t="str">
        <x:v>Kaserem-Kapchorwa-Suam</x:v>
      </x:c>
      <x:c r="D424" t="str">
        <x:v>B304_Link02</x:v>
      </x:c>
      <x:c r="E424" t="str">
        <x:v>Kapchorwa-Suam</x:v>
      </x:c>
      <x:c r="F424" t="str">
        <x:v>B</x:v>
      </x:c>
      <x:c r="G424" t="str">
        <x:v>Eastern</x:v>
      </x:c>
      <x:c r="H424" t="str">
        <x:v>Mbale</x:v>
      </x:c>
      <x:c r="I424" t="str">
        <x:v>Kaserem-Kapchorwa-Suam River</x:v>
      </x:c>
      <x:c r="J424" t="str">
        <x:v>Satisfactory</x:v>
      </x:c>
      <x:c r="K424" t="n">
        <x:v>34.59985</x:v>
      </x:c>
      <x:c r="L424" t="n">
        <x:v>1.41996</x:v>
      </x:c>
      <x:c r="M424" t="n">
        <x:v>34.599635</x:v>
      </x:c>
      <x:c r="N424" t="n">
        <x:v>1.420318</x:v>
      </x:c>
      <x:c r="O424" t="n">
        <x:v>1695.6</x:v>
      </x:c>
      <x:c r="P424" t="n">
        <x:f>IFERROR(INDEX(Assumptions!$B$9:$B$13,MATCH(F424,Assumptions!$A$9:$A$13,0)),0.15)</x:f>
        <x:v>0.16</x:v>
      </x:c>
      <x:c r="Q424" t="n">
        <x:f>ROUND(O424*(1-P424),0)</x:f>
        <x:v>1424</x:v>
      </x:c>
      <x:c r="R424" t="n">
        <x:f>ROUND(O424*P424,0)</x:f>
        <x:v>271</x:v>
      </x:c>
      <x:c r="S424" t="n">
        <x:f>ROUND(O424*IFERROR(INDEX(Assumptions!$C$9:$C$13,MATCH(F424,Assumptions!$A$9:$A$13,0)),0.55),0)</x:f>
        <x:v>950</x:v>
      </x:c>
      <x:c r="T424" t="n">
        <x:f>ROUND(O424*IFERROR(INDEX(Assumptions!$D$9:$D$13,MATCH(F424,Assumptions!$A$9:$A$13,0)),0.06),0)</x:f>
        <x:v>119</x:v>
      </x:c>
      <x:c r="U424" t="n">
        <x:f>ROUND(O424*IFERROR(INDEX(Assumptions!$E$9:$E$13,MATCH(F424,Assumptions!$A$9:$A$13,0)),0.15),0)</x:f>
        <x:v>271</x:v>
      </x:c>
      <x:c r="V424" t="n">
        <x:f>MAX(0,O424-SUM(R424:U424))</x:f>
        <x:v>84.59999999999991</x:v>
      </x:c>
      <x:c r="W424" t="n">
        <x:f>MIN(100,40+IF(O424&gt;0,20,0)+IF(M424&lt;&gt;"",20,0)+IF(AF424&lt;&gt;"",20,0))</x:f>
        <x:v>100</x:v>
      </x:c>
      <x:c r="X424" t="str">
        <x:v>Placed on exact national road host link</x:v>
      </x:c>
      <x:c r="Y424" t="str">
        <x:v>Paved</x:v>
      </x:c>
      <x:c r="Z424" t="str">
        <x:v>B</x:v>
      </x:c>
      <x:c r="AA424" t="str">
        <x:v>Not available in governed source</x:v>
      </x:c>
      <x:c r="AB424" t="str">
        <x:v>Not available in governed source</x:v>
      </x:c>
      <x:c r="AC424" t="str">
        <x:v>FY2025/26</x:v>
      </x:c>
      <x:c r="AD424" t="str">
        <x:v>Modelled</x:v>
      </x:c>
      <x:c r="AE424" t="str">
        <x:v>2026 bridge AADT rebuilt from host-link traffic history, annual collection-link history, same-road corridor history and spatial count-station influence. Vehicle-class values are assigned from functional-class shares.</x:v>
      </x:c>
      <x:c r="AF424" t="str">
        <x:v>Placed on exact national road host link</x:v>
      </x:c>
    </x:row>
    <x:row r="425" ht="15" hidden="0" customHeight="1">
      <x:c r="A425" t="str">
        <x:v>bridge-424</x:v>
      </x:c>
      <x:c r="B425" t="str">
        <x:v>B608</x:v>
      </x:c>
      <x:c r="C425" t="str">
        <x:v>Mbale-Bufumbo</x:v>
      </x:c>
      <x:c r="D425" t="str">
        <x:v>C880_Link01</x:v>
      </x:c>
      <x:c r="E425" t="str">
        <x:v>Mbale-Bufumbo</x:v>
      </x:c>
      <x:c r="F425" t="str">
        <x:v>C</x:v>
      </x:c>
      <x:c r="G425" t="str">
        <x:v>Eastern</x:v>
      </x:c>
      <x:c r="H425" t="str">
        <x:v>Mbale</x:v>
      </x:c>
      <x:c r="I425" t="str">
        <x:v>Mbale-Bufumbo River</x:v>
      </x:c>
      <x:c r="J425" t="str">
        <x:v>Marginal</x:v>
      </x:c>
      <x:c r="K425" t="n">
        <x:v>34.240131</x:v>
      </x:c>
      <x:c r="L425" t="n">
        <x:v>1.10831</x:v>
      </x:c>
      <x:c r="M425" t="n">
        <x:v>34.281843</x:v>
      </x:c>
      <x:c r="N425" t="n">
        <x:v>1.118726</x:v>
      </x:c>
      <x:c r="O425" t="n">
        <x:v>2272.7</x:v>
      </x:c>
      <x:c r="P425" t="n">
        <x:f>IFERROR(INDEX(Assumptions!$B$9:$B$13,MATCH(F425,Assumptions!$A$9:$A$13,0)),0.15)</x:f>
        <x:v>0.28</x:v>
      </x:c>
      <x:c r="Q425" t="n">
        <x:f>ROUND(O425*(1-P425),0)</x:f>
        <x:v>1636</x:v>
      </x:c>
      <x:c r="R425" t="n">
        <x:f>ROUND(O425*P425,0)</x:f>
        <x:v>636</x:v>
      </x:c>
      <x:c r="S425" t="n">
        <x:f>ROUND(O425*IFERROR(INDEX(Assumptions!$C$9:$C$13,MATCH(F425,Assumptions!$A$9:$A$13,0)),0.55),0)</x:f>
        <x:v>1136</x:v>
      </x:c>
      <x:c r="T425" t="n">
        <x:f>ROUND(O425*IFERROR(INDEX(Assumptions!$D$9:$D$13,MATCH(F425,Assumptions!$A$9:$A$13,0)),0.06),0)</x:f>
        <x:v>114</x:v>
      </x:c>
      <x:c r="U425" t="n">
        <x:f>ROUND(O425*IFERROR(INDEX(Assumptions!$E$9:$E$13,MATCH(F425,Assumptions!$A$9:$A$13,0)),0.15),0)</x:f>
        <x:v>250</x:v>
      </x:c>
      <x:c r="V425" t="n">
        <x:f>MAX(0,O425-SUM(R425:U425))</x:f>
        <x:v>136.69999999999982</x:v>
      </x:c>
      <x:c r="W425" t="n">
        <x:f>MIN(100,40+IF(O425&gt;0,20,0)+IF(M425&lt;&gt;"",20,0)+IF(AF425&lt;&gt;"",20,0))</x:f>
        <x:v>100</x:v>
      </x:c>
      <x:c r="X425" t="str">
        <x:v>Placed on exact national road host link</x:v>
      </x:c>
      <x:c r="Y425" t="str">
        <x:v>Unpaved</x:v>
      </x:c>
      <x:c r="Z425" t="str">
        <x:v>C</x:v>
      </x:c>
      <x:c r="AA425" t="str">
        <x:v>Not available in governed source</x:v>
      </x:c>
      <x:c r="AB425" t="str">
        <x:v>Not available in governed source</x:v>
      </x:c>
      <x:c r="AC425" t="str">
        <x:v>FY2025/26</x:v>
      </x:c>
      <x:c r="AD425" t="str">
        <x:v>Modelled</x:v>
      </x:c>
      <x:c r="AE425" t="str">
        <x:v>2026 bridge AADT rebuilt from host-link traffic history, annual collection-link history, same-road corridor history and spatial count-station influence. Vehicle-class values are assigned from functional-class shares.</x:v>
      </x:c>
      <x:c r="AF425" t="str">
        <x:v>Placed on exact national road host link</x:v>
      </x:c>
    </x:row>
    <x:row r="426" ht="15" hidden="0" customHeight="1">
      <x:c r="A426" t="str">
        <x:v>bridge-425</x:v>
      </x:c>
      <x:c r="B426" t="str">
        <x:v>B609</x:v>
      </x:c>
      <x:c r="C426" t="str">
        <x:v>KAPCHORWA- SUAM</x:v>
      </x:c>
      <x:c r="D426" t="str">
        <x:v>B304_Link02</x:v>
      </x:c>
      <x:c r="E426" t="str">
        <x:v>Kapchorwa-Suam</x:v>
      </x:c>
      <x:c r="F426" t="str">
        <x:v>B</x:v>
      </x:c>
      <x:c r="G426" t="str">
        <x:v>Eastern</x:v>
      </x:c>
      <x:c r="H426" t="str">
        <x:v>Mbale</x:v>
      </x:c>
      <x:c r="I426" t="str">
        <x:v>Kapchorwa- Suam River</x:v>
      </x:c>
      <x:c r="J426" t="str">
        <x:v>Good</x:v>
      </x:c>
      <x:c r="K426" t="n">
        <x:v>34.599781</x:v>
      </x:c>
      <x:c r="L426" t="n">
        <x:v>1.41983</x:v>
      </x:c>
      <x:c r="M426" t="n">
        <x:v>34.599533</x:v>
      </x:c>
      <x:c r="N426" t="n">
        <x:v>1.420258</x:v>
      </x:c>
      <x:c r="O426" t="n">
        <x:v>1695.6</x:v>
      </x:c>
      <x:c r="P426" t="n">
        <x:f>IFERROR(INDEX(Assumptions!$B$9:$B$13,MATCH(F426,Assumptions!$A$9:$A$13,0)),0.15)</x:f>
        <x:v>0.16</x:v>
      </x:c>
      <x:c r="Q426" t="n">
        <x:f>ROUND(O426*(1-P426),0)</x:f>
        <x:v>1424</x:v>
      </x:c>
      <x:c r="R426" t="n">
        <x:f>ROUND(O426*P426,0)</x:f>
        <x:v>271</x:v>
      </x:c>
      <x:c r="S426" t="n">
        <x:f>ROUND(O426*IFERROR(INDEX(Assumptions!$C$9:$C$13,MATCH(F426,Assumptions!$A$9:$A$13,0)),0.55),0)</x:f>
        <x:v>950</x:v>
      </x:c>
      <x:c r="T426" t="n">
        <x:f>ROUND(O426*IFERROR(INDEX(Assumptions!$D$9:$D$13,MATCH(F426,Assumptions!$A$9:$A$13,0)),0.06),0)</x:f>
        <x:v>119</x:v>
      </x:c>
      <x:c r="U426" t="n">
        <x:f>ROUND(O426*IFERROR(INDEX(Assumptions!$E$9:$E$13,MATCH(F426,Assumptions!$A$9:$A$13,0)),0.15),0)</x:f>
        <x:v>271</x:v>
      </x:c>
      <x:c r="V426" t="n">
        <x:f>MAX(0,O426-SUM(R426:U426))</x:f>
        <x:v>84.59999999999991</x:v>
      </x:c>
      <x:c r="W426" t="n">
        <x:f>MIN(100,40+IF(O426&gt;0,20,0)+IF(M426&lt;&gt;"",20,0)+IF(AF426&lt;&gt;"",20,0))</x:f>
        <x:v>100</x:v>
      </x:c>
      <x:c r="X426" t="str">
        <x:v>Placed on exact national road host link</x:v>
      </x:c>
      <x:c r="Y426" t="str">
        <x:v>Paved</x:v>
      </x:c>
      <x:c r="Z426" t="str">
        <x:v>B</x:v>
      </x:c>
      <x:c r="AA426" t="str">
        <x:v>Not available in governed source</x:v>
      </x:c>
      <x:c r="AB426" t="str">
        <x:v>Not available in governed source</x:v>
      </x:c>
      <x:c r="AC426" t="str">
        <x:v>FY2025/26</x:v>
      </x:c>
      <x:c r="AD426" t="str">
        <x:v>Modelled</x:v>
      </x:c>
      <x:c r="AE426" t="str">
        <x:v>2026 bridge AADT rebuilt from host-link traffic history, annual collection-link history, same-road corridor history and spatial count-station influence. Vehicle-class values are assigned from functional-class shares.</x:v>
      </x:c>
      <x:c r="AF426" t="str">
        <x:v>Placed on exact national road host link</x:v>
      </x:c>
    </x:row>
    <x:row r="427" ht="15" hidden="0" customHeight="1">
      <x:c r="A427" t="str">
        <x:v>bridge-426</x:v>
      </x:c>
      <x:c r="B427" t="str">
        <x:v>B610</x:v>
      </x:c>
      <x:c r="C427" t="str">
        <x:v>Kanyango Bridge - Kumi</x:v>
      </x:c>
      <x:c r="D427" t="str">
        <x:v>B305_Link03</x:v>
      </x:c>
      <x:c r="E427" t="str">
        <x:v>Kanyago Bridge - Kumi</x:v>
      </x:c>
      <x:c r="F427" t="str">
        <x:v>B</x:v>
      </x:c>
      <x:c r="G427" t="str">
        <x:v>North Eastern</x:v>
      </x:c>
      <x:c r="H427" t="str">
        <x:v>Soroti</x:v>
      </x:c>
      <x:c r="I427" t="str">
        <x:v>Kanyago Bridge Waterway</x:v>
      </x:c>
      <x:c r="J427" t="str">
        <x:v>Good</x:v>
      </x:c>
      <x:c r="K427" t="n">
        <x:v>33.920898</x:v>
      </x:c>
      <x:c r="L427" t="n">
        <x:v>1.41237</x:v>
      </x:c>
      <x:c r="M427" t="n">
        <x:v>33.920686</x:v>
      </x:c>
      <x:c r="N427" t="n">
        <x:v>1.412421</x:v>
      </x:c>
      <x:c r="O427" t="n">
        <x:v>3609.7</x:v>
      </x:c>
      <x:c r="P427" t="n">
        <x:f>IFERROR(INDEX(Assumptions!$B$9:$B$13,MATCH(F427,Assumptions!$A$9:$A$13,0)),0.15)</x:f>
        <x:v>0.16</x:v>
      </x:c>
      <x:c r="Q427" t="n">
        <x:f>ROUND(O427*(1-P427),0)</x:f>
        <x:v>3032</x:v>
      </x:c>
      <x:c r="R427" t="n">
        <x:f>ROUND(O427*P427,0)</x:f>
        <x:v>578</x:v>
      </x:c>
      <x:c r="S427" t="n">
        <x:f>ROUND(O427*IFERROR(INDEX(Assumptions!$C$9:$C$13,MATCH(F427,Assumptions!$A$9:$A$13,0)),0.55),0)</x:f>
        <x:v>2021</x:v>
      </x:c>
      <x:c r="T427" t="n">
        <x:f>ROUND(O427*IFERROR(INDEX(Assumptions!$D$9:$D$13,MATCH(F427,Assumptions!$A$9:$A$13,0)),0.06),0)</x:f>
        <x:v>253</x:v>
      </x:c>
      <x:c r="U427" t="n">
        <x:f>ROUND(O427*IFERROR(INDEX(Assumptions!$E$9:$E$13,MATCH(F427,Assumptions!$A$9:$A$13,0)),0.15),0)</x:f>
        <x:v>578</x:v>
      </x:c>
      <x:c r="V427" t="n">
        <x:f>MAX(0,O427-SUM(R427:U427))</x:f>
        <x:v>179.69999999999982</x:v>
      </x:c>
      <x:c r="W427" t="n">
        <x:f>MIN(100,40+IF(O427&gt;0,20,0)+IF(M427&lt;&gt;"",20,0)+IF(AF427&lt;&gt;"",20,0))</x:f>
        <x:v>100</x:v>
      </x:c>
      <x:c r="X427" t="str">
        <x:v>Placed on exact national road host link</x:v>
      </x:c>
      <x:c r="Y427" t="str">
        <x:v>Paved</x:v>
      </x:c>
      <x:c r="Z427" t="str">
        <x:v>B</x:v>
      </x:c>
      <x:c r="AA427" t="str">
        <x:v>Not available in governed source</x:v>
      </x:c>
      <x:c r="AB427" t="str">
        <x:v>Not available in governed source</x:v>
      </x:c>
      <x:c r="AC427" t="str">
        <x:v>FY2025/26</x:v>
      </x:c>
      <x:c r="AD427" t="str">
        <x:v>Modelled</x:v>
      </x:c>
      <x:c r="AE427" t="str">
        <x:v>2026 bridge AADT rebuilt from host-link traffic history, annual collection-link history, same-road corridor history and spatial count-station influence. Vehicle-class values are assigned from functional-class shares.</x:v>
      </x:c>
      <x:c r="AF427" t="str">
        <x:v>Placed on exact national road host link</x:v>
      </x:c>
    </x:row>
    <x:row r="428" ht="15" hidden="0" customHeight="1">
      <x:c r="A428" t="str">
        <x:v>bridge-427</x:v>
      </x:c>
      <x:c r="B428" t="str">
        <x:v>B611</x:v>
      </x:c>
      <x:c r="C428" t="str">
        <x:v>Kaserem-Kapchorwa-Suam</x:v>
      </x:c>
      <x:c r="D428" t="str">
        <x:v>B304_Link02</x:v>
      </x:c>
      <x:c r="E428" t="str">
        <x:v>Kapchorwa-Suam</x:v>
      </x:c>
      <x:c r="F428" t="str">
        <x:v>B</x:v>
      </x:c>
      <x:c r="G428" t="str">
        <x:v>Eastern</x:v>
      </x:c>
      <x:c r="H428" t="str">
        <x:v>Mbale</x:v>
      </x:c>
      <x:c r="I428" t="str">
        <x:v>Kaserem-Kapchorwa-Suam River</x:v>
      </x:c>
      <x:c r="J428" t="str">
        <x:v>Good</x:v>
      </x:c>
      <x:c r="K428" t="n">
        <x:v>34.743561</x:v>
      </x:c>
      <x:c r="L428" t="n">
        <x:v>1.26685</x:v>
      </x:c>
      <x:c r="M428" t="n">
        <x:v>34.743551</x:v>
      </x:c>
      <x:c r="N428" t="n">
        <x:v>1.266852</x:v>
      </x:c>
      <x:c r="O428" t="n">
        <x:v>1695.6</x:v>
      </x:c>
      <x:c r="P428" t="n">
        <x:f>IFERROR(INDEX(Assumptions!$B$9:$B$13,MATCH(F428,Assumptions!$A$9:$A$13,0)),0.15)</x:f>
        <x:v>0.16</x:v>
      </x:c>
      <x:c r="Q428" t="n">
        <x:f>ROUND(O428*(1-P428),0)</x:f>
        <x:v>1424</x:v>
      </x:c>
      <x:c r="R428" t="n">
        <x:f>ROUND(O428*P428,0)</x:f>
        <x:v>271</x:v>
      </x:c>
      <x:c r="S428" t="n">
        <x:f>ROUND(O428*IFERROR(INDEX(Assumptions!$C$9:$C$13,MATCH(F428,Assumptions!$A$9:$A$13,0)),0.55),0)</x:f>
        <x:v>950</x:v>
      </x:c>
      <x:c r="T428" t="n">
        <x:f>ROUND(O428*IFERROR(INDEX(Assumptions!$D$9:$D$13,MATCH(F428,Assumptions!$A$9:$A$13,0)),0.06),0)</x:f>
        <x:v>119</x:v>
      </x:c>
      <x:c r="U428" t="n">
        <x:f>ROUND(O428*IFERROR(INDEX(Assumptions!$E$9:$E$13,MATCH(F428,Assumptions!$A$9:$A$13,0)),0.15),0)</x:f>
        <x:v>271</x:v>
      </x:c>
      <x:c r="V428" t="n">
        <x:f>MAX(0,O428-SUM(R428:U428))</x:f>
        <x:v>84.59999999999991</x:v>
      </x:c>
      <x:c r="W428" t="n">
        <x:f>MIN(100,40+IF(O428&gt;0,20,0)+IF(M428&lt;&gt;"",20,0)+IF(AF428&lt;&gt;"",20,0))</x:f>
        <x:v>100</x:v>
      </x:c>
      <x:c r="X428" t="str">
        <x:v>Placed on exact national road host link</x:v>
      </x:c>
      <x:c r="Y428" t="str">
        <x:v>Paved</x:v>
      </x:c>
      <x:c r="Z428" t="str">
        <x:v>B</x:v>
      </x:c>
      <x:c r="AA428" t="str">
        <x:v>Not available in governed source</x:v>
      </x:c>
      <x:c r="AB428" t="str">
        <x:v>Not available in governed source</x:v>
      </x:c>
      <x:c r="AC428" t="str">
        <x:v>FY2025/26</x:v>
      </x:c>
      <x:c r="AD428" t="str">
        <x:v>Modelled</x:v>
      </x:c>
      <x:c r="AE428" t="str">
        <x:v>2026 bridge AADT rebuilt from host-link traffic history, annual collection-link history, same-road corridor history and spatial count-station influence. Vehicle-class values are assigned from functional-class shares.</x:v>
      </x:c>
      <x:c r="AF428" t="str">
        <x:v>Placed on exact national road host link</x:v>
      </x:c>
    </x:row>
    <x:row r="429" ht="15" hidden="0" customHeight="1">
      <x:c r="A429" t="str">
        <x:v>bridge-428</x:v>
      </x:c>
      <x:c r="B429" t="str">
        <x:v>B612</x:v>
      </x:c>
      <x:c r="C429" t="str">
        <x:v>Kaserem-Kapchorwa-Suam</x:v>
      </x:c>
      <x:c r="D429" t="str">
        <x:v>B304_Link02</x:v>
      </x:c>
      <x:c r="E429" t="str">
        <x:v>Kapchorwa-Suam</x:v>
      </x:c>
      <x:c r="F429" t="str">
        <x:v>B</x:v>
      </x:c>
      <x:c r="G429" t="str">
        <x:v>Eastern</x:v>
      </x:c>
      <x:c r="H429" t="str">
        <x:v>Mbale</x:v>
      </x:c>
      <x:c r="I429" t="str">
        <x:v>Kaserem-Kapchorwa-Suam River</x:v>
      </x:c>
      <x:c r="J429" t="str">
        <x:v>Good</x:v>
      </x:c>
      <x:c r="K429" t="n">
        <x:v>34.633598</x:v>
      </x:c>
      <x:c r="L429" t="n">
        <x:v>1.34811</x:v>
      </x:c>
      <x:c r="M429" t="n">
        <x:v>34.633584</x:v>
      </x:c>
      <x:c r="N429" t="n">
        <x:v>1.348123</x:v>
      </x:c>
      <x:c r="O429" t="n">
        <x:v>1695.6</x:v>
      </x:c>
      <x:c r="P429" t="n">
        <x:f>IFERROR(INDEX(Assumptions!$B$9:$B$13,MATCH(F429,Assumptions!$A$9:$A$13,0)),0.15)</x:f>
        <x:v>0.16</x:v>
      </x:c>
      <x:c r="Q429" t="n">
        <x:f>ROUND(O429*(1-P429),0)</x:f>
        <x:v>1424</x:v>
      </x:c>
      <x:c r="R429" t="n">
        <x:f>ROUND(O429*P429,0)</x:f>
        <x:v>271</x:v>
      </x:c>
      <x:c r="S429" t="n">
        <x:f>ROUND(O429*IFERROR(INDEX(Assumptions!$C$9:$C$13,MATCH(F429,Assumptions!$A$9:$A$13,0)),0.55),0)</x:f>
        <x:v>950</x:v>
      </x:c>
      <x:c r="T429" t="n">
        <x:f>ROUND(O429*IFERROR(INDEX(Assumptions!$D$9:$D$13,MATCH(F429,Assumptions!$A$9:$A$13,0)),0.06),0)</x:f>
        <x:v>119</x:v>
      </x:c>
      <x:c r="U429" t="n">
        <x:f>ROUND(O429*IFERROR(INDEX(Assumptions!$E$9:$E$13,MATCH(F429,Assumptions!$A$9:$A$13,0)),0.15),0)</x:f>
        <x:v>271</x:v>
      </x:c>
      <x:c r="V429" t="n">
        <x:f>MAX(0,O429-SUM(R429:U429))</x:f>
        <x:v>84.59999999999991</x:v>
      </x:c>
      <x:c r="W429" t="n">
        <x:f>MIN(100,40+IF(O429&gt;0,20,0)+IF(M429&lt;&gt;"",20,0)+IF(AF429&lt;&gt;"",20,0))</x:f>
        <x:v>100</x:v>
      </x:c>
      <x:c r="X429" t="str">
        <x:v>Placed on exact national road host link</x:v>
      </x:c>
      <x:c r="Y429" t="str">
        <x:v>Paved</x:v>
      </x:c>
      <x:c r="Z429" t="str">
        <x:v>B</x:v>
      </x:c>
      <x:c r="AA429" t="str">
        <x:v>Not available in governed source</x:v>
      </x:c>
      <x:c r="AB429" t="str">
        <x:v>Not available in governed source</x:v>
      </x:c>
      <x:c r="AC429" t="str">
        <x:v>FY2025/26</x:v>
      </x:c>
      <x:c r="AD429" t="str">
        <x:v>Modelled</x:v>
      </x:c>
      <x:c r="AE429" t="str">
        <x:v>2026 bridge AADT rebuilt from host-link traffic history, annual collection-link history, same-road corridor history and spatial count-station influence. Vehicle-class values are assigned from functional-class shares.</x:v>
      </x:c>
      <x:c r="AF429" t="str">
        <x:v>Placed on exact national road host link</x:v>
      </x:c>
    </x:row>
    <x:row r="430" ht="15" hidden="0" customHeight="1">
      <x:c r="A430" t="str">
        <x:v>bridge-429</x:v>
      </x:c>
      <x:c r="B430" t="str">
        <x:v>B630</x:v>
      </x:c>
      <x:c r="C430" t="str">
        <x:v>Mayanja</x:v>
      </x:c>
      <x:c r="D430" t="str">
        <x:v>C608_Link01</x:v>
      </x:c>
      <x:c r="E430" t="str">
        <x:v>Kyenda-Banda-River Mayanja</x:v>
      </x:c>
      <x:c r="F430" t="str">
        <x:v>C</x:v>
      </x:c>
      <x:c r="G430" t="str">
        <x:v>Western</x:v>
      </x:c>
      <x:c r="H430" t="str">
        <x:v>Hoima</x:v>
      </x:c>
      <x:c r="I430" t="str">
        <x:v>Mayanja River</x:v>
      </x:c>
      <x:c r="J430" t="str">
        <x:v>Good</x:v>
      </x:c>
      <x:c r="K430" t="n">
        <x:v>31.908895</x:v>
      </x:c>
      <x:c r="L430" t="n">
        <x:v>1.121959</x:v>
      </x:c>
      <x:c r="M430" t="n">
        <x:v>31.826388</x:v>
      </x:c>
      <x:c r="N430" t="n">
        <x:v>1.074871</x:v>
      </x:c>
      <x:c r="O430" t="n">
        <x:v>2559.17</x:v>
      </x:c>
      <x:c r="P430" t="n">
        <x:f>IFERROR(INDEX(Assumptions!$B$9:$B$13,MATCH(F430,Assumptions!$A$9:$A$13,0)),0.15)</x:f>
        <x:v>0.28</x:v>
      </x:c>
      <x:c r="Q430" t="n">
        <x:f>ROUND(O430*(1-P430),0)</x:f>
        <x:v>1843</x:v>
      </x:c>
      <x:c r="R430" t="n">
        <x:f>ROUND(O430*P430,0)</x:f>
        <x:v>717</x:v>
      </x:c>
      <x:c r="S430" t="n">
        <x:f>ROUND(O430*IFERROR(INDEX(Assumptions!$C$9:$C$13,MATCH(F430,Assumptions!$A$9:$A$13,0)),0.55),0)</x:f>
        <x:v>1280</x:v>
      </x:c>
      <x:c r="T430" t="n">
        <x:f>ROUND(O430*IFERROR(INDEX(Assumptions!$D$9:$D$13,MATCH(F430,Assumptions!$A$9:$A$13,0)),0.06),0)</x:f>
        <x:v>128</x:v>
      </x:c>
      <x:c r="U430" t="n">
        <x:f>ROUND(O430*IFERROR(INDEX(Assumptions!$E$9:$E$13,MATCH(F430,Assumptions!$A$9:$A$13,0)),0.15),0)</x:f>
        <x:v>282</x:v>
      </x:c>
      <x:c r="V430" t="n">
        <x:f>MAX(0,O430-SUM(R430:U430))</x:f>
        <x:v>152.17000000000007</x:v>
      </x:c>
      <x:c r="W430" t="n">
        <x:f>MIN(100,40+IF(O430&gt;0,20,0)+IF(M430&lt;&gt;"",20,0)+IF(AF430&lt;&gt;"",20,0))</x:f>
        <x:v>100</x:v>
      </x:c>
      <x:c r="X430" t="str">
        <x:v>Placed on exact national road host link</x:v>
      </x:c>
      <x:c r="Y430" t="str">
        <x:v>Unpaved</x:v>
      </x:c>
      <x:c r="Z430" t="str">
        <x:v>C</x:v>
      </x:c>
      <x:c r="AA430" t="str">
        <x:v>Not available in governed source</x:v>
      </x:c>
      <x:c r="AB430" t="str">
        <x:v>Not available in governed source</x:v>
      </x:c>
      <x:c r="AC430" t="str">
        <x:v>FY2025/26</x:v>
      </x:c>
      <x:c r="AD430" t="str">
        <x:v>Modelled</x:v>
      </x:c>
      <x:c r="AE430" t="str">
        <x:v>2026 bridge AADT rebuilt from host-link traffic history, annual collection-link history, same-road corridor history and spatial count-station influence. Vehicle-class values are assigned from functional-class shares.</x:v>
      </x:c>
      <x:c r="AF430" t="str">
        <x:v>Placed on exact national road host link</x:v>
      </x:c>
    </x:row>
    <x:row r="431" ht="15" hidden="0" customHeight="1">
      <x:c r="A431" t="str">
        <x:v>bridge-430</x:v>
      </x:c>
      <x:c r="B431" t="str">
        <x:v>B631</x:v>
      </x:c>
      <x:c r="C431" t="str">
        <x:v>RUTOHA BRIDGE</x:v>
      </x:c>
      <x:c r="D431" t="str">
        <x:v>C596_Link01</x:v>
      </x:c>
      <x:c r="E431" t="str">
        <x:v>Kiziranfumbi - Kabaale</x:v>
      </x:c>
      <x:c r="F431" t="str">
        <x:v>C</x:v>
      </x:c>
      <x:c r="G431" t="str">
        <x:v>Western</x:v>
      </x:c>
      <x:c r="H431" t="str">
        <x:v>Hoima</x:v>
      </x:c>
      <x:c r="I431" t="str">
        <x:v>Kiziranfumbi Waterway</x:v>
      </x:c>
      <x:c r="J431" t="str">
        <x:v>Good</x:v>
      </x:c>
      <x:c r="K431" t="n">
        <x:v>31.00145</x:v>
      </x:c>
      <x:c r="L431" t="n">
        <x:v>1.41141</x:v>
      </x:c>
      <x:c r="M431" t="n">
        <x:v>31.181913</x:v>
      </x:c>
      <x:c r="N431" t="n">
        <x:v>1.364526</x:v>
      </x:c>
      <x:c r="O431" t="n">
        <x:v>1559.08</x:v>
      </x:c>
      <x:c r="P431" t="n">
        <x:f>IFERROR(INDEX(Assumptions!$B$9:$B$13,MATCH(F431,Assumptions!$A$9:$A$13,0)),0.15)</x:f>
        <x:v>0.28</x:v>
      </x:c>
      <x:c r="Q431" t="n">
        <x:f>ROUND(O431*(1-P431),0)</x:f>
        <x:v>1123</x:v>
      </x:c>
      <x:c r="R431" t="n">
        <x:f>ROUND(O431*P431,0)</x:f>
        <x:v>437</x:v>
      </x:c>
      <x:c r="S431" t="n">
        <x:f>ROUND(O431*IFERROR(INDEX(Assumptions!$C$9:$C$13,MATCH(F431,Assumptions!$A$9:$A$13,0)),0.55),0)</x:f>
        <x:v>780</x:v>
      </x:c>
      <x:c r="T431" t="n">
        <x:f>ROUND(O431*IFERROR(INDEX(Assumptions!$D$9:$D$13,MATCH(F431,Assumptions!$A$9:$A$13,0)),0.06),0)</x:f>
        <x:v>78</x:v>
      </x:c>
      <x:c r="U431" t="n">
        <x:f>ROUND(O431*IFERROR(INDEX(Assumptions!$E$9:$E$13,MATCH(F431,Assumptions!$A$9:$A$13,0)),0.15),0)</x:f>
        <x:v>171</x:v>
      </x:c>
      <x:c r="V431" t="n">
        <x:f>MAX(0,O431-SUM(R431:U431))</x:f>
        <x:v>93.07999999999993</x:v>
      </x:c>
      <x:c r="W431" t="n">
        <x:f>MIN(100,40+IF(O431&gt;0,20,0)+IF(M431&lt;&gt;"",20,0)+IF(AF431&lt;&gt;"",20,0))</x:f>
        <x:v>100</x:v>
      </x:c>
      <x:c r="X431" t="str">
        <x:v>Placed on exact national road host link</x:v>
      </x:c>
      <x:c r="Y431" t="str">
        <x:v>Paved</x:v>
      </x:c>
      <x:c r="Z431" t="str">
        <x:v>C</x:v>
      </x:c>
      <x:c r="AA431" t="str">
        <x:v>Not available in governed source</x:v>
      </x:c>
      <x:c r="AB431" t="str">
        <x:v>Not available in governed source</x:v>
      </x:c>
      <x:c r="AC431" t="str">
        <x:v>FY2025/26</x:v>
      </x:c>
      <x:c r="AD431" t="str">
        <x:v>Modelled</x:v>
      </x:c>
      <x:c r="AE431" t="str">
        <x:v>2026 bridge AADT rebuilt from host-link traffic history, annual collection-link history, same-road corridor history and spatial count-station influence. Vehicle-class values are assigned from functional-class shares.</x:v>
      </x:c>
      <x:c r="AF431" t="str">
        <x:v>Placed on exact national road host link</x:v>
      </x:c>
    </x:row>
    <x:row r="432" ht="15" hidden="0" customHeight="1">
      <x:c r="A432" t="str">
        <x:v>bridge-431</x:v>
      </x:c>
      <x:c r="B432" t="str">
        <x:v>B632</x:v>
      </x:c>
      <x:c r="C432" t="str">
        <x:v>KINGFISHER</x:v>
      </x:c>
      <x:c r="D432" t="str">
        <x:v>C591_Link01</x:v>
      </x:c>
      <x:c r="E432" t="str">
        <x:v>Kabwoya - Kituti</x:v>
      </x:c>
      <x:c r="F432" t="str">
        <x:v>C</x:v>
      </x:c>
      <x:c r="G432" t="str">
        <x:v>Western</x:v>
      </x:c>
      <x:c r="H432" t="str">
        <x:v>Hoima</x:v>
      </x:c>
      <x:c r="I432" t="str">
        <x:v>King Fisher</x:v>
      </x:c>
      <x:c r="J432" t="str">
        <x:v>Good</x:v>
      </x:c>
      <x:c r="K432" t="n">
        <x:v>30.757919</x:v>
      </x:c>
      <x:c r="L432" t="n">
        <x:v>1.24028</x:v>
      </x:c>
      <x:c r="M432" t="n">
        <x:v>30.767483</x:v>
      </x:c>
      <x:c r="N432" t="n">
        <x:v>1.226231</x:v>
      </x:c>
      <x:c r="O432" t="n">
        <x:v>1106.1</x:v>
      </x:c>
      <x:c r="P432" t="n">
        <x:f>IFERROR(INDEX(Assumptions!$B$9:$B$13,MATCH(F432,Assumptions!$A$9:$A$13,0)),0.15)</x:f>
        <x:v>0.28</x:v>
      </x:c>
      <x:c r="Q432" t="n">
        <x:f>ROUND(O432*(1-P432),0)</x:f>
        <x:v>796</x:v>
      </x:c>
      <x:c r="R432" t="n">
        <x:f>ROUND(O432*P432,0)</x:f>
        <x:v>310</x:v>
      </x:c>
      <x:c r="S432" t="n">
        <x:f>ROUND(O432*IFERROR(INDEX(Assumptions!$C$9:$C$13,MATCH(F432,Assumptions!$A$9:$A$13,0)),0.55),0)</x:f>
        <x:v>553</x:v>
      </x:c>
      <x:c r="T432" t="n">
        <x:f>ROUND(O432*IFERROR(INDEX(Assumptions!$D$9:$D$13,MATCH(F432,Assumptions!$A$9:$A$13,0)),0.06),0)</x:f>
        <x:v>55</x:v>
      </x:c>
      <x:c r="U432" t="n">
        <x:f>ROUND(O432*IFERROR(INDEX(Assumptions!$E$9:$E$13,MATCH(F432,Assumptions!$A$9:$A$13,0)),0.15),0)</x:f>
        <x:v>122</x:v>
      </x:c>
      <x:c r="V432" t="n">
        <x:f>MAX(0,O432-SUM(R432:U432))</x:f>
        <x:v>66.09999999999991</x:v>
      </x:c>
      <x:c r="W432" t="n">
        <x:f>MIN(100,40+IF(O432&gt;0,20,0)+IF(M432&lt;&gt;"",20,0)+IF(AF432&lt;&gt;"",20,0))</x:f>
        <x:v>100</x:v>
      </x:c>
      <x:c r="X432" t="str">
        <x:v>Placed on exact national road host link</x:v>
      </x:c>
      <x:c r="Y432" t="str">
        <x:v>Unpaved</x:v>
      </x:c>
      <x:c r="Z432" t="str">
        <x:v>C</x:v>
      </x:c>
      <x:c r="AA432" t="str">
        <x:v>Not available in governed source</x:v>
      </x:c>
      <x:c r="AB432" t="str">
        <x:v>Not available in governed source</x:v>
      </x:c>
      <x:c r="AC432" t="str">
        <x:v>FY2025/26</x:v>
      </x:c>
      <x:c r="AD432" t="str">
        <x:v>Modelled</x:v>
      </x:c>
      <x:c r="AE432" t="str">
        <x:v>2026 bridge AADT rebuilt from host-link traffic history, annual collection-link history, same-road corridor history and spatial count-station influence. Vehicle-class values are assigned from functional-class shares.</x:v>
      </x:c>
      <x:c r="AF432" t="str">
        <x:v>Placed on exact national road host link</x:v>
      </x:c>
    </x:row>
    <x:row r="433" ht="15" hidden="0" customHeight="1">
      <x:c r="A433" t="str">
        <x:v>bridge-432</x:v>
      </x:c>
      <x:c r="B433" t="str">
        <x:v>B634</x:v>
      </x:c>
      <x:c r="C433" t="str">
        <x:v>MPANGA</x:v>
      </x:c>
      <x:c r="D433" t="str">
        <x:v>C571_Link01</x:v>
      </x:c>
      <x:c r="E433" t="str">
        <x:v>Kamwenge - Kabambiro - Bigusyo - Bihanga</x:v>
      </x:c>
      <x:c r="F433" t="str">
        <x:v>C</x:v>
      </x:c>
      <x:c r="G433" t="str">
        <x:v>Western</x:v>
      </x:c>
      <x:c r="H433" t="str">
        <x:v>Fort Portal</x:v>
      </x:c>
      <x:c r="I433" t="str">
        <x:v>MPANGA</x:v>
      </x:c>
      <x:c r="J433" t="str">
        <x:v>Good</x:v>
      </x:c>
      <x:c r="K433" t="n">
        <x:v>30.4907</x:v>
      </x:c>
      <x:c r="L433" t="n">
        <x:v>0.15818</x:v>
      </x:c>
      <x:c r="M433" t="n">
        <x:v>30.490207</x:v>
      </x:c>
      <x:c r="N433" t="n">
        <x:v>0.158282</x:v>
      </x:c>
      <x:c r="O433" t="n">
        <x:v>426.62</x:v>
      </x:c>
      <x:c r="P433" t="n">
        <x:f>IFERROR(INDEX(Assumptions!$B$9:$B$13,MATCH(F433,Assumptions!$A$9:$A$13,0)),0.15)</x:f>
        <x:v>0.28</x:v>
      </x:c>
      <x:c r="Q433" t="n">
        <x:f>ROUND(O433*(1-P433),0)</x:f>
        <x:v>307</x:v>
      </x:c>
      <x:c r="R433" t="n">
        <x:f>ROUND(O433*P433,0)</x:f>
        <x:v>119</x:v>
      </x:c>
      <x:c r="S433" t="n">
        <x:f>ROUND(O433*IFERROR(INDEX(Assumptions!$C$9:$C$13,MATCH(F433,Assumptions!$A$9:$A$13,0)),0.55),0)</x:f>
        <x:v>213</x:v>
      </x:c>
      <x:c r="T433" t="n">
        <x:f>ROUND(O433*IFERROR(INDEX(Assumptions!$D$9:$D$13,MATCH(F433,Assumptions!$A$9:$A$13,0)),0.06),0)</x:f>
        <x:v>21</x:v>
      </x:c>
      <x:c r="U433" t="n">
        <x:f>ROUND(O433*IFERROR(INDEX(Assumptions!$E$9:$E$13,MATCH(F433,Assumptions!$A$9:$A$13,0)),0.15),0)</x:f>
        <x:v>47</x:v>
      </x:c>
      <x:c r="V433" t="n">
        <x:f>MAX(0,O433-SUM(R433:U433))</x:f>
        <x:v>26.620000000000005</x:v>
      </x:c>
      <x:c r="W433" t="n">
        <x:f>MIN(100,40+IF(O433&gt;0,20,0)+IF(M433&lt;&gt;"",20,0)+IF(AF433&lt;&gt;"",20,0))</x:f>
        <x:v>100</x:v>
      </x:c>
      <x:c r="X433" t="str">
        <x:v>Placed on exact national road host link</x:v>
      </x:c>
      <x:c r="Y433" t="str">
        <x:v>Unpaved</x:v>
      </x:c>
      <x:c r="Z433" t="str">
        <x:v>C</x:v>
      </x:c>
      <x:c r="AA433" t="str">
        <x:v>Not available in governed source</x:v>
      </x:c>
      <x:c r="AB433" t="str">
        <x:v>Not available in governed source</x:v>
      </x:c>
      <x:c r="AC433" t="str">
        <x:v>FY2025/26</x:v>
      </x:c>
      <x:c r="AD433" t="str">
        <x:v>Modelled</x:v>
      </x:c>
      <x:c r="AE433" t="str">
        <x:v>2026 bridge AADT rebuilt from host-link traffic history, annual collection-link history, same-road corridor history and spatial count-station influence. Vehicle-class values are assigned from functional-class shares.</x:v>
      </x:c>
      <x:c r="AF433" t="str">
        <x:v>Placed on exact national road host link</x:v>
      </x:c>
    </x:row>
    <x:row r="434" ht="15" hidden="0" customHeight="1">
      <x:c r="A434" t="str">
        <x:v>bridge-433</x:v>
      </x:c>
      <x:c r="B434" t="str">
        <x:v>B635</x:v>
      </x:c>
      <x:c r="C434" t="str">
        <x:v>WAAKI BRIDGE</x:v>
      </x:c>
      <x:c r="D434" t="str">
        <x:v>C590_Link01</x:v>
      </x:c>
      <x:c r="E434" t="str">
        <x:v>Hoima (Parajwoki) -Biso</x:v>
      </x:c>
      <x:c r="F434" t="str">
        <x:v>C</x:v>
      </x:c>
      <x:c r="G434" t="str">
        <x:v>Western</x:v>
      </x:c>
      <x:c r="H434" t="str">
        <x:v>Hoima</x:v>
      </x:c>
      <x:c r="I434" t="str">
        <x:v>WAAKI RIVER</x:v>
      </x:c>
      <x:c r="J434" t="str">
        <x:v>Good</x:v>
      </x:c>
      <x:c r="K434" t="n">
        <x:v>31.376169</x:v>
      </x:c>
      <x:c r="L434" t="n">
        <x:v>1.70923</x:v>
      </x:c>
      <x:c r="M434" t="n">
        <x:v>31.374771</x:v>
      </x:c>
      <x:c r="N434" t="n">
        <x:v>1.707702</x:v>
      </x:c>
      <x:c r="O434" t="n">
        <x:v>2600.03</x:v>
      </x:c>
      <x:c r="P434" t="n">
        <x:f>IFERROR(INDEX(Assumptions!$B$9:$B$13,MATCH(F434,Assumptions!$A$9:$A$13,0)),0.15)</x:f>
        <x:v>0.28</x:v>
      </x:c>
      <x:c r="Q434" t="n">
        <x:f>ROUND(O434*(1-P434),0)</x:f>
        <x:v>1872</x:v>
      </x:c>
      <x:c r="R434" t="n">
        <x:f>ROUND(O434*P434,0)</x:f>
        <x:v>728</x:v>
      </x:c>
      <x:c r="S434" t="n">
        <x:f>ROUND(O434*IFERROR(INDEX(Assumptions!$C$9:$C$13,MATCH(F434,Assumptions!$A$9:$A$13,0)),0.55),0)</x:f>
        <x:v>1300</x:v>
      </x:c>
      <x:c r="T434" t="n">
        <x:f>ROUND(O434*IFERROR(INDEX(Assumptions!$D$9:$D$13,MATCH(F434,Assumptions!$A$9:$A$13,0)),0.06),0)</x:f>
        <x:v>130</x:v>
      </x:c>
      <x:c r="U434" t="n">
        <x:f>ROUND(O434*IFERROR(INDEX(Assumptions!$E$9:$E$13,MATCH(F434,Assumptions!$A$9:$A$13,0)),0.15),0)</x:f>
        <x:v>286</x:v>
      </x:c>
      <x:c r="V434" t="n">
        <x:f>MAX(0,O434-SUM(R434:U434))</x:f>
        <x:v>156.0300000000002</x:v>
      </x:c>
      <x:c r="W434" t="n">
        <x:f>MIN(100,40+IF(O434&gt;0,20,0)+IF(M434&lt;&gt;"",20,0)+IF(AF434&lt;&gt;"",20,0))</x:f>
        <x:v>100</x:v>
      </x:c>
      <x:c r="X434" t="str">
        <x:v>Placed on exact national road host link</x:v>
      </x:c>
      <x:c r="Y434" t="str">
        <x:v>Paved</x:v>
      </x:c>
      <x:c r="Z434" t="str">
        <x:v>C</x:v>
      </x:c>
      <x:c r="AA434" t="str">
        <x:v>Not available in governed source</x:v>
      </x:c>
      <x:c r="AB434" t="str">
        <x:v>Not available in governed source</x:v>
      </x:c>
      <x:c r="AC434" t="str">
        <x:v>FY2025/26</x:v>
      </x:c>
      <x:c r="AD434" t="str">
        <x:v>Modelled</x:v>
      </x:c>
      <x:c r="AE434" t="str">
        <x:v>2026 bridge AADT rebuilt from host-link traffic history, annual collection-link history, same-road corridor history and spatial count-station influence. Vehicle-class values are assigned from functional-class shares.</x:v>
      </x:c>
      <x:c r="AF434" t="str">
        <x:v>Placed on exact national road host link</x:v>
      </x:c>
    </x:row>
    <x:row r="435" ht="15" hidden="0" customHeight="1">
      <x:c r="A435" t="str">
        <x:v>bridge-434</x:v>
      </x:c>
      <x:c r="B435" t="str">
        <x:v>B637</x:v>
      </x:c>
      <x:c r="C435" t="str">
        <x:v>KAFU</x:v>
      </x:c>
      <x:c r="D435" t="str">
        <x:v>A006_Link06</x:v>
      </x:c>
      <x:c r="E435" t="str">
        <x:v>Nakasongola - Kafu</x:v>
      </x:c>
      <x:c r="F435" t="str">
        <x:v>A</x:v>
      </x:c>
      <x:c r="G435" t="str">
        <x:v>Central</x:v>
      </x:c>
      <x:c r="H435" t="str">
        <x:v>Luwero</x:v>
      </x:c>
      <x:c r="I435" t="str">
        <x:v>Kafu River</x:v>
      </x:c>
      <x:c r="J435" t="str">
        <x:v>Satisfactory</x:v>
      </x:c>
      <x:c r="K435" t="n">
        <x:v>32.041721</x:v>
      </x:c>
      <x:c r="L435" t="n">
        <x:v>1.54254</x:v>
      </x:c>
      <x:c r="M435" t="n">
        <x:v>32.041732</x:v>
      </x:c>
      <x:c r="N435" t="n">
        <x:v>1.542539</x:v>
      </x:c>
      <x:c r="O435" t="n">
        <x:v>3799.64</x:v>
      </x:c>
      <x:c r="P435" t="n">
        <x:f>IFERROR(INDEX(Assumptions!$B$9:$B$13,MATCH(F435,Assumptions!$A$9:$A$13,0)),0.15)</x:f>
        <x:v>0.12</x:v>
      </x:c>
      <x:c r="Q435" t="n">
        <x:f>ROUND(O435*(1-P435),0)</x:f>
        <x:v>3344</x:v>
      </x:c>
      <x:c r="R435" t="n">
        <x:f>ROUND(O435*P435,0)</x:f>
        <x:v>456</x:v>
      </x:c>
      <x:c r="S435" t="n">
        <x:f>ROUND(O435*IFERROR(INDEX(Assumptions!$C$9:$C$13,MATCH(F435,Assumptions!$A$9:$A$13,0)),0.55),0)</x:f>
        <x:v>2204</x:v>
      </x:c>
      <x:c r="T435" t="n">
        <x:f>ROUND(O435*IFERROR(INDEX(Assumptions!$D$9:$D$13,MATCH(F435,Assumptions!$A$9:$A$13,0)),0.06),0)</x:f>
        <x:v>304</x:v>
      </x:c>
      <x:c r="U435" t="n">
        <x:f>ROUND(O435*IFERROR(INDEX(Assumptions!$E$9:$E$13,MATCH(F435,Assumptions!$A$9:$A$13,0)),0.15),0)</x:f>
        <x:v>684</x:v>
      </x:c>
      <x:c r="V435" t="n">
        <x:f>MAX(0,O435-SUM(R435:U435))</x:f>
        <x:v>151.63999999999987</x:v>
      </x:c>
      <x:c r="W435" t="n">
        <x:f>MIN(100,40+IF(O435&gt;0,20,0)+IF(M435&lt;&gt;"",20,0)+IF(AF435&lt;&gt;"",20,0))</x:f>
        <x:v>100</x:v>
      </x:c>
      <x:c r="X435" t="str">
        <x:v>Placed on exact national road host link</x:v>
      </x:c>
      <x:c r="Y435" t="str">
        <x:v>Paved</x:v>
      </x:c>
      <x:c r="Z435" t="str">
        <x:v>A</x:v>
      </x:c>
      <x:c r="AA435" t="str">
        <x:v>Not available in governed source</x:v>
      </x:c>
      <x:c r="AB435" t="str">
        <x:v>Not available in governed source</x:v>
      </x:c>
      <x:c r="AC435" t="str">
        <x:v>FY2025/26</x:v>
      </x:c>
      <x:c r="AD435" t="str">
        <x:v>Modelled</x:v>
      </x:c>
      <x:c r="AE435" t="str">
        <x:v>2026 bridge AADT rebuilt from host-link traffic history, annual collection-link history, same-road corridor history and spatial count-station influence. Vehicle-class values are assigned from functional-class shares.</x:v>
      </x:c>
      <x:c r="AF435" t="str">
        <x:v>Placed on exact national road host link</x:v>
      </x:c>
    </x:row>
    <x:row r="436" ht="15" hidden="0" customHeight="1">
      <x:c r="A436" t="str">
        <x:v>bridge-435</x:v>
      </x:c>
      <x:c r="B436" t="str">
        <x:v>B638</x:v>
      </x:c>
      <x:c r="C436" t="str">
        <x:v>SONJA</x:v>
      </x:c>
      <x:c r="D436" t="str">
        <x:v>C557_Link01</x:v>
      </x:c>
      <x:c r="E436" t="str">
        <x:v>Kasisi - Rutete -Kabata-Rwenkenzi-Kyanga</x:v>
      </x:c>
      <x:c r="F436" t="str">
        <x:v>C</x:v>
      </x:c>
      <x:c r="G436" t="str">
        <x:v>Western</x:v>
      </x:c>
      <x:c r="H436" t="str">
        <x:v>Fort Portal</x:v>
      </x:c>
      <x:c r="I436" t="str">
        <x:v>SONJA</x:v>
      </x:c>
      <x:c r="J436" t="str">
        <x:v>Good</x:v>
      </x:c>
      <x:c r="K436" t="n">
        <x:v>30.254009</x:v>
      </x:c>
      <x:c r="L436" t="n">
        <x:v>0.41896</x:v>
      </x:c>
      <x:c r="M436" t="n">
        <x:v>30.25401</x:v>
      </x:c>
      <x:c r="N436" t="n">
        <x:v>0.418831</x:v>
      </x:c>
      <x:c r="O436" t="n">
        <x:v>4005.53</x:v>
      </x:c>
      <x:c r="P436" t="n">
        <x:f>IFERROR(INDEX(Assumptions!$B$9:$B$13,MATCH(F436,Assumptions!$A$9:$A$13,0)),0.15)</x:f>
        <x:v>0.28</x:v>
      </x:c>
      <x:c r="Q436" t="n">
        <x:f>ROUND(O436*(1-P436),0)</x:f>
        <x:v>2884</x:v>
      </x:c>
      <x:c r="R436" t="n">
        <x:f>ROUND(O436*P436,0)</x:f>
        <x:v>1122</x:v>
      </x:c>
      <x:c r="S436" t="n">
        <x:f>ROUND(O436*IFERROR(INDEX(Assumptions!$C$9:$C$13,MATCH(F436,Assumptions!$A$9:$A$13,0)),0.55),0)</x:f>
        <x:v>2003</x:v>
      </x:c>
      <x:c r="T436" t="n">
        <x:f>ROUND(O436*IFERROR(INDEX(Assumptions!$D$9:$D$13,MATCH(F436,Assumptions!$A$9:$A$13,0)),0.06),0)</x:f>
        <x:v>200</x:v>
      </x:c>
      <x:c r="U436" t="n">
        <x:f>ROUND(O436*IFERROR(INDEX(Assumptions!$E$9:$E$13,MATCH(F436,Assumptions!$A$9:$A$13,0)),0.15),0)</x:f>
        <x:v>441</x:v>
      </x:c>
      <x:c r="V436" t="n">
        <x:f>MAX(0,O436-SUM(R436:U436))</x:f>
        <x:v>239.5300000000002</x:v>
      </x:c>
      <x:c r="W436" t="n">
        <x:f>MIN(100,40+IF(O436&gt;0,20,0)+IF(M436&lt;&gt;"",20,0)+IF(AF436&lt;&gt;"",20,0))</x:f>
        <x:v>100</x:v>
      </x:c>
      <x:c r="X436" t="str">
        <x:v>Placed on exact national road host link</x:v>
      </x:c>
      <x:c r="Y436" t="str">
        <x:v>Unpaved</x:v>
      </x:c>
      <x:c r="Z436" t="str">
        <x:v>C</x:v>
      </x:c>
      <x:c r="AA436" t="str">
        <x:v>Not available in governed source</x:v>
      </x:c>
      <x:c r="AB436" t="str">
        <x:v>Not available in governed source</x:v>
      </x:c>
      <x:c r="AC436" t="str">
        <x:v>FY2025/26</x:v>
      </x:c>
      <x:c r="AD436" t="str">
        <x:v>Modelled</x:v>
      </x:c>
      <x:c r="AE436" t="str">
        <x:v>2026 bridge AADT rebuilt from host-link traffic history, annual collection-link history, same-road corridor history and spatial count-station influence. Vehicle-class values are assigned from functional-class shares.</x:v>
      </x:c>
      <x:c r="AF436" t="str">
        <x:v>Placed on exact national road host link</x:v>
      </x:c>
    </x:row>
    <x:row r="437" ht="15" hidden="0" customHeight="1">
      <x:c r="A437" t="str">
        <x:v>bridge-436</x:v>
      </x:c>
      <x:c r="B437" t="str">
        <x:v>B639</x:v>
      </x:c>
      <x:c r="C437" t="str">
        <x:v>BURYAMBWA</x:v>
      </x:c>
      <x:c r="D437" t="str">
        <x:v>C545_Link01</x:v>
      </x:c>
      <x:c r="E437" t="str">
        <x:v>Nyahuka - Busalu - Butoogo</x:v>
      </x:c>
      <x:c r="F437" t="str">
        <x:v>C</x:v>
      </x:c>
      <x:c r="G437" t="str">
        <x:v>Western</x:v>
      </x:c>
      <x:c r="H437" t="str">
        <x:v>Fort Portal</x:v>
      </x:c>
      <x:c r="I437" t="str">
        <x:v>BURYAMBWA</x:v>
      </x:c>
      <x:c r="J437" t="str">
        <x:v>Marginal</x:v>
      </x:c>
      <x:c r="K437" t="n">
        <x:v>30.01375</x:v>
      </x:c>
      <x:c r="L437" t="n">
        <x:v>0.68622</x:v>
      </x:c>
      <x:c r="M437" t="n">
        <x:v>30.01438</x:v>
      </x:c>
      <x:c r="N437" t="n">
        <x:v>0.686215</x:v>
      </x:c>
      <x:c r="O437" t="n">
        <x:v>4005.53</x:v>
      </x:c>
      <x:c r="P437" t="n">
        <x:f>IFERROR(INDEX(Assumptions!$B$9:$B$13,MATCH(F437,Assumptions!$A$9:$A$13,0)),0.15)</x:f>
        <x:v>0.28</x:v>
      </x:c>
      <x:c r="Q437" t="n">
        <x:f>ROUND(O437*(1-P437),0)</x:f>
        <x:v>2884</x:v>
      </x:c>
      <x:c r="R437" t="n">
        <x:f>ROUND(O437*P437,0)</x:f>
        <x:v>1122</x:v>
      </x:c>
      <x:c r="S437" t="n">
        <x:f>ROUND(O437*IFERROR(INDEX(Assumptions!$C$9:$C$13,MATCH(F437,Assumptions!$A$9:$A$13,0)),0.55),0)</x:f>
        <x:v>2003</x:v>
      </x:c>
      <x:c r="T437" t="n">
        <x:f>ROUND(O437*IFERROR(INDEX(Assumptions!$D$9:$D$13,MATCH(F437,Assumptions!$A$9:$A$13,0)),0.06),0)</x:f>
        <x:v>200</x:v>
      </x:c>
      <x:c r="U437" t="n">
        <x:f>ROUND(O437*IFERROR(INDEX(Assumptions!$E$9:$E$13,MATCH(F437,Assumptions!$A$9:$A$13,0)),0.15),0)</x:f>
        <x:v>441</x:v>
      </x:c>
      <x:c r="V437" t="n">
        <x:f>MAX(0,O437-SUM(R437:U437))</x:f>
        <x:v>239.5300000000002</x:v>
      </x:c>
      <x:c r="W437" t="n">
        <x:f>MIN(100,40+IF(O437&gt;0,20,0)+IF(M437&lt;&gt;"",20,0)+IF(AF437&lt;&gt;"",20,0))</x:f>
        <x:v>100</x:v>
      </x:c>
      <x:c r="X437" t="str">
        <x:v>Placed on exact national road host link</x:v>
      </x:c>
      <x:c r="Y437" t="str">
        <x:v>Unpaved</x:v>
      </x:c>
      <x:c r="Z437" t="str">
        <x:v>C</x:v>
      </x:c>
      <x:c r="AA437" t="str">
        <x:v>Not available in governed source</x:v>
      </x:c>
      <x:c r="AB437" t="str">
        <x:v>Not available in governed source</x:v>
      </x:c>
      <x:c r="AC437" t="str">
        <x:v>FY2025/26</x:v>
      </x:c>
      <x:c r="AD437" t="str">
        <x:v>Modelled</x:v>
      </x:c>
      <x:c r="AE437" t="str">
        <x:v>2026 bridge AADT rebuilt from host-link traffic history, annual collection-link history, same-road corridor history and spatial count-station influence. Vehicle-class values are assigned from functional-class shares.</x:v>
      </x:c>
      <x:c r="AF437" t="str">
        <x:v>Placed on exact national road host link</x:v>
      </x:c>
    </x:row>
    <x:row r="438" ht="15" hidden="0" customHeight="1">
      <x:c r="A438" t="str">
        <x:v>bridge-437</x:v>
      </x:c>
      <x:c r="B438" t="str">
        <x:v>B720</x:v>
      </x:c>
      <x:c r="C438" t="str">
        <x:v>LAKUPE BRIDGE</x:v>
      </x:c>
      <x:c r="D438" t="str">
        <x:v>C706_Link02</x:v>
      </x:c>
      <x:c r="E438" t="str">
        <x:v>Potika - Lututur</x:v>
      </x:c>
      <x:c r="F438" t="str">
        <x:v>C</x:v>
      </x:c>
      <x:c r="G438" t="str">
        <x:v>Northern</x:v>
      </x:c>
      <x:c r="H438" t="str">
        <x:v>Kitgum</x:v>
      </x:c>
      <x:c r="I438" t="str">
        <x:v>LAKUPE RIVER</x:v>
      </x:c>
      <x:c r="J438" t="str">
        <x:v>Marginal</x:v>
      </x:c>
      <x:c r="K438" t="n">
        <x:v>32.920879</x:v>
      </x:c>
      <x:c r="L438" t="n">
        <x:v>3.730398</x:v>
      </x:c>
      <x:c r="M438" t="n">
        <x:v>32.916814</x:v>
      </x:c>
      <x:c r="N438" t="n">
        <x:v>3.726142</x:v>
      </x:c>
      <x:c r="O438" t="n">
        <x:v>365.7</x:v>
      </x:c>
      <x:c r="P438" t="n">
        <x:f>IFERROR(INDEX(Assumptions!$B$9:$B$13,MATCH(F438,Assumptions!$A$9:$A$13,0)),0.15)</x:f>
        <x:v>0.28</x:v>
      </x:c>
      <x:c r="Q438" t="n">
        <x:f>ROUND(O438*(1-P438),0)</x:f>
        <x:v>263</x:v>
      </x:c>
      <x:c r="R438" t="n">
        <x:f>ROUND(O438*P438,0)</x:f>
        <x:v>102</x:v>
      </x:c>
      <x:c r="S438" t="n">
        <x:f>ROUND(O438*IFERROR(INDEX(Assumptions!$C$9:$C$13,MATCH(F438,Assumptions!$A$9:$A$13,0)),0.55),0)</x:f>
        <x:v>183</x:v>
      </x:c>
      <x:c r="T438" t="n">
        <x:f>ROUND(O438*IFERROR(INDEX(Assumptions!$D$9:$D$13,MATCH(F438,Assumptions!$A$9:$A$13,0)),0.06),0)</x:f>
        <x:v>18</x:v>
      </x:c>
      <x:c r="U438" t="n">
        <x:f>ROUND(O438*IFERROR(INDEX(Assumptions!$E$9:$E$13,MATCH(F438,Assumptions!$A$9:$A$13,0)),0.15),0)</x:f>
        <x:v>40</x:v>
      </x:c>
      <x:c r="V438" t="n">
        <x:f>MAX(0,O438-SUM(R438:U438))</x:f>
        <x:v>22.69999999999999</x:v>
      </x:c>
      <x:c r="W438" t="n">
        <x:f>MIN(100,40+IF(O438&gt;0,20,0)+IF(M438&lt;&gt;"",20,0)+IF(AF438&lt;&gt;"",20,0))</x:f>
        <x:v>100</x:v>
      </x:c>
      <x:c r="X438" t="str">
        <x:v>Placed on exact national road host link</x:v>
      </x:c>
      <x:c r="Y438" t="str">
        <x:v>Unpaved</x:v>
      </x:c>
      <x:c r="Z438" t="str">
        <x:v>C</x:v>
      </x:c>
      <x:c r="AA438" t="str">
        <x:v>Not available in governed source</x:v>
      </x:c>
      <x:c r="AB438" t="str">
        <x:v>Not available in governed source</x:v>
      </x:c>
      <x:c r="AC438" t="str">
        <x:v>FY2025/26</x:v>
      </x:c>
      <x:c r="AD438" t="str">
        <x:v>Modelled</x:v>
      </x:c>
      <x:c r="AE438" t="str">
        <x:v>2026 bridge AADT rebuilt from host-link traffic history, annual collection-link history, same-road corridor history and spatial count-station influence. Vehicle-class values are assigned from functional-class shares.</x:v>
      </x:c>
      <x:c r="AF438" t="str">
        <x:v>Placed on exact national road host link</x:v>
      </x:c>
    </x:row>
    <x:row r="439" ht="15" hidden="0" customHeight="1">
      <x:c r="A439" t="str">
        <x:v>bridge-438</x:v>
      </x:c>
      <x:c r="B439" t="str">
        <x:v>B728</x:v>
      </x:c>
      <x:c r="C439" t="str">
        <x:v>Agago Irish Crossing</x:v>
      </x:c>
      <x:c r="D439" t="str">
        <x:v>B302_Link02</x:v>
      </x:c>
      <x:c r="E439" t="str">
        <x:v>Abim - Kilak</x:v>
      </x:c>
      <x:c r="F439" t="str">
        <x:v>B</x:v>
      </x:c>
      <x:c r="G439" t="str">
        <x:v>Northern</x:v>
      </x:c>
      <x:c r="H439" t="str">
        <x:v>Kitgum</x:v>
      </x:c>
      <x:c r="I439" t="str">
        <x:v>Unknown Road Waterway</x:v>
      </x:c>
      <x:c r="J439" t="str">
        <x:v>Good</x:v>
      </x:c>
      <x:c r="K439" t="n">
        <x:v>33.548</x:v>
      </x:c>
      <x:c r="L439" t="n">
        <x:v>2.722</x:v>
      </x:c>
      <x:c r="M439" t="n">
        <x:v>33.548</x:v>
      </x:c>
      <x:c r="N439" t="n">
        <x:v>2.722</x:v>
      </x:c>
      <x:c r="O439" t="n">
        <x:v>0</x:v>
      </x:c>
      <x:c r="P439" t="n">
        <x:f>IFERROR(INDEX(Assumptions!$B$9:$B$13,MATCH(F439,Assumptions!$A$9:$A$13,0)),0.15)</x:f>
        <x:v>0.16</x:v>
      </x:c>
      <x:c r="Q439" t="n">
        <x:f>ROUND(O439*(1-P439),0)</x:f>
        <x:v>0</x:v>
      </x:c>
      <x:c r="R439" t="n">
        <x:f>ROUND(O439*P439,0)</x:f>
        <x:v>0</x:v>
      </x:c>
      <x:c r="S439" t="n">
        <x:f>ROUND(O439*IFERROR(INDEX(Assumptions!$C$9:$C$13,MATCH(F439,Assumptions!$A$9:$A$13,0)),0.55),0)</x:f>
        <x:v>0</x:v>
      </x:c>
      <x:c r="T439" t="n">
        <x:f>ROUND(O439*IFERROR(INDEX(Assumptions!$D$9:$D$13,MATCH(F439,Assumptions!$A$9:$A$13,0)),0.06),0)</x:f>
        <x:v>0</x:v>
      </x:c>
      <x:c r="U439" t="n">
        <x:f>ROUND(O439*IFERROR(INDEX(Assumptions!$E$9:$E$13,MATCH(F439,Assumptions!$A$9:$A$13,0)),0.15),0)</x:f>
        <x:v>0</x:v>
      </x:c>
      <x:c r="V439" t="n">
        <x:f>MAX(0,O439-SUM(R439:U439))</x:f>
        <x:v>0</x:v>
      </x:c>
      <x:c r="W439" t="n">
        <x:f>MIN(100,40+IF(O439&gt;0,20,0)+IF(M439&lt;&gt;"",20,0)+IF(AF439&lt;&gt;"",20,0))</x:f>
        <x:v>80</x:v>
      </x:c>
      <x:c r="X439" t="str">
        <x:v>manual</x:v>
      </x:c>
      <x:c r="Y439" t="str">
        <x:v>Unpaved</x:v>
      </x:c>
      <x:c r="Z439" t="str">
        <x:v>B</x:v>
      </x:c>
      <x:c r="AA439" t="str">
        <x:v>Not available in governed source</x:v>
      </x:c>
      <x:c r="AB439" t="str">
        <x:v>Not available in governed source</x:v>
      </x:c>
      <x:c r="AC439" t="str">
        <x:v>FY2025/26</x:v>
      </x:c>
      <x:c r="AD439" t="str">
        <x:v>Modelled</x:v>
      </x:c>
      <x:c r="AE439" t="str">
        <x:v>2026 bridge AADT rebuilt from host-link traffic history, annual collection-link history, same-road corridor history and spatial count-station influence. Vehicle-class values are assigned from functional-class shares.</x:v>
      </x:c>
      <x:c r="AF439" t="str">
        <x:v>manual</x:v>
      </x:c>
    </x:row>
    <x:row r="440" ht="15" hidden="0" customHeight="1">
      <x:c r="A440" t="str">
        <x:v>bridge-439</x:v>
      </x:c>
      <x:c r="B440" t="str">
        <x:v>B731</x:v>
      </x:c>
      <x:c r="C440" t="str">
        <x:v>ODRO BRIDGE</x:v>
      </x:c>
      <x:c r="D440" t="str">
        <x:v>C762_Link02</x:v>
      </x:c>
      <x:c r="E440" t="str">
        <x:v>Biliafe - Otrevu</x:v>
      </x:c>
      <x:c r="F440" t="str">
        <x:v>C</x:v>
      </x:c>
      <x:c r="G440" t="str">
        <x:v>Northern</x:v>
      </x:c>
      <x:c r="H440" t="str">
        <x:v>Arua</x:v>
      </x:c>
      <x:c r="I440" t="str">
        <x:v>ODRO RIVER</x:v>
      </x:c>
      <x:c r="J440" t="str">
        <x:v>Good</x:v>
      </x:c>
      <x:c r="K440" t="n">
        <x:v>31.085619</x:v>
      </x:c>
      <x:c r="L440" t="n">
        <x:v>3.077631</x:v>
      </x:c>
      <x:c r="M440" t="n">
        <x:v>31.079881</x:v>
      </x:c>
      <x:c r="N440" t="n">
        <x:v>3.163065</x:v>
      </x:c>
      <x:c r="O440" t="n">
        <x:v>348.07</x:v>
      </x:c>
      <x:c r="P440" t="n">
        <x:f>IFERROR(INDEX(Assumptions!$B$9:$B$13,MATCH(F440,Assumptions!$A$9:$A$13,0)),0.15)</x:f>
        <x:v>0.28</x:v>
      </x:c>
      <x:c r="Q440" t="n">
        <x:f>ROUND(O440*(1-P440),0)</x:f>
        <x:v>251</x:v>
      </x:c>
      <x:c r="R440" t="n">
        <x:f>ROUND(O440*P440,0)</x:f>
        <x:v>97</x:v>
      </x:c>
      <x:c r="S440" t="n">
        <x:f>ROUND(O440*IFERROR(INDEX(Assumptions!$C$9:$C$13,MATCH(F440,Assumptions!$A$9:$A$13,0)),0.55),0)</x:f>
        <x:v>174</x:v>
      </x:c>
      <x:c r="T440" t="n">
        <x:f>ROUND(O440*IFERROR(INDEX(Assumptions!$D$9:$D$13,MATCH(F440,Assumptions!$A$9:$A$13,0)),0.06),0)</x:f>
        <x:v>17</x:v>
      </x:c>
      <x:c r="U440" t="n">
        <x:f>ROUND(O440*IFERROR(INDEX(Assumptions!$E$9:$E$13,MATCH(F440,Assumptions!$A$9:$A$13,0)),0.15),0)</x:f>
        <x:v>38</x:v>
      </x:c>
      <x:c r="V440" t="n">
        <x:f>MAX(0,O440-SUM(R440:U440))</x:f>
        <x:v>22.069999999999993</x:v>
      </x:c>
      <x:c r="W440" t="n">
        <x:f>MIN(100,40+IF(O440&gt;0,20,0)+IF(M440&lt;&gt;"",20,0)+IF(AF440&lt;&gt;"",20,0))</x:f>
        <x:v>100</x:v>
      </x:c>
      <x:c r="X440" t="str">
        <x:v>Placed on exact national road host link</x:v>
      </x:c>
      <x:c r="Y440" t="str">
        <x:v>Unpaved</x:v>
      </x:c>
      <x:c r="Z440" t="str">
        <x:v>C</x:v>
      </x:c>
      <x:c r="AA440" t="str">
        <x:v>Not available in governed source</x:v>
      </x:c>
      <x:c r="AB440" t="str">
        <x:v>Not available in governed source</x:v>
      </x:c>
      <x:c r="AC440" t="str">
        <x:v>FY2025/26</x:v>
      </x:c>
      <x:c r="AD440" t="str">
        <x:v>Modelled</x:v>
      </x:c>
      <x:c r="AE440" t="str">
        <x:v>2026 bridge AADT rebuilt from host-link traffic history, annual collection-link history, same-road corridor history and spatial count-station influence. Vehicle-class values are assigned from functional-class shares.</x:v>
      </x:c>
      <x:c r="AF440" t="str">
        <x:v>Placed on exact national road host link</x:v>
      </x:c>
    </x:row>
    <x:row r="441" ht="15" hidden="0" customHeight="1">
      <x:c r="A441" t="str">
        <x:v>bridge-440</x:v>
      </x:c>
      <x:c r="B441" t="str">
        <x:v>B732</x:v>
      </x:c>
      <x:c r="C441" t="str">
        <x:v>ISA BRIDGE</x:v>
      </x:c>
      <x:c r="D441" t="str">
        <x:v>C762_Link02</x:v>
      </x:c>
      <x:c r="E441" t="str">
        <x:v>Biliafe - Otrevu</x:v>
      </x:c>
      <x:c r="F441" t="str">
        <x:v>C</x:v>
      </x:c>
      <x:c r="G441" t="str">
        <x:v>Northern</x:v>
      </x:c>
      <x:c r="H441" t="str">
        <x:v>Arua</x:v>
      </x:c>
      <x:c r="I441" t="str">
        <x:v>ISA RIVER</x:v>
      </x:c>
      <x:c r="J441" t="str">
        <x:v>Marginal</x:v>
      </x:c>
      <x:c r="K441" t="n">
        <x:v>31.087509</x:v>
      </x:c>
      <x:c r="L441" t="n">
        <x:v>3.126947</x:v>
      </x:c>
      <x:c r="M441" t="n">
        <x:v>31.087651</x:v>
      </x:c>
      <x:c r="N441" t="n">
        <x:v>3.124799</x:v>
      </x:c>
      <x:c r="O441" t="n">
        <x:v>348.07</x:v>
      </x:c>
      <x:c r="P441" t="n">
        <x:f>IFERROR(INDEX(Assumptions!$B$9:$B$13,MATCH(F441,Assumptions!$A$9:$A$13,0)),0.15)</x:f>
        <x:v>0.28</x:v>
      </x:c>
      <x:c r="Q441" t="n">
        <x:f>ROUND(O441*(1-P441),0)</x:f>
        <x:v>251</x:v>
      </x:c>
      <x:c r="R441" t="n">
        <x:f>ROUND(O441*P441,0)</x:f>
        <x:v>97</x:v>
      </x:c>
      <x:c r="S441" t="n">
        <x:f>ROUND(O441*IFERROR(INDEX(Assumptions!$C$9:$C$13,MATCH(F441,Assumptions!$A$9:$A$13,0)),0.55),0)</x:f>
        <x:v>174</x:v>
      </x:c>
      <x:c r="T441" t="n">
        <x:f>ROUND(O441*IFERROR(INDEX(Assumptions!$D$9:$D$13,MATCH(F441,Assumptions!$A$9:$A$13,0)),0.06),0)</x:f>
        <x:v>17</x:v>
      </x:c>
      <x:c r="U441" t="n">
        <x:f>ROUND(O441*IFERROR(INDEX(Assumptions!$E$9:$E$13,MATCH(F441,Assumptions!$A$9:$A$13,0)),0.15),0)</x:f>
        <x:v>38</x:v>
      </x:c>
      <x:c r="V441" t="n">
        <x:f>MAX(0,O441-SUM(R441:U441))</x:f>
        <x:v>22.069999999999993</x:v>
      </x:c>
      <x:c r="W441" t="n">
        <x:f>MIN(100,40+IF(O441&gt;0,20,0)+IF(M441&lt;&gt;"",20,0)+IF(AF441&lt;&gt;"",20,0))</x:f>
        <x:v>100</x:v>
      </x:c>
      <x:c r="X441" t="str">
        <x:v>Placed on exact national road host link</x:v>
      </x:c>
      <x:c r="Y441" t="str">
        <x:v>Unpaved</x:v>
      </x:c>
      <x:c r="Z441" t="str">
        <x:v>C</x:v>
      </x:c>
      <x:c r="AA441" t="str">
        <x:v>Not available in governed source</x:v>
      </x:c>
      <x:c r="AB441" t="str">
        <x:v>Not available in governed source</x:v>
      </x:c>
      <x:c r="AC441" t="str">
        <x:v>FY2025/26</x:v>
      </x:c>
      <x:c r="AD441" t="str">
        <x:v>Modelled</x:v>
      </x:c>
      <x:c r="AE441" t="str">
        <x:v>2026 bridge AADT rebuilt from host-link traffic history, annual collection-link history, same-road corridor history and spatial count-station influence. Vehicle-class values are assigned from functional-class shares.</x:v>
      </x:c>
      <x:c r="AF441" t="str">
        <x:v>Placed on exact national road host link</x:v>
      </x:c>
    </x:row>
    <x:row r="442" ht="15" hidden="0" customHeight="1">
      <x:c r="A442" t="str">
        <x:v>bridge-441</x:v>
      </x:c>
      <x:c r="B442" t="str">
        <x:v>B733</x:v>
      </x:c>
      <x:c r="C442" t="str">
        <x:v>NAARA</x:v>
      </x:c>
      <x:c r="D442" t="str">
        <x:v>C762_Link02</x:v>
      </x:c>
      <x:c r="E442" t="str">
        <x:v>Biliafe - Otrevu</x:v>
      </x:c>
      <x:c r="F442" t="str">
        <x:v>C</x:v>
      </x:c>
      <x:c r="G442" t="str">
        <x:v>Northern</x:v>
      </x:c>
      <x:c r="H442" t="str">
        <x:v>Arua</x:v>
      </x:c>
      <x:c r="I442" t="str">
        <x:v>Naara River</x:v>
      </x:c>
      <x:c r="J442" t="str">
        <x:v>Critical</x:v>
      </x:c>
      <x:c r="K442" t="n">
        <x:v>31.08559</x:v>
      </x:c>
      <x:c r="L442" t="n">
        <x:v>3.14417</x:v>
      </x:c>
      <x:c r="M442" t="n">
        <x:v>31.086333</x:v>
      </x:c>
      <x:c r="N442" t="n">
        <x:v>3.140963</x:v>
      </x:c>
      <x:c r="O442" t="n">
        <x:v>348.07</x:v>
      </x:c>
      <x:c r="P442" t="n">
        <x:f>IFERROR(INDEX(Assumptions!$B$9:$B$13,MATCH(F442,Assumptions!$A$9:$A$13,0)),0.15)</x:f>
        <x:v>0.28</x:v>
      </x:c>
      <x:c r="Q442" t="n">
        <x:f>ROUND(O442*(1-P442),0)</x:f>
        <x:v>251</x:v>
      </x:c>
      <x:c r="R442" t="n">
        <x:f>ROUND(O442*P442,0)</x:f>
        <x:v>97</x:v>
      </x:c>
      <x:c r="S442" t="n">
        <x:f>ROUND(O442*IFERROR(INDEX(Assumptions!$C$9:$C$13,MATCH(F442,Assumptions!$A$9:$A$13,0)),0.55),0)</x:f>
        <x:v>174</x:v>
      </x:c>
      <x:c r="T442" t="n">
        <x:f>ROUND(O442*IFERROR(INDEX(Assumptions!$D$9:$D$13,MATCH(F442,Assumptions!$A$9:$A$13,0)),0.06),0)</x:f>
        <x:v>17</x:v>
      </x:c>
      <x:c r="U442" t="n">
        <x:f>ROUND(O442*IFERROR(INDEX(Assumptions!$E$9:$E$13,MATCH(F442,Assumptions!$A$9:$A$13,0)),0.15),0)</x:f>
        <x:v>38</x:v>
      </x:c>
      <x:c r="V442" t="n">
        <x:f>MAX(0,O442-SUM(R442:U442))</x:f>
        <x:v>22.069999999999993</x:v>
      </x:c>
      <x:c r="W442" t="n">
        <x:f>MIN(100,40+IF(O442&gt;0,20,0)+IF(M442&lt;&gt;"",20,0)+IF(AF442&lt;&gt;"",20,0))</x:f>
        <x:v>100</x:v>
      </x:c>
      <x:c r="X442" t="str">
        <x:v>Placed on exact national road host link</x:v>
      </x:c>
      <x:c r="Y442" t="str">
        <x:v>Unpaved</x:v>
      </x:c>
      <x:c r="Z442" t="str">
        <x:v>C</x:v>
      </x:c>
      <x:c r="AA442" t="str">
        <x:v>Not available in governed source</x:v>
      </x:c>
      <x:c r="AB442" t="str">
        <x:v>Not available in governed source</x:v>
      </x:c>
      <x:c r="AC442" t="str">
        <x:v>FY2025/26</x:v>
      </x:c>
      <x:c r="AD442" t="str">
        <x:v>Modelled</x:v>
      </x:c>
      <x:c r="AE442" t="str">
        <x:v>2026 bridge AADT rebuilt from host-link traffic history, annual collection-link history, same-road corridor history and spatial count-station influence. Vehicle-class values are assigned from functional-class shares.</x:v>
      </x:c>
      <x:c r="AF442" t="str">
        <x:v>Placed on exact national road host link</x:v>
      </x:c>
    </x:row>
    <x:row r="443" ht="15" hidden="0" customHeight="1">
      <x:c r="A443" t="str">
        <x:v>bridge-442</x:v>
      </x:c>
      <x:c r="B443" t="str">
        <x:v>B735</x:v>
      </x:c>
      <x:c r="C443" t="str">
        <x:v>GAZI (ALLA)</x:v>
      </x:c>
      <x:c r="D443" t="str">
        <x:v>C742_Link01</x:v>
      </x:c>
      <x:c r="E443" t="str">
        <x:v>Rhino camp-Ogoko-Inde</x:v>
      </x:c>
      <x:c r="F443" t="str">
        <x:v>C</x:v>
      </x:c>
      <x:c r="G443" t="str">
        <x:v>Northern</x:v>
      </x:c>
      <x:c r="H443" t="str">
        <x:v>Arua</x:v>
      </x:c>
      <x:c r="I443" t="str">
        <x:v>GAZI</x:v>
      </x:c>
      <x:c r="J443" t="str">
        <x:v>Marginal</x:v>
      </x:c>
      <x:c r="K443" t="n">
        <x:v>31.24107</x:v>
      </x:c>
      <x:c r="L443" t="n">
        <x:v>2.8897</x:v>
      </x:c>
      <x:c r="M443" t="n">
        <x:v>31.243425</x:v>
      </x:c>
      <x:c r="N443" t="n">
        <x:v>2.890738</x:v>
      </x:c>
      <x:c r="O443" t="n">
        <x:v>988.34</x:v>
      </x:c>
      <x:c r="P443" t="n">
        <x:f>IFERROR(INDEX(Assumptions!$B$9:$B$13,MATCH(F443,Assumptions!$A$9:$A$13,0)),0.15)</x:f>
        <x:v>0.28</x:v>
      </x:c>
      <x:c r="Q443" t="n">
        <x:f>ROUND(O443*(1-P443),0)</x:f>
        <x:v>712</x:v>
      </x:c>
      <x:c r="R443" t="n">
        <x:f>ROUND(O443*P443,0)</x:f>
        <x:v>277</x:v>
      </x:c>
      <x:c r="S443" t="n">
        <x:f>ROUND(O443*IFERROR(INDEX(Assumptions!$C$9:$C$13,MATCH(F443,Assumptions!$A$9:$A$13,0)),0.55),0)</x:f>
        <x:v>494</x:v>
      </x:c>
      <x:c r="T443" t="n">
        <x:f>ROUND(O443*IFERROR(INDEX(Assumptions!$D$9:$D$13,MATCH(F443,Assumptions!$A$9:$A$13,0)),0.06),0)</x:f>
        <x:v>49</x:v>
      </x:c>
      <x:c r="U443" t="n">
        <x:f>ROUND(O443*IFERROR(INDEX(Assumptions!$E$9:$E$13,MATCH(F443,Assumptions!$A$9:$A$13,0)),0.15),0)</x:f>
        <x:v>109</x:v>
      </x:c>
      <x:c r="V443" t="n">
        <x:f>MAX(0,O443-SUM(R443:U443))</x:f>
        <x:v>59.34000000000003</x:v>
      </x:c>
      <x:c r="W443" t="n">
        <x:f>MIN(100,40+IF(O443&gt;0,20,0)+IF(M443&lt;&gt;"",20,0)+IF(AF443&lt;&gt;"",20,0))</x:f>
        <x:v>100</x:v>
      </x:c>
      <x:c r="X443" t="str">
        <x:v>Placed on exact national road host link</x:v>
      </x:c>
      <x:c r="Y443" t="str">
        <x:v>Unpaved</x:v>
      </x:c>
      <x:c r="Z443" t="str">
        <x:v>C</x:v>
      </x:c>
      <x:c r="AA443" t="str">
        <x:v>Not available in governed source</x:v>
      </x:c>
      <x:c r="AB443" t="str">
        <x:v>Not available in governed source</x:v>
      </x:c>
      <x:c r="AC443" t="str">
        <x:v>FY2025/26</x:v>
      </x:c>
      <x:c r="AD443" t="str">
        <x:v>Modelled</x:v>
      </x:c>
      <x:c r="AE443" t="str">
        <x:v>2026 bridge AADT rebuilt from host-link traffic history, annual collection-link history, same-road corridor history and spatial count-station influence. Vehicle-class values are assigned from functional-class shares.</x:v>
      </x:c>
      <x:c r="AF443" t="str">
        <x:v>Placed on exact national road host link</x:v>
      </x:c>
    </x:row>
    <x:row r="444" ht="15" hidden="0" customHeight="1">
      <x:c r="A444" t="str">
        <x:v>bridge-443</x:v>
      </x:c>
      <x:c r="B444" t="str">
        <x:v>B736</x:v>
      </x:c>
      <x:c r="C444" t="str">
        <x:v>AYUALA BRIDGE</x:v>
      </x:c>
      <x:c r="D444" t="str">
        <x:v>C763_Link01</x:v>
      </x:c>
      <x:c r="E444" t="str">
        <x:v>Paidha-Zombo</x:v>
      </x:c>
      <x:c r="F444" t="str">
        <x:v>C</x:v>
      </x:c>
      <x:c r="G444" t="str">
        <x:v>Northern</x:v>
      </x:c>
      <x:c r="H444" t="str">
        <x:v>Arua</x:v>
      </x:c>
      <x:c r="I444" t="str">
        <x:v>AYUDA RIVER</x:v>
      </x:c>
      <x:c r="J444" t="str">
        <x:v>Marginal</x:v>
      </x:c>
      <x:c r="K444" t="n">
        <x:v>30.959221</x:v>
      </x:c>
      <x:c r="L444" t="n">
        <x:v>2.41427</x:v>
      </x:c>
      <x:c r="M444" t="n">
        <x:v>30.965306</x:v>
      </x:c>
      <x:c r="N444" t="n">
        <x:v>2.409695</x:v>
      </x:c>
      <x:c r="O444" t="n">
        <x:v>510.3</x:v>
      </x:c>
      <x:c r="P444" t="n">
        <x:f>IFERROR(INDEX(Assumptions!$B$9:$B$13,MATCH(F444,Assumptions!$A$9:$A$13,0)),0.15)</x:f>
        <x:v>0.28</x:v>
      </x:c>
      <x:c r="Q444" t="n">
        <x:f>ROUND(O444*(1-P444),0)</x:f>
        <x:v>367</x:v>
      </x:c>
      <x:c r="R444" t="n">
        <x:f>ROUND(O444*P444,0)</x:f>
        <x:v>143</x:v>
      </x:c>
      <x:c r="S444" t="n">
        <x:f>ROUND(O444*IFERROR(INDEX(Assumptions!$C$9:$C$13,MATCH(F444,Assumptions!$A$9:$A$13,0)),0.55),0)</x:f>
        <x:v>255</x:v>
      </x:c>
      <x:c r="T444" t="n">
        <x:f>ROUND(O444*IFERROR(INDEX(Assumptions!$D$9:$D$13,MATCH(F444,Assumptions!$A$9:$A$13,0)),0.06),0)</x:f>
        <x:v>26</x:v>
      </x:c>
      <x:c r="U444" t="n">
        <x:f>ROUND(O444*IFERROR(INDEX(Assumptions!$E$9:$E$13,MATCH(F444,Assumptions!$A$9:$A$13,0)),0.15),0)</x:f>
        <x:v>56</x:v>
      </x:c>
      <x:c r="V444" t="n">
        <x:f>MAX(0,O444-SUM(R444:U444))</x:f>
        <x:v>30.30000000000001</x:v>
      </x:c>
      <x:c r="W444" t="n">
        <x:f>MIN(100,40+IF(O444&gt;0,20,0)+IF(M444&lt;&gt;"",20,0)+IF(AF444&lt;&gt;"",20,0))</x:f>
        <x:v>100</x:v>
      </x:c>
      <x:c r="X444" t="str">
        <x:v>Placed on exact national road host link</x:v>
      </x:c>
      <x:c r="Y444" t="str">
        <x:v>Unpaved</x:v>
      </x:c>
      <x:c r="Z444" t="str">
        <x:v>C</x:v>
      </x:c>
      <x:c r="AA444" t="str">
        <x:v>Not available in governed source</x:v>
      </x:c>
      <x:c r="AB444" t="str">
        <x:v>Not available in governed source</x:v>
      </x:c>
      <x:c r="AC444" t="str">
        <x:v>FY2025/26</x:v>
      </x:c>
      <x:c r="AD444" t="str">
        <x:v>Modelled</x:v>
      </x:c>
      <x:c r="AE444" t="str">
        <x:v>2026 bridge AADT rebuilt from host-link traffic history, annual collection-link history, same-road corridor history and spatial count-station influence. Vehicle-class values are assigned from functional-class shares.</x:v>
      </x:c>
      <x:c r="AF444" t="str">
        <x:v>Placed on exact national road host link</x:v>
      </x:c>
    </x:row>
    <x:row r="445" ht="15" hidden="0" customHeight="1">
      <x:c r="A445" t="str">
        <x:v>bridge-444</x:v>
      </x:c>
      <x:c r="B445" t="str">
        <x:v>B737</x:v>
      </x:c>
      <x:c r="C445" t="str">
        <x:v>NYAGAK BRIDGE</x:v>
      </x:c>
      <x:c r="D445" t="str">
        <x:v>C763_Link01</x:v>
      </x:c>
      <x:c r="E445" t="str">
        <x:v>Paidha-Zombo</x:v>
      </x:c>
      <x:c r="F445" t="str">
        <x:v>C</x:v>
      </x:c>
      <x:c r="G445" t="str">
        <x:v>Northern</x:v>
      </x:c>
      <x:c r="H445" t="str">
        <x:v>Arua</x:v>
      </x:c>
      <x:c r="I445" t="str">
        <x:v>NYAGAK RIVER</x:v>
      </x:c>
      <x:c r="J445" t="str">
        <x:v>Marginal</x:v>
      </x:c>
      <x:c r="K445" t="n">
        <x:v>30.957674</x:v>
      </x:c>
      <x:c r="L445" t="n">
        <x:v>2.43322</x:v>
      </x:c>
      <x:c r="M445" t="n">
        <x:v>30.958748</x:v>
      </x:c>
      <x:c r="N445" t="n">
        <x:v>2.425622</x:v>
      </x:c>
      <x:c r="O445" t="n">
        <x:v>510.3</x:v>
      </x:c>
      <x:c r="P445" t="n">
        <x:f>IFERROR(INDEX(Assumptions!$B$9:$B$13,MATCH(F445,Assumptions!$A$9:$A$13,0)),0.15)</x:f>
        <x:v>0.28</x:v>
      </x:c>
      <x:c r="Q445" t="n">
        <x:f>ROUND(O445*(1-P445),0)</x:f>
        <x:v>367</x:v>
      </x:c>
      <x:c r="R445" t="n">
        <x:f>ROUND(O445*P445,0)</x:f>
        <x:v>143</x:v>
      </x:c>
      <x:c r="S445" t="n">
        <x:f>ROUND(O445*IFERROR(INDEX(Assumptions!$C$9:$C$13,MATCH(F445,Assumptions!$A$9:$A$13,0)),0.55),0)</x:f>
        <x:v>255</x:v>
      </x:c>
      <x:c r="T445" t="n">
        <x:f>ROUND(O445*IFERROR(INDEX(Assumptions!$D$9:$D$13,MATCH(F445,Assumptions!$A$9:$A$13,0)),0.06),0)</x:f>
        <x:v>26</x:v>
      </x:c>
      <x:c r="U445" t="n">
        <x:f>ROUND(O445*IFERROR(INDEX(Assumptions!$E$9:$E$13,MATCH(F445,Assumptions!$A$9:$A$13,0)),0.15),0)</x:f>
        <x:v>56</x:v>
      </x:c>
      <x:c r="V445" t="n">
        <x:f>MAX(0,O445-SUM(R445:U445))</x:f>
        <x:v>30.30000000000001</x:v>
      </x:c>
      <x:c r="W445" t="n">
        <x:f>MIN(100,40+IF(O445&gt;0,20,0)+IF(M445&lt;&gt;"",20,0)+IF(AF445&lt;&gt;"",20,0))</x:f>
        <x:v>100</x:v>
      </x:c>
      <x:c r="X445" t="str">
        <x:v>Placed on exact national road host link</x:v>
      </x:c>
      <x:c r="Y445" t="str">
        <x:v>Unpaved</x:v>
      </x:c>
      <x:c r="Z445" t="str">
        <x:v>C</x:v>
      </x:c>
      <x:c r="AA445" t="str">
        <x:v>Not available in governed source</x:v>
      </x:c>
      <x:c r="AB445" t="str">
        <x:v>Not available in governed source</x:v>
      </x:c>
      <x:c r="AC445" t="str">
        <x:v>FY2025/26</x:v>
      </x:c>
      <x:c r="AD445" t="str">
        <x:v>Modelled</x:v>
      </x:c>
      <x:c r="AE445" t="str">
        <x:v>2026 bridge AADT rebuilt from host-link traffic history, annual collection-link history, same-road corridor history and spatial count-station influence. Vehicle-class values are assigned from functional-class shares.</x:v>
      </x:c>
      <x:c r="AF445" t="str">
        <x:v>Placed on exact national road host link</x:v>
      </x:c>
    </x:row>
    <x:row r="446" ht="15" hidden="0" customHeight="1">
      <x:c r="A446" t="str">
        <x:v>bridge-445</x:v>
      </x:c>
      <x:c r="B446" t="str">
        <x:v>B738</x:v>
      </x:c>
      <x:c r="C446" t="str">
        <x:v>ORA BRIDGE</x:v>
      </x:c>
      <x:c r="D446" t="str">
        <x:v>C763_Link02</x:v>
      </x:c>
      <x:c r="E446" t="str">
        <x:v>Zombo-Vurra</x:v>
      </x:c>
      <x:c r="F446" t="str">
        <x:v>C</x:v>
      </x:c>
      <x:c r="G446" t="str">
        <x:v>Northern</x:v>
      </x:c>
      <x:c r="H446" t="str">
        <x:v>Arua</x:v>
      </x:c>
      <x:c r="I446" t="str">
        <x:v>ORA RIVER</x:v>
      </x:c>
      <x:c r="J446" t="str">
        <x:v>Good</x:v>
      </x:c>
      <x:c r="K446" t="n">
        <x:v>30.864159</x:v>
      </x:c>
      <x:c r="L446" t="n">
        <x:v>2.566893</x:v>
      </x:c>
      <x:c r="M446" t="n">
        <x:v>30.845748</x:v>
      </x:c>
      <x:c r="N446" t="n">
        <x:v>2.643874</x:v>
      </x:c>
      <x:c r="O446" t="n">
        <x:v>510.3</x:v>
      </x:c>
      <x:c r="P446" t="n">
        <x:f>IFERROR(INDEX(Assumptions!$B$9:$B$13,MATCH(F446,Assumptions!$A$9:$A$13,0)),0.15)</x:f>
        <x:v>0.28</x:v>
      </x:c>
      <x:c r="Q446" t="n">
        <x:f>ROUND(O446*(1-P446),0)</x:f>
        <x:v>367</x:v>
      </x:c>
      <x:c r="R446" t="n">
        <x:f>ROUND(O446*P446,0)</x:f>
        <x:v>143</x:v>
      </x:c>
      <x:c r="S446" t="n">
        <x:f>ROUND(O446*IFERROR(INDEX(Assumptions!$C$9:$C$13,MATCH(F446,Assumptions!$A$9:$A$13,0)),0.55),0)</x:f>
        <x:v>255</x:v>
      </x:c>
      <x:c r="T446" t="n">
        <x:f>ROUND(O446*IFERROR(INDEX(Assumptions!$D$9:$D$13,MATCH(F446,Assumptions!$A$9:$A$13,0)),0.06),0)</x:f>
        <x:v>26</x:v>
      </x:c>
      <x:c r="U446" t="n">
        <x:f>ROUND(O446*IFERROR(INDEX(Assumptions!$E$9:$E$13,MATCH(F446,Assumptions!$A$9:$A$13,0)),0.15),0)</x:f>
        <x:v>56</x:v>
      </x:c>
      <x:c r="V446" t="n">
        <x:f>MAX(0,O446-SUM(R446:U446))</x:f>
        <x:v>30.30000000000001</x:v>
      </x:c>
      <x:c r="W446" t="n">
        <x:f>MIN(100,40+IF(O446&gt;0,20,0)+IF(M446&lt;&gt;"",20,0)+IF(AF446&lt;&gt;"",20,0))</x:f>
        <x:v>100</x:v>
      </x:c>
      <x:c r="X446" t="str">
        <x:v>Placed on exact national road host link</x:v>
      </x:c>
      <x:c r="Y446" t="str">
        <x:v>Unpaved</x:v>
      </x:c>
      <x:c r="Z446" t="str">
        <x:v>C</x:v>
      </x:c>
      <x:c r="AA446" t="str">
        <x:v>Not available in governed source</x:v>
      </x:c>
      <x:c r="AB446" t="str">
        <x:v>Not available in governed source</x:v>
      </x:c>
      <x:c r="AC446" t="str">
        <x:v>FY2025/26</x:v>
      </x:c>
      <x:c r="AD446" t="str">
        <x:v>Modelled</x:v>
      </x:c>
      <x:c r="AE446" t="str">
        <x:v>2026 bridge AADT rebuilt from host-link traffic history, annual collection-link history, same-road corridor history and spatial count-station influence. Vehicle-class values are assigned from functional-class shares.</x:v>
      </x:c>
      <x:c r="AF446" t="str">
        <x:v>Placed on exact national road host link</x:v>
      </x:c>
    </x:row>
    <x:row r="447" ht="15" hidden="0" customHeight="1">
      <x:c r="A447" t="str">
        <x:v>bridge-446</x:v>
      </x:c>
      <x:c r="B447" t="str">
        <x:v>B739</x:v>
      </x:c>
      <x:c r="C447" t="str">
        <x:v>ANIZA BRIDGE</x:v>
      </x:c>
      <x:c r="D447" t="str">
        <x:v>C763_Link02</x:v>
      </x:c>
      <x:c r="E447" t="str">
        <x:v>Zombo-Vurra</x:v>
      </x:c>
      <x:c r="F447" t="str">
        <x:v>C</x:v>
      </x:c>
      <x:c r="G447" t="str">
        <x:v>Northern</x:v>
      </x:c>
      <x:c r="H447" t="str">
        <x:v>Arua</x:v>
      </x:c>
      <x:c r="I447" t="str">
        <x:v>ANIZA RIVER</x:v>
      </x:c>
      <x:c r="J447" t="str">
        <x:v>Good</x:v>
      </x:c>
      <x:c r="K447" t="n">
        <x:v>30.891249</x:v>
      </x:c>
      <x:c r="L447" t="n">
        <x:v>2.589902</x:v>
      </x:c>
      <x:c r="M447" t="n">
        <x:v>30.858522</x:v>
      </x:c>
      <x:c r="N447" t="n">
        <x:v>2.671608</x:v>
      </x:c>
      <x:c r="O447" t="n">
        <x:v>510.3</x:v>
      </x:c>
      <x:c r="P447" t="n">
        <x:f>IFERROR(INDEX(Assumptions!$B$9:$B$13,MATCH(F447,Assumptions!$A$9:$A$13,0)),0.15)</x:f>
        <x:v>0.28</x:v>
      </x:c>
      <x:c r="Q447" t="n">
        <x:f>ROUND(O447*(1-P447),0)</x:f>
        <x:v>367</x:v>
      </x:c>
      <x:c r="R447" t="n">
        <x:f>ROUND(O447*P447,0)</x:f>
        <x:v>143</x:v>
      </x:c>
      <x:c r="S447" t="n">
        <x:f>ROUND(O447*IFERROR(INDEX(Assumptions!$C$9:$C$13,MATCH(F447,Assumptions!$A$9:$A$13,0)),0.55),0)</x:f>
        <x:v>255</x:v>
      </x:c>
      <x:c r="T447" t="n">
        <x:f>ROUND(O447*IFERROR(INDEX(Assumptions!$D$9:$D$13,MATCH(F447,Assumptions!$A$9:$A$13,0)),0.06),0)</x:f>
        <x:v>26</x:v>
      </x:c>
      <x:c r="U447" t="n">
        <x:f>ROUND(O447*IFERROR(INDEX(Assumptions!$E$9:$E$13,MATCH(F447,Assumptions!$A$9:$A$13,0)),0.15),0)</x:f>
        <x:v>56</x:v>
      </x:c>
      <x:c r="V447" t="n">
        <x:f>MAX(0,O447-SUM(R447:U447))</x:f>
        <x:v>30.30000000000001</x:v>
      </x:c>
      <x:c r="W447" t="n">
        <x:f>MIN(100,40+IF(O447&gt;0,20,0)+IF(M447&lt;&gt;"",20,0)+IF(AF447&lt;&gt;"",20,0))</x:f>
        <x:v>100</x:v>
      </x:c>
      <x:c r="X447" t="str">
        <x:v>Placed on exact national road host link</x:v>
      </x:c>
      <x:c r="Y447" t="str">
        <x:v>Unpaved</x:v>
      </x:c>
      <x:c r="Z447" t="str">
        <x:v>C</x:v>
      </x:c>
      <x:c r="AA447" t="str">
        <x:v>Not available in governed source</x:v>
      </x:c>
      <x:c r="AB447" t="str">
        <x:v>Not available in governed source</x:v>
      </x:c>
      <x:c r="AC447" t="str">
        <x:v>FY2025/26</x:v>
      </x:c>
      <x:c r="AD447" t="str">
        <x:v>Modelled</x:v>
      </x:c>
      <x:c r="AE447" t="str">
        <x:v>2026 bridge AADT rebuilt from host-link traffic history, annual collection-link history, same-road corridor history and spatial count-station influence. Vehicle-class values are assigned from functional-class shares.</x:v>
      </x:c>
      <x:c r="AF447" t="str">
        <x:v>Placed on exact national road host link</x:v>
      </x:c>
    </x:row>
    <x:row r="448" ht="15" hidden="0" customHeight="1">
      <x:c r="A448" t="str">
        <x:v>bridge-447</x:v>
      </x:c>
      <x:c r="B448" t="str">
        <x:v>B740</x:v>
      </x:c>
      <x:c r="C448" t="str">
        <x:v>OMOLO BRIDGE</x:v>
      </x:c>
      <x:c r="D448" t="str">
        <x:v>C763_Link02</x:v>
      </x:c>
      <x:c r="E448" t="str">
        <x:v>Zombo-Vurra</x:v>
      </x:c>
      <x:c r="F448" t="str">
        <x:v>C</x:v>
      </x:c>
      <x:c r="G448" t="str">
        <x:v>Northern</x:v>
      </x:c>
      <x:c r="H448" t="str">
        <x:v>Arua</x:v>
      </x:c>
      <x:c r="I448" t="str">
        <x:v>OMOLO RIVER</x:v>
      </x:c>
      <x:c r="J448" t="str">
        <x:v>Satisfactory</x:v>
      </x:c>
      <x:c r="K448" t="n">
        <x:v>30.87359</x:v>
      </x:c>
      <x:c r="L448" t="n">
        <x:v>2.618398</x:v>
      </x:c>
      <x:c r="M448" t="n">
        <x:v>30.848765</x:v>
      </x:c>
      <x:c r="N448" t="n">
        <x:v>2.706317</x:v>
      </x:c>
      <x:c r="O448" t="n">
        <x:v>510.3</x:v>
      </x:c>
      <x:c r="P448" t="n">
        <x:f>IFERROR(INDEX(Assumptions!$B$9:$B$13,MATCH(F448,Assumptions!$A$9:$A$13,0)),0.15)</x:f>
        <x:v>0.28</x:v>
      </x:c>
      <x:c r="Q448" t="n">
        <x:f>ROUND(O448*(1-P448),0)</x:f>
        <x:v>367</x:v>
      </x:c>
      <x:c r="R448" t="n">
        <x:f>ROUND(O448*P448,0)</x:f>
        <x:v>143</x:v>
      </x:c>
      <x:c r="S448" t="n">
        <x:f>ROUND(O448*IFERROR(INDEX(Assumptions!$C$9:$C$13,MATCH(F448,Assumptions!$A$9:$A$13,0)),0.55),0)</x:f>
        <x:v>255</x:v>
      </x:c>
      <x:c r="T448" t="n">
        <x:f>ROUND(O448*IFERROR(INDEX(Assumptions!$D$9:$D$13,MATCH(F448,Assumptions!$A$9:$A$13,0)),0.06),0)</x:f>
        <x:v>26</x:v>
      </x:c>
      <x:c r="U448" t="n">
        <x:f>ROUND(O448*IFERROR(INDEX(Assumptions!$E$9:$E$13,MATCH(F448,Assumptions!$A$9:$A$13,0)),0.15),0)</x:f>
        <x:v>56</x:v>
      </x:c>
      <x:c r="V448" t="n">
        <x:f>MAX(0,O448-SUM(R448:U448))</x:f>
        <x:v>30.30000000000001</x:v>
      </x:c>
      <x:c r="W448" t="n">
        <x:f>MIN(100,40+IF(O448&gt;0,20,0)+IF(M448&lt;&gt;"",20,0)+IF(AF448&lt;&gt;"",20,0))</x:f>
        <x:v>100</x:v>
      </x:c>
      <x:c r="X448" t="str">
        <x:v>Placed on exact national road host link</x:v>
      </x:c>
      <x:c r="Y448" t="str">
        <x:v>Unpaved</x:v>
      </x:c>
      <x:c r="Z448" t="str">
        <x:v>C</x:v>
      </x:c>
      <x:c r="AA448" t="str">
        <x:v>Not available in governed source</x:v>
      </x:c>
      <x:c r="AB448" t="str">
        <x:v>Not available in governed source</x:v>
      </x:c>
      <x:c r="AC448" t="str">
        <x:v>FY2025/26</x:v>
      </x:c>
      <x:c r="AD448" t="str">
        <x:v>Modelled</x:v>
      </x:c>
      <x:c r="AE448" t="str">
        <x:v>2026 bridge AADT rebuilt from host-link traffic history, annual collection-link history, same-road corridor history and spatial count-station influence. Vehicle-class values are assigned from functional-class shares.</x:v>
      </x:c>
      <x:c r="AF448" t="str">
        <x:v>Placed on exact national road host link</x:v>
      </x:c>
    </x:row>
    <x:row r="449" ht="15" hidden="0" customHeight="1">
      <x:c r="A449" t="str">
        <x:v>bridge-448</x:v>
      </x:c>
      <x:c r="B449" t="str">
        <x:v>B741</x:v>
      </x:c>
      <x:c r="C449" t="str">
        <x:v>ODRUA RIVER</x:v>
      </x:c>
      <x:c r="D449" t="str">
        <x:v>C763_Link02</x:v>
      </x:c>
      <x:c r="E449" t="str">
        <x:v>Zombo-Vurra</x:v>
      </x:c>
      <x:c r="F449" t="str">
        <x:v>C</x:v>
      </x:c>
      <x:c r="G449" t="str">
        <x:v>Northern</x:v>
      </x:c>
      <x:c r="H449" t="str">
        <x:v>Arua</x:v>
      </x:c>
      <x:c r="I449" t="str">
        <x:v>ODRUA RIVER</x:v>
      </x:c>
      <x:c r="J449" t="str">
        <x:v>Marginal</x:v>
      </x:c>
      <x:c r="K449" t="n">
        <x:v>30.859312</x:v>
      </x:c>
      <x:c r="L449" t="n">
        <x:v>2.672634</x:v>
      </x:c>
      <x:c r="M449" t="n">
        <x:v>30.868198</x:v>
      </x:c>
      <x:c r="N449" t="n">
        <x:v>2.790273</x:v>
      </x:c>
      <x:c r="O449" t="n">
        <x:v>510.3</x:v>
      </x:c>
      <x:c r="P449" t="n">
        <x:f>IFERROR(INDEX(Assumptions!$B$9:$B$13,MATCH(F449,Assumptions!$A$9:$A$13,0)),0.15)</x:f>
        <x:v>0.28</x:v>
      </x:c>
      <x:c r="Q449" t="n">
        <x:f>ROUND(O449*(1-P449),0)</x:f>
        <x:v>367</x:v>
      </x:c>
      <x:c r="R449" t="n">
        <x:f>ROUND(O449*P449,0)</x:f>
        <x:v>143</x:v>
      </x:c>
      <x:c r="S449" t="n">
        <x:f>ROUND(O449*IFERROR(INDEX(Assumptions!$C$9:$C$13,MATCH(F449,Assumptions!$A$9:$A$13,0)),0.55),0)</x:f>
        <x:v>255</x:v>
      </x:c>
      <x:c r="T449" t="n">
        <x:f>ROUND(O449*IFERROR(INDEX(Assumptions!$D$9:$D$13,MATCH(F449,Assumptions!$A$9:$A$13,0)),0.06),0)</x:f>
        <x:v>26</x:v>
      </x:c>
      <x:c r="U449" t="n">
        <x:f>ROUND(O449*IFERROR(INDEX(Assumptions!$E$9:$E$13,MATCH(F449,Assumptions!$A$9:$A$13,0)),0.15),0)</x:f>
        <x:v>56</x:v>
      </x:c>
      <x:c r="V449" t="n">
        <x:f>MAX(0,O449-SUM(R449:U449))</x:f>
        <x:v>30.30000000000001</x:v>
      </x:c>
      <x:c r="W449" t="n">
        <x:f>MIN(100,40+IF(O449&gt;0,20,0)+IF(M449&lt;&gt;"",20,0)+IF(AF449&lt;&gt;"",20,0))</x:f>
        <x:v>100</x:v>
      </x:c>
      <x:c r="X449" t="str">
        <x:v>Placed on exact national road host link</x:v>
      </x:c>
      <x:c r="Y449" t="str">
        <x:v>Unpaved</x:v>
      </x:c>
      <x:c r="Z449" t="str">
        <x:v>C</x:v>
      </x:c>
      <x:c r="AA449" t="str">
        <x:v>Not available in governed source</x:v>
      </x:c>
      <x:c r="AB449" t="str">
        <x:v>Not available in governed source</x:v>
      </x:c>
      <x:c r="AC449" t="str">
        <x:v>FY2025/26</x:v>
      </x:c>
      <x:c r="AD449" t="str">
        <x:v>Modelled</x:v>
      </x:c>
      <x:c r="AE449" t="str">
        <x:v>2026 bridge AADT rebuilt from host-link traffic history, annual collection-link history, same-road corridor history and spatial count-station influence. Vehicle-class values are assigned from functional-class shares.</x:v>
      </x:c>
      <x:c r="AF449" t="str">
        <x:v>Placed on exact national road host link</x:v>
      </x:c>
    </x:row>
    <x:row r="450" ht="15" hidden="0" customHeight="1">
      <x:c r="A450" t="str">
        <x:v>bridge-449</x:v>
      </x:c>
      <x:c r="B450" t="str">
        <x:v>B743</x:v>
      </x:c>
      <x:c r="C450" t="str">
        <x:v>ALLA</x:v>
      </x:c>
      <x:c r="D450" t="str">
        <x:v>C749_Link01</x:v>
      </x:c>
      <x:c r="E450" t="str">
        <x:v>Eruba - Logiri</x:v>
      </x:c>
      <x:c r="F450" t="str">
        <x:v>C</x:v>
      </x:c>
      <x:c r="G450" t="str">
        <x:v>Northern</x:v>
      </x:c>
      <x:c r="H450" t="str">
        <x:v>Arua</x:v>
      </x:c>
      <x:c r="I450" t="str">
        <x:v>ALLA</x:v>
      </x:c>
      <x:c r="J450" t="str">
        <x:v>Critical</x:v>
      </x:c>
      <x:c r="K450" t="n">
        <x:v>30.93187</x:v>
      </x:c>
      <x:c r="L450" t="n">
        <x:v>2.96701</x:v>
      </x:c>
      <x:c r="M450" t="n">
        <x:v>30.915644</x:v>
      </x:c>
      <x:c r="N450" t="n">
        <x:v>2.934559</x:v>
      </x:c>
      <x:c r="O450" t="n">
        <x:v>988.34</x:v>
      </x:c>
      <x:c r="P450" t="n">
        <x:f>IFERROR(INDEX(Assumptions!$B$9:$B$13,MATCH(F450,Assumptions!$A$9:$A$13,0)),0.15)</x:f>
        <x:v>0.28</x:v>
      </x:c>
      <x:c r="Q450" t="n">
        <x:f>ROUND(O450*(1-P450),0)</x:f>
        <x:v>712</x:v>
      </x:c>
      <x:c r="R450" t="n">
        <x:f>ROUND(O450*P450,0)</x:f>
        <x:v>277</x:v>
      </x:c>
      <x:c r="S450" t="n">
        <x:f>ROUND(O450*IFERROR(INDEX(Assumptions!$C$9:$C$13,MATCH(F450,Assumptions!$A$9:$A$13,0)),0.55),0)</x:f>
        <x:v>494</x:v>
      </x:c>
      <x:c r="T450" t="n">
        <x:f>ROUND(O450*IFERROR(INDEX(Assumptions!$D$9:$D$13,MATCH(F450,Assumptions!$A$9:$A$13,0)),0.06),0)</x:f>
        <x:v>49</x:v>
      </x:c>
      <x:c r="U450" t="n">
        <x:f>ROUND(O450*IFERROR(INDEX(Assumptions!$E$9:$E$13,MATCH(F450,Assumptions!$A$9:$A$13,0)),0.15),0)</x:f>
        <x:v>109</x:v>
      </x:c>
      <x:c r="V450" t="n">
        <x:f>MAX(0,O450-SUM(R450:U450))</x:f>
        <x:v>59.34000000000003</x:v>
      </x:c>
      <x:c r="W450" t="n">
        <x:f>MIN(100,40+IF(O450&gt;0,20,0)+IF(M450&lt;&gt;"",20,0)+IF(AF450&lt;&gt;"",20,0))</x:f>
        <x:v>100</x:v>
      </x:c>
      <x:c r="X450" t="str">
        <x:v>Placed on exact national road host link</x:v>
      </x:c>
      <x:c r="Y450" t="str">
        <x:v>Unpaved</x:v>
      </x:c>
      <x:c r="Z450" t="str">
        <x:v>C</x:v>
      </x:c>
      <x:c r="AA450" t="str">
        <x:v>Not available in governed source</x:v>
      </x:c>
      <x:c r="AB450" t="str">
        <x:v>Not available in governed source</x:v>
      </x:c>
      <x:c r="AC450" t="str">
        <x:v>FY2025/26</x:v>
      </x:c>
      <x:c r="AD450" t="str">
        <x:v>Modelled</x:v>
      </x:c>
      <x:c r="AE450" t="str">
        <x:v>2026 bridge AADT rebuilt from host-link traffic history, annual collection-link history, same-road corridor history and spatial count-station influence. Vehicle-class values are assigned from functional-class shares.</x:v>
      </x:c>
      <x:c r="AF450" t="str">
        <x:v>Placed on exact national road host link</x:v>
      </x:c>
    </x:row>
    <x:row r="451" ht="15" hidden="0" customHeight="1">
      <x:c r="A451" t="str">
        <x:v>bridge-450</x:v>
      </x:c>
      <x:c r="B451" t="str">
        <x:v>B750</x:v>
      </x:c>
      <x:c r="C451" t="str">
        <x:v>TOCHI 2 BRIDGE</x:v>
      </x:c>
      <x:c r="D451" t="str">
        <x:v>C665_Link02</x:v>
      </x:c>
      <x:c r="E451" t="str">
        <x:v>Anyeke-Minakulu</x:v>
      </x:c>
      <x:c r="F451" t="str">
        <x:v>C</x:v>
      </x:c>
      <x:c r="G451" t="str">
        <x:v>Northern</x:v>
      </x:c>
      <x:c r="H451" t="str">
        <x:v>Gulu</x:v>
      </x:c>
      <x:c r="I451" t="str">
        <x:v>TOCHI 2 RIVER</x:v>
      </x:c>
      <x:c r="J451" t="str">
        <x:v>Poor</x:v>
      </x:c>
      <x:c r="K451" t="n">
        <x:v>32.436497</x:v>
      </x:c>
      <x:c r="L451" t="n">
        <x:v>2.408013</x:v>
      </x:c>
      <x:c r="M451" t="n">
        <x:v>32.44115</x:v>
      </x:c>
      <x:c r="N451" t="n">
        <x:v>2.405493</x:v>
      </x:c>
      <x:c r="O451" t="n">
        <x:v>1291.9</x:v>
      </x:c>
      <x:c r="P451" t="n">
        <x:f>IFERROR(INDEX(Assumptions!$B$9:$B$13,MATCH(F451,Assumptions!$A$9:$A$13,0)),0.15)</x:f>
        <x:v>0.28</x:v>
      </x:c>
      <x:c r="Q451" t="n">
        <x:f>ROUND(O451*(1-P451),0)</x:f>
        <x:v>930</x:v>
      </x:c>
      <x:c r="R451" t="n">
        <x:f>ROUND(O451*P451,0)</x:f>
        <x:v>362</x:v>
      </x:c>
      <x:c r="S451" t="n">
        <x:f>ROUND(O451*IFERROR(INDEX(Assumptions!$C$9:$C$13,MATCH(F451,Assumptions!$A$9:$A$13,0)),0.55),0)</x:f>
        <x:v>646</x:v>
      </x:c>
      <x:c r="T451" t="n">
        <x:f>ROUND(O451*IFERROR(INDEX(Assumptions!$D$9:$D$13,MATCH(F451,Assumptions!$A$9:$A$13,0)),0.06),0)</x:f>
        <x:v>65</x:v>
      </x:c>
      <x:c r="U451" t="n">
        <x:f>ROUND(O451*IFERROR(INDEX(Assumptions!$E$9:$E$13,MATCH(F451,Assumptions!$A$9:$A$13,0)),0.15),0)</x:f>
        <x:v>142</x:v>
      </x:c>
      <x:c r="V451" t="n">
        <x:f>MAX(0,O451-SUM(R451:U451))</x:f>
        <x:v>76.90000000000009</x:v>
      </x:c>
      <x:c r="W451" t="n">
        <x:f>MIN(100,40+IF(O451&gt;0,20,0)+IF(M451&lt;&gt;"",20,0)+IF(AF451&lt;&gt;"",20,0))</x:f>
        <x:v>100</x:v>
      </x:c>
      <x:c r="X451" t="str">
        <x:v>Placed on exact national road host link</x:v>
      </x:c>
      <x:c r="Y451" t="str">
        <x:v>Unpaved</x:v>
      </x:c>
      <x:c r="Z451" t="str">
        <x:v>C</x:v>
      </x:c>
      <x:c r="AA451" t="str">
        <x:v>Not available in governed source</x:v>
      </x:c>
      <x:c r="AB451" t="str">
        <x:v>Not available in governed source</x:v>
      </x:c>
      <x:c r="AC451" t="str">
        <x:v>FY2025/26</x:v>
      </x:c>
      <x:c r="AD451" t="str">
        <x:v>Modelled</x:v>
      </x:c>
      <x:c r="AE451" t="str">
        <x:v>2026 bridge AADT rebuilt from host-link traffic history, annual collection-link history, same-road corridor history and spatial count-station influence. Vehicle-class values are assigned from functional-class shares.</x:v>
      </x:c>
      <x:c r="AF451" t="str">
        <x:v>Placed on exact national road host link</x:v>
      </x:c>
    </x:row>
    <x:row r="452" ht="15" hidden="0" customHeight="1">
      <x:c r="A452" t="str">
        <x:v>bridge-451</x:v>
      </x:c>
      <x:c r="B452" t="str">
        <x:v>B751</x:v>
      </x:c>
      <x:c r="C452" t="str">
        <x:v>Okole Bridge 2</x:v>
      </x:c>
      <x:c r="D452" t="str">
        <x:v>C662_Link01</x:v>
      </x:c>
      <x:c r="E452" t="str">
        <x:v>Aduku-Teboke-Loro</x:v>
      </x:c>
      <x:c r="F452" t="str">
        <x:v>C</x:v>
      </x:c>
      <x:c r="G452" t="str">
        <x:v>Northern</x:v>
      </x:c>
      <x:c r="H452" t="str">
        <x:v>Lira</x:v>
      </x:c>
      <x:c r="I452" t="str">
        <x:v>Okole River</x:v>
      </x:c>
      <x:c r="J452" t="str">
        <x:v>Under Construction</x:v>
      </x:c>
      <x:c r="K452" t="n">
        <x:v>32.513</x:v>
      </x:c>
      <x:c r="L452" t="n">
        <x:v>2.20374</x:v>
      </x:c>
      <x:c r="M452" t="n">
        <x:v>32.692597</x:v>
      </x:c>
      <x:c r="N452" t="n">
        <x:v>2.061318</x:v>
      </x:c>
      <x:c r="O452" t="n">
        <x:v>1801</x:v>
      </x:c>
      <x:c r="P452" t="n">
        <x:f>IFERROR(INDEX(Assumptions!$B$9:$B$13,MATCH(F452,Assumptions!$A$9:$A$13,0)),0.15)</x:f>
        <x:v>0.28</x:v>
      </x:c>
      <x:c r="Q452" t="n">
        <x:f>ROUND(O452*(1-P452),0)</x:f>
        <x:v>1297</x:v>
      </x:c>
      <x:c r="R452" t="n">
        <x:f>ROUND(O452*P452,0)</x:f>
        <x:v>504</x:v>
      </x:c>
      <x:c r="S452" t="n">
        <x:f>ROUND(O452*IFERROR(INDEX(Assumptions!$C$9:$C$13,MATCH(F452,Assumptions!$A$9:$A$13,0)),0.55),0)</x:f>
        <x:v>901</x:v>
      </x:c>
      <x:c r="T452" t="n">
        <x:f>ROUND(O452*IFERROR(INDEX(Assumptions!$D$9:$D$13,MATCH(F452,Assumptions!$A$9:$A$13,0)),0.06),0)</x:f>
        <x:v>90</x:v>
      </x:c>
      <x:c r="U452" t="n">
        <x:f>ROUND(O452*IFERROR(INDEX(Assumptions!$E$9:$E$13,MATCH(F452,Assumptions!$A$9:$A$13,0)),0.15),0)</x:f>
        <x:v>198</x:v>
      </x:c>
      <x:c r="V452" t="n">
        <x:f>MAX(0,O452-SUM(R452:U452))</x:f>
        <x:v>108</x:v>
      </x:c>
      <x:c r="W452" t="n">
        <x:f>MIN(100,40+IF(O452&gt;0,20,0)+IF(M452&lt;&gt;"",20,0)+IF(AF452&lt;&gt;"",20,0))</x:f>
        <x:v>100</x:v>
      </x:c>
      <x:c r="X452" t="str">
        <x:v>Placed on exact national road host link</x:v>
      </x:c>
      <x:c r="Y452" t="str">
        <x:v>Unpaved</x:v>
      </x:c>
      <x:c r="Z452" t="str">
        <x:v>C</x:v>
      </x:c>
      <x:c r="AA452" t="str">
        <x:v>Not available in governed source</x:v>
      </x:c>
      <x:c r="AB452" t="str">
        <x:v>Not available in governed source</x:v>
      </x:c>
      <x:c r="AC452" t="str">
        <x:v>FY2025/26</x:v>
      </x:c>
      <x:c r="AD452" t="str">
        <x:v>Modelled</x:v>
      </x:c>
      <x:c r="AE452" t="str">
        <x:v>2026 bridge AADT rebuilt from host-link traffic history, annual collection-link history, same-road corridor history and spatial count-station influence. Vehicle-class values are assigned from functional-class shares.</x:v>
      </x:c>
      <x:c r="AF452" t="str">
        <x:v>Placed on exact national road host link</x:v>
      </x:c>
    </x:row>
    <x:row r="453" ht="15" hidden="0" customHeight="1">
      <x:c r="A453" t="str">
        <x:v>bridge-452</x:v>
      </x:c>
      <x:c r="B453" t="str">
        <x:v>B752</x:v>
      </x:c>
      <x:c r="C453" t="str">
        <x:v>TOCHI BRIDGE</x:v>
      </x:c>
      <x:c r="D453" t="str">
        <x:v>C693_Link01</x:v>
      </x:c>
      <x:c r="E453" t="str">
        <x:v>Atapara-Aber-Atura-Kidilani</x:v>
      </x:c>
      <x:c r="F453" t="str">
        <x:v>C</x:v>
      </x:c>
      <x:c r="G453" t="str">
        <x:v>Northern</x:v>
      </x:c>
      <x:c r="H453" t="str">
        <x:v>Lira</x:v>
      </x:c>
      <x:c r="I453" t="str">
        <x:v>TOCHI RIVER</x:v>
      </x:c>
      <x:c r="J453" t="str">
        <x:v>Poor</x:v>
      </x:c>
      <x:c r="K453" t="n">
        <x:v>32.339561</x:v>
      </x:c>
      <x:c r="L453" t="n">
        <x:v>2.22018</x:v>
      </x:c>
      <x:c r="M453" t="n">
        <x:v>32.38587</x:v>
      </x:c>
      <x:c r="N453" t="n">
        <x:v>2.05402</x:v>
      </x:c>
      <x:c r="O453" t="n">
        <x:v>1291.9</x:v>
      </x:c>
      <x:c r="P453" t="n">
        <x:f>IFERROR(INDEX(Assumptions!$B$9:$B$13,MATCH(F453,Assumptions!$A$9:$A$13,0)),0.15)</x:f>
        <x:v>0.28</x:v>
      </x:c>
      <x:c r="Q453" t="n">
        <x:f>ROUND(O453*(1-P453),0)</x:f>
        <x:v>930</x:v>
      </x:c>
      <x:c r="R453" t="n">
        <x:f>ROUND(O453*P453,0)</x:f>
        <x:v>362</x:v>
      </x:c>
      <x:c r="S453" t="n">
        <x:f>ROUND(O453*IFERROR(INDEX(Assumptions!$C$9:$C$13,MATCH(F453,Assumptions!$A$9:$A$13,0)),0.55),0)</x:f>
        <x:v>646</x:v>
      </x:c>
      <x:c r="T453" t="n">
        <x:f>ROUND(O453*IFERROR(INDEX(Assumptions!$D$9:$D$13,MATCH(F453,Assumptions!$A$9:$A$13,0)),0.06),0)</x:f>
        <x:v>65</x:v>
      </x:c>
      <x:c r="U453" t="n">
        <x:f>ROUND(O453*IFERROR(INDEX(Assumptions!$E$9:$E$13,MATCH(F453,Assumptions!$A$9:$A$13,0)),0.15),0)</x:f>
        <x:v>142</x:v>
      </x:c>
      <x:c r="V453" t="n">
        <x:f>MAX(0,O453-SUM(R453:U453))</x:f>
        <x:v>76.90000000000009</x:v>
      </x:c>
      <x:c r="W453" t="n">
        <x:f>MIN(100,40+IF(O453&gt;0,20,0)+IF(M453&lt;&gt;"",20,0)+IF(AF453&lt;&gt;"",20,0))</x:f>
        <x:v>100</x:v>
      </x:c>
      <x:c r="X453" t="str">
        <x:v>Placed on exact national road host link</x:v>
      </x:c>
      <x:c r="Y453" t="str">
        <x:v>Unpaved</x:v>
      </x:c>
      <x:c r="Z453" t="str">
        <x:v>C</x:v>
      </x:c>
      <x:c r="AA453" t="str">
        <x:v>Not available in governed source</x:v>
      </x:c>
      <x:c r="AB453" t="str">
        <x:v>Not available in governed source</x:v>
      </x:c>
      <x:c r="AC453" t="str">
        <x:v>FY2025/26</x:v>
      </x:c>
      <x:c r="AD453" t="str">
        <x:v>Modelled</x:v>
      </x:c>
      <x:c r="AE453" t="str">
        <x:v>2026 bridge AADT rebuilt from host-link traffic history, annual collection-link history, same-road corridor history and spatial count-station influence. Vehicle-class values are assigned from functional-class shares.</x:v>
      </x:c>
      <x:c r="AF453" t="str">
        <x:v>Placed on exact national road host link</x:v>
      </x:c>
    </x:row>
    <x:row r="454" ht="15" hidden="0" customHeight="1">
      <x:c r="A454" t="str">
        <x:v>bridge-453</x:v>
      </x:c>
      <x:c r="B454" t="str">
        <x:v>B760</x:v>
      </x:c>
      <x:c r="C454" t="str">
        <x:v>ITIRIKWA</x:v>
      </x:c>
      <x:c r="D454" t="str">
        <x:v>C726_Link01</x:v>
      </x:c>
      <x:c r="E454" t="str">
        <x:v>Adjumani - Sinyanya Ferry landing</x:v>
      </x:c>
      <x:c r="F454" t="str">
        <x:v>C</x:v>
      </x:c>
      <x:c r="G454" t="str">
        <x:v>Northern</x:v>
      </x:c>
      <x:c r="H454" t="str">
        <x:v>Moyo</x:v>
      </x:c>
      <x:c r="I454" t="str">
        <x:v>ITIRIKWA</x:v>
      </x:c>
      <x:c r="J454" t="str">
        <x:v>Poor</x:v>
      </x:c>
      <x:c r="K454" t="n">
        <x:v>31.65592</x:v>
      </x:c>
      <x:c r="L454" t="n">
        <x:v>3.26724</x:v>
      </x:c>
      <x:c r="M454" t="n">
        <x:v>31.659487</x:v>
      </x:c>
      <x:c r="N454" t="n">
        <x:v>3.270427</x:v>
      </x:c>
      <x:c r="O454" t="n">
        <x:v>1208.24</x:v>
      </x:c>
      <x:c r="P454" t="n">
        <x:f>IFERROR(INDEX(Assumptions!$B$9:$B$13,MATCH(F454,Assumptions!$A$9:$A$13,0)),0.15)</x:f>
        <x:v>0.28</x:v>
      </x:c>
      <x:c r="Q454" t="n">
        <x:f>ROUND(O454*(1-P454),0)</x:f>
        <x:v>870</x:v>
      </x:c>
      <x:c r="R454" t="n">
        <x:f>ROUND(O454*P454,0)</x:f>
        <x:v>338</x:v>
      </x:c>
      <x:c r="S454" t="n">
        <x:f>ROUND(O454*IFERROR(INDEX(Assumptions!$C$9:$C$13,MATCH(F454,Assumptions!$A$9:$A$13,0)),0.55),0)</x:f>
        <x:v>604</x:v>
      </x:c>
      <x:c r="T454" t="n">
        <x:f>ROUND(O454*IFERROR(INDEX(Assumptions!$D$9:$D$13,MATCH(F454,Assumptions!$A$9:$A$13,0)),0.06),0)</x:f>
        <x:v>60</x:v>
      </x:c>
      <x:c r="U454" t="n">
        <x:f>ROUND(O454*IFERROR(INDEX(Assumptions!$E$9:$E$13,MATCH(F454,Assumptions!$A$9:$A$13,0)),0.15),0)</x:f>
        <x:v>133</x:v>
      </x:c>
      <x:c r="V454" t="n">
        <x:f>MAX(0,O454-SUM(R454:U454))</x:f>
        <x:v>73.24000000000001</x:v>
      </x:c>
      <x:c r="W454" t="n">
        <x:f>MIN(100,40+IF(O454&gt;0,20,0)+IF(M454&lt;&gt;"",20,0)+IF(AF454&lt;&gt;"",20,0))</x:f>
        <x:v>100</x:v>
      </x:c>
      <x:c r="X454" t="str">
        <x:v>Placed on exact national road host link</x:v>
      </x:c>
      <x:c r="Y454" t="str">
        <x:v>Unpaved</x:v>
      </x:c>
      <x:c r="Z454" t="str">
        <x:v>C</x:v>
      </x:c>
      <x:c r="AA454" t="str">
        <x:v>Not available in governed source</x:v>
      </x:c>
      <x:c r="AB454" t="str">
        <x:v>Not available in governed source</x:v>
      </x:c>
      <x:c r="AC454" t="str">
        <x:v>FY2025/26</x:v>
      </x:c>
      <x:c r="AD454" t="str">
        <x:v>Modelled</x:v>
      </x:c>
      <x:c r="AE454" t="str">
        <x:v>2026 bridge AADT rebuilt from host-link traffic history, annual collection-link history, same-road corridor history and spatial count-station influence. Vehicle-class values are assigned from functional-class shares.</x:v>
      </x:c>
      <x:c r="AF454" t="str">
        <x:v>Placed on exact national road host link</x:v>
      </x:c>
    </x:row>
    <x:row r="455" ht="15" hidden="0" customHeight="1">
      <x:c r="A455" t="str">
        <x:v>bridge-454</x:v>
      </x:c>
      <x:c r="B455" t="str">
        <x:v>B761</x:v>
      </x:c>
      <x:c r="C455" t="str">
        <x:v>ALOI BRIDGE</x:v>
      </x:c>
      <x:c r="D455" t="str">
        <x:v>C650_Link01</x:v>
      </x:c>
      <x:c r="E455" t="str">
        <x:v>Lira - Akia</x:v>
      </x:c>
      <x:c r="F455" t="str">
        <x:v>C</x:v>
      </x:c>
      <x:c r="G455" t="str">
        <x:v>Northern</x:v>
      </x:c>
      <x:c r="H455" t="str">
        <x:v>Lira</x:v>
      </x:c>
      <x:c r="I455" t="str">
        <x:v>ALOI</x:v>
      </x:c>
      <x:c r="J455" t="str">
        <x:v>Marginal</x:v>
      </x:c>
      <x:c r="K455" t="n">
        <x:v>33.171299</x:v>
      </x:c>
      <x:c r="L455" t="n">
        <x:v>2.27357</x:v>
      </x:c>
      <x:c r="M455" t="n">
        <x:v>32.97404</x:v>
      </x:c>
      <x:c r="N455" t="n">
        <x:v>2.23975</x:v>
      </x:c>
      <x:c r="O455" t="n">
        <x:v>469.76</x:v>
      </x:c>
      <x:c r="P455" t="n">
        <x:f>IFERROR(INDEX(Assumptions!$B$9:$B$13,MATCH(F455,Assumptions!$A$9:$A$13,0)),0.15)</x:f>
        <x:v>0.28</x:v>
      </x:c>
      <x:c r="Q455" t="n">
        <x:f>ROUND(O455*(1-P455),0)</x:f>
        <x:v>338</x:v>
      </x:c>
      <x:c r="R455" t="n">
        <x:f>ROUND(O455*P455,0)</x:f>
        <x:v>132</x:v>
      </x:c>
      <x:c r="S455" t="n">
        <x:f>ROUND(O455*IFERROR(INDEX(Assumptions!$C$9:$C$13,MATCH(F455,Assumptions!$A$9:$A$13,0)),0.55),0)</x:f>
        <x:v>235</x:v>
      </x:c>
      <x:c r="T455" t="n">
        <x:f>ROUND(O455*IFERROR(INDEX(Assumptions!$D$9:$D$13,MATCH(F455,Assumptions!$A$9:$A$13,0)),0.06),0)</x:f>
        <x:v>23</x:v>
      </x:c>
      <x:c r="U455" t="n">
        <x:f>ROUND(O455*IFERROR(INDEX(Assumptions!$E$9:$E$13,MATCH(F455,Assumptions!$A$9:$A$13,0)),0.15),0)</x:f>
        <x:v>52</x:v>
      </x:c>
      <x:c r="V455" t="n">
        <x:f>MAX(0,O455-SUM(R455:U455))</x:f>
        <x:v>27.75999999999999</x:v>
      </x:c>
      <x:c r="W455" t="n">
        <x:f>MIN(100,40+IF(O455&gt;0,20,0)+IF(M455&lt;&gt;"",20,0)+IF(AF455&lt;&gt;"",20,0))</x:f>
        <x:v>100</x:v>
      </x:c>
      <x:c r="X455" t="str">
        <x:v>Placed on exact national road host link</x:v>
      </x:c>
      <x:c r="Y455" t="str">
        <x:v>Paved</x:v>
      </x:c>
      <x:c r="Z455" t="str">
        <x:v>C</x:v>
      </x:c>
      <x:c r="AA455" t="str">
        <x:v>Not available in governed source</x:v>
      </x:c>
      <x:c r="AB455" t="str">
        <x:v>Not available in governed source</x:v>
      </x:c>
      <x:c r="AC455" t="str">
        <x:v>FY2025/26</x:v>
      </x:c>
      <x:c r="AD455" t="str">
        <x:v>Modelled</x:v>
      </x:c>
      <x:c r="AE455" t="str">
        <x:v>2026 bridge AADT rebuilt from host-link traffic history, annual collection-link history, same-road corridor history and spatial count-station influence. Vehicle-class values are assigned from functional-class shares.</x:v>
      </x:c>
      <x:c r="AF455" t="str">
        <x:v>Placed on exact national road host link</x:v>
      </x:c>
    </x:row>
    <x:row r="456" ht="15" hidden="0" customHeight="1">
      <x:c r="A456" t="str">
        <x:v>bridge-455</x:v>
      </x:c>
      <x:c r="B456" t="str">
        <x:v>B762</x:v>
      </x:c>
      <x:c r="C456" t="str">
        <x:v>NAMUKORA</x:v>
      </x:c>
      <x:c r="D456" t="str">
        <x:v>C678_Link01</x:v>
      </x:c>
      <x:c r="E456" t="str">
        <x:v>Naamokora - Lokapel</x:v>
      </x:c>
      <x:c r="F456" t="str">
        <x:v>C</x:v>
      </x:c>
      <x:c r="G456" t="str">
        <x:v>Northern</x:v>
      </x:c>
      <x:c r="H456" t="str">
        <x:v>Kitgum</x:v>
      </x:c>
      <x:c r="I456" t="str">
        <x:v>PAGER</x:v>
      </x:c>
      <x:c r="J456" t="str">
        <x:v>Satisfactory</x:v>
      </x:c>
      <x:c r="K456" t="n">
        <x:v>33.350052</x:v>
      </x:c>
      <x:c r="L456" t="n">
        <x:v>3.34679</x:v>
      </x:c>
      <x:c r="M456" t="n">
        <x:v>33.482485</x:v>
      </x:c>
      <x:c r="N456" t="n">
        <x:v>2.865966</x:v>
      </x:c>
      <x:c r="O456" t="n">
        <x:v>296.38</x:v>
      </x:c>
      <x:c r="P456" t="n">
        <x:f>IFERROR(INDEX(Assumptions!$B$9:$B$13,MATCH(F456,Assumptions!$A$9:$A$13,0)),0.15)</x:f>
        <x:v>0.28</x:v>
      </x:c>
      <x:c r="Q456" t="n">
        <x:f>ROUND(O456*(1-P456),0)</x:f>
        <x:v>213</x:v>
      </x:c>
      <x:c r="R456" t="n">
        <x:f>ROUND(O456*P456,0)</x:f>
        <x:v>83</x:v>
      </x:c>
      <x:c r="S456" t="n">
        <x:f>ROUND(O456*IFERROR(INDEX(Assumptions!$C$9:$C$13,MATCH(F456,Assumptions!$A$9:$A$13,0)),0.55),0)</x:f>
        <x:v>148</x:v>
      </x:c>
      <x:c r="T456" t="n">
        <x:f>ROUND(O456*IFERROR(INDEX(Assumptions!$D$9:$D$13,MATCH(F456,Assumptions!$A$9:$A$13,0)),0.06),0)</x:f>
        <x:v>15</x:v>
      </x:c>
      <x:c r="U456" t="n">
        <x:f>ROUND(O456*IFERROR(INDEX(Assumptions!$E$9:$E$13,MATCH(F456,Assumptions!$A$9:$A$13,0)),0.15),0)</x:f>
        <x:v>33</x:v>
      </x:c>
      <x:c r="V456" t="n">
        <x:f>MAX(0,O456-SUM(R456:U456))</x:f>
        <x:v>17.379999999999995</x:v>
      </x:c>
      <x:c r="W456" t="n">
        <x:f>MIN(100,40+IF(O456&gt;0,20,0)+IF(M456&lt;&gt;"",20,0)+IF(AF456&lt;&gt;"",20,0))</x:f>
        <x:v>100</x:v>
      </x:c>
      <x:c r="X456" t="str">
        <x:v>Placed on exact national road host link</x:v>
      </x:c>
      <x:c r="Y456" t="str">
        <x:v>Unpaved</x:v>
      </x:c>
      <x:c r="Z456" t="str">
        <x:v>C</x:v>
      </x:c>
      <x:c r="AA456" t="str">
        <x:v>Not available in governed source</x:v>
      </x:c>
      <x:c r="AB456" t="str">
        <x:v>Not available in governed source</x:v>
      </x:c>
      <x:c r="AC456" t="str">
        <x:v>FY2025/26</x:v>
      </x:c>
      <x:c r="AD456" t="str">
        <x:v>Modelled</x:v>
      </x:c>
      <x:c r="AE456" t="str">
        <x:v>2026 bridge AADT rebuilt from host-link traffic history, annual collection-link history, same-road corridor history and spatial count-station influence. Vehicle-class values are assigned from functional-class shares.</x:v>
      </x:c>
      <x:c r="AF456" t="str">
        <x:v>Placed on exact national road host link</x:v>
      </x:c>
    </x:row>
    <x:row r="457" ht="15" hidden="0" customHeight="1">
      <x:c r="A457" t="str">
        <x:v>bridge-456</x:v>
      </x:c>
      <x:c r="B457" t="str">
        <x:v>B763</x:v>
      </x:c>
      <x:c r="C457" t="str">
        <x:v>ENYAU</x:v>
      </x:c>
      <x:c r="D457" t="str">
        <x:v>C751_Link01</x:v>
      </x:c>
      <x:c r="E457" t="str">
        <x:v>Arua - Girigiri - Ovisoni</x:v>
      </x:c>
      <x:c r="F457" t="str">
        <x:v>C</x:v>
      </x:c>
      <x:c r="G457" t="str">
        <x:v>Northern</x:v>
      </x:c>
      <x:c r="H457" t="str">
        <x:v>Arua</x:v>
      </x:c>
      <x:c r="I457" t="str">
        <x:v>ENYAU</x:v>
      </x:c>
      <x:c r="J457" t="str">
        <x:v>Good</x:v>
      </x:c>
      <x:c r="K457" t="n">
        <x:v>30.905081</x:v>
      </x:c>
      <x:c r="L457" t="n">
        <x:v>3.01494</x:v>
      </x:c>
      <x:c r="M457" t="n">
        <x:v>30.90545</x:v>
      </x:c>
      <x:c r="N457" t="n">
        <x:v>3.014505</x:v>
      </x:c>
      <x:c r="O457" t="n">
        <x:v>988.34</x:v>
      </x:c>
      <x:c r="P457" t="n">
        <x:f>IFERROR(INDEX(Assumptions!$B$9:$B$13,MATCH(F457,Assumptions!$A$9:$A$13,0)),0.15)</x:f>
        <x:v>0.28</x:v>
      </x:c>
      <x:c r="Q457" t="n">
        <x:f>ROUND(O457*(1-P457),0)</x:f>
        <x:v>712</x:v>
      </x:c>
      <x:c r="R457" t="n">
        <x:f>ROUND(O457*P457,0)</x:f>
        <x:v>277</x:v>
      </x:c>
      <x:c r="S457" t="n">
        <x:f>ROUND(O457*IFERROR(INDEX(Assumptions!$C$9:$C$13,MATCH(F457,Assumptions!$A$9:$A$13,0)),0.55),0)</x:f>
        <x:v>494</x:v>
      </x:c>
      <x:c r="T457" t="n">
        <x:f>ROUND(O457*IFERROR(INDEX(Assumptions!$D$9:$D$13,MATCH(F457,Assumptions!$A$9:$A$13,0)),0.06),0)</x:f>
        <x:v>49</x:v>
      </x:c>
      <x:c r="U457" t="n">
        <x:f>ROUND(O457*IFERROR(INDEX(Assumptions!$E$9:$E$13,MATCH(F457,Assumptions!$A$9:$A$13,0)),0.15),0)</x:f>
        <x:v>109</x:v>
      </x:c>
      <x:c r="V457" t="n">
        <x:f>MAX(0,O457-SUM(R457:U457))</x:f>
        <x:v>59.34000000000003</x:v>
      </x:c>
      <x:c r="W457" t="n">
        <x:f>MIN(100,40+IF(O457&gt;0,20,0)+IF(M457&lt;&gt;"",20,0)+IF(AF457&lt;&gt;"",20,0))</x:f>
        <x:v>100</x:v>
      </x:c>
      <x:c r="X457" t="str">
        <x:v>Placed on exact national road host link</x:v>
      </x:c>
      <x:c r="Y457" t="str">
        <x:v>Unpaved</x:v>
      </x:c>
      <x:c r="Z457" t="str">
        <x:v>C</x:v>
      </x:c>
      <x:c r="AA457" t="str">
        <x:v>Not available in governed source</x:v>
      </x:c>
      <x:c r="AB457" t="str">
        <x:v>Not available in governed source</x:v>
      </x:c>
      <x:c r="AC457" t="str">
        <x:v>FY2025/26</x:v>
      </x:c>
      <x:c r="AD457" t="str">
        <x:v>Modelled</x:v>
      </x:c>
      <x:c r="AE457" t="str">
        <x:v>2026 bridge AADT rebuilt from host-link traffic history, annual collection-link history, same-road corridor history and spatial count-station influence. Vehicle-class values are assigned from functional-class shares.</x:v>
      </x:c>
      <x:c r="AF457" t="str">
        <x:v>Placed on exact national road host link</x:v>
      </x:c>
    </x:row>
    <x:row r="458" ht="15" hidden="0" customHeight="1">
      <x:c r="A458" t="str">
        <x:v>bridge-457</x:v>
      </x:c>
      <x:c r="B458" t="str">
        <x:v>B764</x:v>
      </x:c>
      <x:c r="C458" t="str">
        <x:v>Amuru Junction - Awee</x:v>
      </x:c>
      <x:c r="D458" t="str">
        <x:v>C686_Link02</x:v>
      </x:c>
      <x:c r="E458" t="str">
        <x:v>Amuru Junction - Awee</x:v>
      </x:c>
      <x:c r="F458" t="str">
        <x:v>C</x:v>
      </x:c>
      <x:c r="G458" t="str">
        <x:v>Northern</x:v>
      </x:c>
      <x:c r="H458" t="str">
        <x:v>Gulu</x:v>
      </x:c>
      <x:c r="I458" t="str">
        <x:v>Amuru Junction - Awee River</x:v>
      </x:c>
      <x:c r="J458" t="str">
        <x:v>Marginal</x:v>
      </x:c>
      <x:c r="K458" t="n">
        <x:v>31.746481</x:v>
      </x:c>
      <x:c r="L458" t="n">
        <x:v>2.85103</x:v>
      </x:c>
      <x:c r="M458" t="n">
        <x:v>31.727379</x:v>
      </x:c>
      <x:c r="N458" t="n">
        <x:v>2.8537</x:v>
      </x:c>
      <x:c r="O458" t="n">
        <x:v>1835.66</x:v>
      </x:c>
      <x:c r="P458" t="n">
        <x:f>IFERROR(INDEX(Assumptions!$B$9:$B$13,MATCH(F458,Assumptions!$A$9:$A$13,0)),0.15)</x:f>
        <x:v>0.28</x:v>
      </x:c>
      <x:c r="Q458" t="n">
        <x:f>ROUND(O458*(1-P458),0)</x:f>
        <x:v>1322</x:v>
      </x:c>
      <x:c r="R458" t="n">
        <x:f>ROUND(O458*P458,0)</x:f>
        <x:v>514</x:v>
      </x:c>
      <x:c r="S458" t="n">
        <x:f>ROUND(O458*IFERROR(INDEX(Assumptions!$C$9:$C$13,MATCH(F458,Assumptions!$A$9:$A$13,0)),0.55),0)</x:f>
        <x:v>918</x:v>
      </x:c>
      <x:c r="T458" t="n">
        <x:f>ROUND(O458*IFERROR(INDEX(Assumptions!$D$9:$D$13,MATCH(F458,Assumptions!$A$9:$A$13,0)),0.06),0)</x:f>
        <x:v>92</x:v>
      </x:c>
      <x:c r="U458" t="n">
        <x:f>ROUND(O458*IFERROR(INDEX(Assumptions!$E$9:$E$13,MATCH(F458,Assumptions!$A$9:$A$13,0)),0.15),0)</x:f>
        <x:v>202</x:v>
      </x:c>
      <x:c r="V458" t="n">
        <x:f>MAX(0,O458-SUM(R458:U458))</x:f>
        <x:v>109.66000000000008</x:v>
      </x:c>
      <x:c r="W458" t="n">
        <x:f>MIN(100,40+IF(O458&gt;0,20,0)+IF(M458&lt;&gt;"",20,0)+IF(AF458&lt;&gt;"",20,0))</x:f>
        <x:v>100</x:v>
      </x:c>
      <x:c r="X458" t="str">
        <x:v>Placed on exact national road host link</x:v>
      </x:c>
      <x:c r="Y458" t="str">
        <x:v>Unpaved</x:v>
      </x:c>
      <x:c r="Z458" t="str">
        <x:v>C</x:v>
      </x:c>
      <x:c r="AA458" t="str">
        <x:v>Not available in governed source</x:v>
      </x:c>
      <x:c r="AB458" t="str">
        <x:v>Not available in governed source</x:v>
      </x:c>
      <x:c r="AC458" t="str">
        <x:v>FY2025/26</x:v>
      </x:c>
      <x:c r="AD458" t="str">
        <x:v>Modelled</x:v>
      </x:c>
      <x:c r="AE458" t="str">
        <x:v>2026 bridge AADT rebuilt from host-link traffic history, annual collection-link history, same-road corridor history and spatial count-station influence. Vehicle-class values are assigned from functional-class shares.</x:v>
      </x:c>
      <x:c r="AF458" t="str">
        <x:v>Placed on exact national road host link</x:v>
      </x:c>
    </x:row>
    <x:row r="459" ht="15" hidden="0" customHeight="1">
      <x:c r="A459" t="str">
        <x:v>bridge-458</x:v>
      </x:c>
      <x:c r="B459" t="str">
        <x:v>B765</x:v>
      </x:c>
      <x:c r="C459" t="str">
        <x:v>Amuru Junction - Awee</x:v>
      </x:c>
      <x:c r="D459" t="str">
        <x:v>C686_Link02</x:v>
      </x:c>
      <x:c r="E459" t="str">
        <x:v>Amuru Junction - Awee</x:v>
      </x:c>
      <x:c r="F459" t="str">
        <x:v>C</x:v>
      </x:c>
      <x:c r="G459" t="str">
        <x:v>Northern</x:v>
      </x:c>
      <x:c r="H459" t="str">
        <x:v>Gulu</x:v>
      </x:c>
      <x:c r="I459" t="str">
        <x:v>Amuru Junction - Awee River</x:v>
      </x:c>
      <x:c r="J459" t="str">
        <x:v>Marginal</x:v>
      </x:c>
      <x:c r="K459" t="n">
        <x:v>31.730659</x:v>
      </x:c>
      <x:c r="L459" t="n">
        <x:v>2.85084</x:v>
      </x:c>
      <x:c r="M459" t="n">
        <x:v>31.727379</x:v>
      </x:c>
      <x:c r="N459" t="n">
        <x:v>2.8537</x:v>
      </x:c>
      <x:c r="O459" t="n">
        <x:v>1835.66</x:v>
      </x:c>
      <x:c r="P459" t="n">
        <x:f>IFERROR(INDEX(Assumptions!$B$9:$B$13,MATCH(F459,Assumptions!$A$9:$A$13,0)),0.15)</x:f>
        <x:v>0.28</x:v>
      </x:c>
      <x:c r="Q459" t="n">
        <x:f>ROUND(O459*(1-P459),0)</x:f>
        <x:v>1322</x:v>
      </x:c>
      <x:c r="R459" t="n">
        <x:f>ROUND(O459*P459,0)</x:f>
        <x:v>514</x:v>
      </x:c>
      <x:c r="S459" t="n">
        <x:f>ROUND(O459*IFERROR(INDEX(Assumptions!$C$9:$C$13,MATCH(F459,Assumptions!$A$9:$A$13,0)),0.55),0)</x:f>
        <x:v>918</x:v>
      </x:c>
      <x:c r="T459" t="n">
        <x:f>ROUND(O459*IFERROR(INDEX(Assumptions!$D$9:$D$13,MATCH(F459,Assumptions!$A$9:$A$13,0)),0.06),0)</x:f>
        <x:v>92</x:v>
      </x:c>
      <x:c r="U459" t="n">
        <x:f>ROUND(O459*IFERROR(INDEX(Assumptions!$E$9:$E$13,MATCH(F459,Assumptions!$A$9:$A$13,0)),0.15),0)</x:f>
        <x:v>202</x:v>
      </x:c>
      <x:c r="V459" t="n">
        <x:f>MAX(0,O459-SUM(R459:U459))</x:f>
        <x:v>109.66000000000008</x:v>
      </x:c>
      <x:c r="W459" t="n">
        <x:f>MIN(100,40+IF(O459&gt;0,20,0)+IF(M459&lt;&gt;"",20,0)+IF(AF459&lt;&gt;"",20,0))</x:f>
        <x:v>100</x:v>
      </x:c>
      <x:c r="X459" t="str">
        <x:v>Placed on exact national road host link</x:v>
      </x:c>
      <x:c r="Y459" t="str">
        <x:v>Unpaved</x:v>
      </x:c>
      <x:c r="Z459" t="str">
        <x:v>C</x:v>
      </x:c>
      <x:c r="AA459" t="str">
        <x:v>Not available in governed source</x:v>
      </x:c>
      <x:c r="AB459" t="str">
        <x:v>Not available in governed source</x:v>
      </x:c>
      <x:c r="AC459" t="str">
        <x:v>FY2025/26</x:v>
      </x:c>
      <x:c r="AD459" t="str">
        <x:v>Modelled</x:v>
      </x:c>
      <x:c r="AE459" t="str">
        <x:v>2026 bridge AADT rebuilt from host-link traffic history, annual collection-link history, same-road corridor history and spatial count-station influence. Vehicle-class values are assigned from functional-class shares.</x:v>
      </x:c>
      <x:c r="AF459" t="str">
        <x:v>Placed on exact national road host link</x:v>
      </x:c>
    </x:row>
    <x:row r="460" ht="15" hidden="0" customHeight="1">
      <x:c r="A460" t="str">
        <x:v>bridge-459</x:v>
      </x:c>
      <x:c r="B460" t="str">
        <x:v>B766</x:v>
      </x:c>
      <x:c r="C460" t="str">
        <x:v>Amuru Junction - Awee</x:v>
      </x:c>
      <x:c r="D460" t="str">
        <x:v>C686_Link02</x:v>
      </x:c>
      <x:c r="E460" t="str">
        <x:v>Amuru Junction - Awee</x:v>
      </x:c>
      <x:c r="F460" t="str">
        <x:v>C</x:v>
      </x:c>
      <x:c r="G460" t="str">
        <x:v>Northern</x:v>
      </x:c>
      <x:c r="H460" t="str">
        <x:v>Gulu</x:v>
      </x:c>
      <x:c r="I460" t="str">
        <x:v>Amuru Junction - Awee River</x:v>
      </x:c>
      <x:c r="J460" t="str">
        <x:v>Marginal</x:v>
      </x:c>
      <x:c r="K460" t="n">
        <x:v>31.714809</x:v>
      </x:c>
      <x:c r="L460" t="n">
        <x:v>2.86182</x:v>
      </x:c>
      <x:c r="M460" t="n">
        <x:v>31.713149</x:v>
      </x:c>
      <x:c r="N460" t="n">
        <x:v>2.862597</x:v>
      </x:c>
      <x:c r="O460" t="n">
        <x:v>1835.66</x:v>
      </x:c>
      <x:c r="P460" t="n">
        <x:f>IFERROR(INDEX(Assumptions!$B$9:$B$13,MATCH(F460,Assumptions!$A$9:$A$13,0)),0.15)</x:f>
        <x:v>0.28</x:v>
      </x:c>
      <x:c r="Q460" t="n">
        <x:f>ROUND(O460*(1-P460),0)</x:f>
        <x:v>1322</x:v>
      </x:c>
      <x:c r="R460" t="n">
        <x:f>ROUND(O460*P460,0)</x:f>
        <x:v>514</x:v>
      </x:c>
      <x:c r="S460" t="n">
        <x:f>ROUND(O460*IFERROR(INDEX(Assumptions!$C$9:$C$13,MATCH(F460,Assumptions!$A$9:$A$13,0)),0.55),0)</x:f>
        <x:v>918</x:v>
      </x:c>
      <x:c r="T460" t="n">
        <x:f>ROUND(O460*IFERROR(INDEX(Assumptions!$D$9:$D$13,MATCH(F460,Assumptions!$A$9:$A$13,0)),0.06),0)</x:f>
        <x:v>92</x:v>
      </x:c>
      <x:c r="U460" t="n">
        <x:f>ROUND(O460*IFERROR(INDEX(Assumptions!$E$9:$E$13,MATCH(F460,Assumptions!$A$9:$A$13,0)),0.15),0)</x:f>
        <x:v>202</x:v>
      </x:c>
      <x:c r="V460" t="n">
        <x:f>MAX(0,O460-SUM(R460:U460))</x:f>
        <x:v>109.66000000000008</x:v>
      </x:c>
      <x:c r="W460" t="n">
        <x:f>MIN(100,40+IF(O460&gt;0,20,0)+IF(M460&lt;&gt;"",20,0)+IF(AF460&lt;&gt;"",20,0))</x:f>
        <x:v>100</x:v>
      </x:c>
      <x:c r="X460" t="str">
        <x:v>Placed on exact national road host link</x:v>
      </x:c>
      <x:c r="Y460" t="str">
        <x:v>Unpaved</x:v>
      </x:c>
      <x:c r="Z460" t="str">
        <x:v>C</x:v>
      </x:c>
      <x:c r="AA460" t="str">
        <x:v>Not available in governed source</x:v>
      </x:c>
      <x:c r="AB460" t="str">
        <x:v>Not available in governed source</x:v>
      </x:c>
      <x:c r="AC460" t="str">
        <x:v>FY2025/26</x:v>
      </x:c>
      <x:c r="AD460" t="str">
        <x:v>Modelled</x:v>
      </x:c>
      <x:c r="AE460" t="str">
        <x:v>2026 bridge AADT rebuilt from host-link traffic history, annual collection-link history, same-road corridor history and spatial count-station influence. Vehicle-class values are assigned from functional-class shares.</x:v>
      </x:c>
      <x:c r="AF460" t="str">
        <x:v>Placed on exact national road host link</x:v>
      </x:c>
    </x:row>
    <x:row r="461" ht="15" hidden="0" customHeight="1">
      <x:c r="A461" t="str">
        <x:v>bridge-460</x:v>
      </x:c>
      <x:c r="B461" t="str">
        <x:v>B771</x:v>
      </x:c>
      <x:c r="C461" t="str">
        <x:v>Nalubaale Dam / Owen Falls</x:v>
      </x:c>
      <x:c r="D461" t="str">
        <x:v>B302_Link01</x:v>
      </x:c>
      <x:c r="E461" t="str">
        <x:v>Kotido - Abim</x:v>
      </x:c>
      <x:c r="F461" t="str">
        <x:v>B</x:v>
      </x:c>
      <x:c r="G461" t="str">
        <x:v>North Eastern</x:v>
      </x:c>
      <x:c r="H461" t="str">
        <x:v>Kotido</x:v>
      </x:c>
      <x:c r="I461" t="str">
        <x:v>Nalubaale Dam / Owen Falls River</x:v>
      </x:c>
      <x:c r="J461" t="str">
        <x:v>Good</x:v>
      </x:c>
      <x:c r="K461" t="n">
        <x:v>34.066</x:v>
      </x:c>
      <x:c r="L461" t="n">
        <x:v>3.006</x:v>
      </x:c>
      <x:c r="M461" t="n">
        <x:v>34.066</x:v>
      </x:c>
      <x:c r="N461" t="n">
        <x:v>3.006</x:v>
      </x:c>
      <x:c r="O461" t="n">
        <x:v>0</x:v>
      </x:c>
      <x:c r="P461" t="n">
        <x:f>IFERROR(INDEX(Assumptions!$B$9:$B$13,MATCH(F461,Assumptions!$A$9:$A$13,0)),0.15)</x:f>
        <x:v>0.16</x:v>
      </x:c>
      <x:c r="Q461" t="n">
        <x:f>ROUND(O461*(1-P461),0)</x:f>
        <x:v>0</x:v>
      </x:c>
      <x:c r="R461" t="n">
        <x:f>ROUND(O461*P461,0)</x:f>
        <x:v>0</x:v>
      </x:c>
      <x:c r="S461" t="n">
        <x:f>ROUND(O461*IFERROR(INDEX(Assumptions!$C$9:$C$13,MATCH(F461,Assumptions!$A$9:$A$13,0)),0.55),0)</x:f>
        <x:v>0</x:v>
      </x:c>
      <x:c r="T461" t="n">
        <x:f>ROUND(O461*IFERROR(INDEX(Assumptions!$D$9:$D$13,MATCH(F461,Assumptions!$A$9:$A$13,0)),0.06),0)</x:f>
        <x:v>0</x:v>
      </x:c>
      <x:c r="U461" t="n">
        <x:f>ROUND(O461*IFERROR(INDEX(Assumptions!$E$9:$E$13,MATCH(F461,Assumptions!$A$9:$A$13,0)),0.15),0)</x:f>
        <x:v>0</x:v>
      </x:c>
      <x:c r="V461" t="n">
        <x:f>MAX(0,O461-SUM(R461:U461))</x:f>
        <x:v>0</x:v>
      </x:c>
      <x:c r="W461" t="n">
        <x:f>MIN(100,40+IF(O461&gt;0,20,0)+IF(M461&lt;&gt;"",20,0)+IF(AF461&lt;&gt;"",20,0))</x:f>
        <x:v>80</x:v>
      </x:c>
      <x:c r="X461" t="str">
        <x:v>manual</x:v>
      </x:c>
      <x:c r="Y461" t="str">
        <x:v>Unpaved</x:v>
      </x:c>
      <x:c r="Z461" t="str">
        <x:v>B</x:v>
      </x:c>
      <x:c r="AA461" t="str">
        <x:v>Not available in governed source</x:v>
      </x:c>
      <x:c r="AB461" t="str">
        <x:v>Not available in governed source</x:v>
      </x:c>
      <x:c r="AC461" t="str">
        <x:v>FY2025/26</x:v>
      </x:c>
      <x:c r="AD461" t="str">
        <x:v>Modelled</x:v>
      </x:c>
      <x:c r="AE461" t="str">
        <x:v>2026 bridge AADT rebuilt from host-link traffic history, annual collection-link history, same-road corridor history and spatial count-station influence. Vehicle-class values are assigned from functional-class shares.</x:v>
      </x:c>
      <x:c r="AF461" t="str">
        <x:v>manual</x:v>
      </x:c>
    </x:row>
    <x:row r="462" ht="15" hidden="0" customHeight="1">
      <x:c r="A462" t="str">
        <x:v>bridge-461</x:v>
      </x:c>
      <x:c r="B462" t="str">
        <x:v>B772</x:v>
      </x:c>
      <x:c r="C462" t="str">
        <x:v>Nabilatuk Irish Crossing</x:v>
      </x:c>
      <x:c r="D462" t="str">
        <x:v>C960_Link01</x:v>
      </x:c>
      <x:c r="E462" t="str">
        <x:v>Angatun-Nabilatuk-Lokapel</x:v>
      </x:c>
      <x:c r="F462" t="str">
        <x:v>C</x:v>
      </x:c>
      <x:c r="G462" t="str">
        <x:v>North Eastern</x:v>
      </x:c>
      <x:c r="H462" t="str">
        <x:v>Moroto</x:v>
      </x:c>
      <x:c r="I462" t="str">
        <x:v>Unknown Road Waterway</x:v>
      </x:c>
      <x:c r="J462" t="str">
        <x:v>Good</x:v>
      </x:c>
      <x:c r="K462" t="n">
        <x:v>34.584</x:v>
      </x:c>
      <x:c r="L462" t="n">
        <x:v>1.862</x:v>
      </x:c>
      <x:c r="M462" t="n">
        <x:v>34.584</x:v>
      </x:c>
      <x:c r="N462" t="n">
        <x:v>1.862</x:v>
      </x:c>
      <x:c r="O462" t="n">
        <x:v>0</x:v>
      </x:c>
      <x:c r="P462" t="n">
        <x:f>IFERROR(INDEX(Assumptions!$B$9:$B$13,MATCH(F462,Assumptions!$A$9:$A$13,0)),0.15)</x:f>
        <x:v>0.28</x:v>
      </x:c>
      <x:c r="Q462" t="n">
        <x:f>ROUND(O462*(1-P462),0)</x:f>
        <x:v>0</x:v>
      </x:c>
      <x:c r="R462" t="n">
        <x:f>ROUND(O462*P462,0)</x:f>
        <x:v>0</x:v>
      </x:c>
      <x:c r="S462" t="n">
        <x:f>ROUND(O462*IFERROR(INDEX(Assumptions!$C$9:$C$13,MATCH(F462,Assumptions!$A$9:$A$13,0)),0.55),0)</x:f>
        <x:v>0</x:v>
      </x:c>
      <x:c r="T462" t="n">
        <x:f>ROUND(O462*IFERROR(INDEX(Assumptions!$D$9:$D$13,MATCH(F462,Assumptions!$A$9:$A$13,0)),0.06),0)</x:f>
        <x:v>0</x:v>
      </x:c>
      <x:c r="U462" t="n">
        <x:f>ROUND(O462*IFERROR(INDEX(Assumptions!$E$9:$E$13,MATCH(F462,Assumptions!$A$9:$A$13,0)),0.15),0)</x:f>
        <x:v>0</x:v>
      </x:c>
      <x:c r="V462" t="n">
        <x:f>MAX(0,O462-SUM(R462:U462))</x:f>
        <x:v>0</x:v>
      </x:c>
      <x:c r="W462" t="n">
        <x:f>MIN(100,40+IF(O462&gt;0,20,0)+IF(M462&lt;&gt;"",20,0)+IF(AF462&lt;&gt;"",20,0))</x:f>
        <x:v>80</x:v>
      </x:c>
      <x:c r="X462" t="str">
        <x:v>manual</x:v>
      </x:c>
      <x:c r="Y462" t="str">
        <x:v>Unpaved</x:v>
      </x:c>
      <x:c r="Z462" t="str">
        <x:v>C</x:v>
      </x:c>
      <x:c r="AA462" t="str">
        <x:v>Not available in governed source</x:v>
      </x:c>
      <x:c r="AB462" t="str">
        <x:v>Not available in governed source</x:v>
      </x:c>
      <x:c r="AC462" t="str">
        <x:v>FY2025/26</x:v>
      </x:c>
      <x:c r="AD462" t="str">
        <x:v>Modelled</x:v>
      </x:c>
      <x:c r="AE462" t="str">
        <x:v>2026 bridge AADT rebuilt from host-link traffic history, annual collection-link history, same-road corridor history and spatial count-station influence. Vehicle-class values are assigned from functional-class shares.</x:v>
      </x:c>
      <x:c r="AF462" t="str">
        <x:v>manual</x:v>
      </x:c>
    </x:row>
    <x:row r="463" ht="15" hidden="0" customHeight="1">
      <x:c r="A463" t="str">
        <x:v>bridge-462</x:v>
      </x:c>
      <x:c r="B463" t="str">
        <x:v>B861</x:v>
      </x:c>
      <x:c r="C463" t="str">
        <x:v>ROAD OVER SUGARCANE PLANTATION</x:v>
      </x:c>
      <x:c r="D463" t="str">
        <x:v>A001_Link06</x:v>
      </x:c>
      <x:c r="E463" t="str">
        <x:v>Kakira junction - Iganga</x:v>
      </x:c>
      <x:c r="F463" t="str">
        <x:v>A</x:v>
      </x:c>
      <x:c r="G463" t="str">
        <x:v>Eastern</x:v>
      </x:c>
      <x:c r="H463" t="str">
        <x:v>Jinja</x:v>
      </x:c>
      <x:c r="I463" t="str">
        <x:v>Road Over Sugarcane Plantation River</x:v>
      </x:c>
      <x:c r="J463" t="str">
        <x:v>Satisfactory</x:v>
      </x:c>
      <x:c r="K463" t="n">
        <x:v>33.298061</x:v>
      </x:c>
      <x:c r="L463" t="n">
        <x:v>0.49291</x:v>
      </x:c>
      <x:c r="M463" t="n">
        <x:v>33.28486</x:v>
      </x:c>
      <x:c r="N463" t="n">
        <x:v>0.4861</x:v>
      </x:c>
      <x:c r="O463" t="n">
        <x:v>12039.86</x:v>
      </x:c>
      <x:c r="P463" t="n">
        <x:f>IFERROR(INDEX(Assumptions!$B$9:$B$13,MATCH(F463,Assumptions!$A$9:$A$13,0)),0.15)</x:f>
        <x:v>0.12</x:v>
      </x:c>
      <x:c r="Q463" t="n">
        <x:f>ROUND(O463*(1-P463),0)</x:f>
        <x:v>10595</x:v>
      </x:c>
      <x:c r="R463" t="n">
        <x:f>ROUND(O463*P463,0)</x:f>
        <x:v>1445</x:v>
      </x:c>
      <x:c r="S463" t="n">
        <x:f>ROUND(O463*IFERROR(INDEX(Assumptions!$C$9:$C$13,MATCH(F463,Assumptions!$A$9:$A$13,0)),0.55),0)</x:f>
        <x:v>6983</x:v>
      </x:c>
      <x:c r="T463" t="n">
        <x:f>ROUND(O463*IFERROR(INDEX(Assumptions!$D$9:$D$13,MATCH(F463,Assumptions!$A$9:$A$13,0)),0.06),0)</x:f>
        <x:v>963</x:v>
      </x:c>
      <x:c r="U463" t="n">
        <x:f>ROUND(O463*IFERROR(INDEX(Assumptions!$E$9:$E$13,MATCH(F463,Assumptions!$A$9:$A$13,0)),0.15),0)</x:f>
        <x:v>2167</x:v>
      </x:c>
      <x:c r="V463" t="n">
        <x:f>MAX(0,O463-SUM(R463:U463))</x:f>
        <x:v>481.8600000000006</x:v>
      </x:c>
      <x:c r="W463" t="n">
        <x:f>MIN(100,40+IF(O463&gt;0,20,0)+IF(M463&lt;&gt;"",20,0)+IF(AF463&lt;&gt;"",20,0))</x:f>
        <x:v>100</x:v>
      </x:c>
      <x:c r="X463" t="str">
        <x:v>Placed on exact national road host link</x:v>
      </x:c>
      <x:c r="Y463" t="str">
        <x:v>Paved</x:v>
      </x:c>
      <x:c r="Z463" t="str">
        <x:v>A</x:v>
      </x:c>
      <x:c r="AA463" t="str">
        <x:v>Not available in governed source</x:v>
      </x:c>
      <x:c r="AB463" t="str">
        <x:v>Not available in governed source</x:v>
      </x:c>
      <x:c r="AC463" t="str">
        <x:v>FY2025/26</x:v>
      </x:c>
      <x:c r="AD463" t="str">
        <x:v>Modelled</x:v>
      </x:c>
      <x:c r="AE463" t="str">
        <x:v>2026 bridge AADT rebuilt from host-link traffic history, annual collection-link history, same-road corridor history and spatial count-station influence. Vehicle-class values are assigned from functional-class shares.</x:v>
      </x:c>
      <x:c r="AF463" t="str">
        <x:v>Placed on exact national road host link</x:v>
      </x:c>
    </x:row>
    <x:row r="464" ht="15" hidden="0" customHeight="1">
      <x:c r="A464" t="str">
        <x:v>bridge-463</x:v>
      </x:c>
      <x:c r="B464" t="str">
        <x:v>B862</x:v>
      </x:c>
      <x:c r="C464" t="str">
        <x:v>ROAD OVER SUGARCANE PLANTATION</x:v>
      </x:c>
      <x:c r="D464" t="str">
        <x:v>A001_Link06</x:v>
      </x:c>
      <x:c r="E464" t="str">
        <x:v>Kakira junction - Iganga</x:v>
      </x:c>
      <x:c r="F464" t="str">
        <x:v>A</x:v>
      </x:c>
      <x:c r="G464" t="str">
        <x:v>Eastern</x:v>
      </x:c>
      <x:c r="H464" t="str">
        <x:v>Jinja</x:v>
      </x:c>
      <x:c r="I464" t="str">
        <x:v>Road Over Sugarcane Plantation River</x:v>
      </x:c>
      <x:c r="J464" t="str">
        <x:v>Satisfactory</x:v>
      </x:c>
      <x:c r="K464" t="n">
        <x:v>33.319271</x:v>
      </x:c>
      <x:c r="L464" t="n">
        <x:v>0.50398</x:v>
      </x:c>
      <x:c r="M464" t="n">
        <x:v>33.28486</x:v>
      </x:c>
      <x:c r="N464" t="n">
        <x:v>0.4861</x:v>
      </x:c>
      <x:c r="O464" t="n">
        <x:v>12039.86</x:v>
      </x:c>
      <x:c r="P464" t="n">
        <x:f>IFERROR(INDEX(Assumptions!$B$9:$B$13,MATCH(F464,Assumptions!$A$9:$A$13,0)),0.15)</x:f>
        <x:v>0.12</x:v>
      </x:c>
      <x:c r="Q464" t="n">
        <x:f>ROUND(O464*(1-P464),0)</x:f>
        <x:v>10595</x:v>
      </x:c>
      <x:c r="R464" t="n">
        <x:f>ROUND(O464*P464,0)</x:f>
        <x:v>1445</x:v>
      </x:c>
      <x:c r="S464" t="n">
        <x:f>ROUND(O464*IFERROR(INDEX(Assumptions!$C$9:$C$13,MATCH(F464,Assumptions!$A$9:$A$13,0)),0.55),0)</x:f>
        <x:v>6983</x:v>
      </x:c>
      <x:c r="T464" t="n">
        <x:f>ROUND(O464*IFERROR(INDEX(Assumptions!$D$9:$D$13,MATCH(F464,Assumptions!$A$9:$A$13,0)),0.06),0)</x:f>
        <x:v>963</x:v>
      </x:c>
      <x:c r="U464" t="n">
        <x:f>ROUND(O464*IFERROR(INDEX(Assumptions!$E$9:$E$13,MATCH(F464,Assumptions!$A$9:$A$13,0)),0.15),0)</x:f>
        <x:v>2167</x:v>
      </x:c>
      <x:c r="V464" t="n">
        <x:f>MAX(0,O464-SUM(R464:U464))</x:f>
        <x:v>481.8600000000006</x:v>
      </x:c>
      <x:c r="W464" t="n">
        <x:f>MIN(100,40+IF(O464&gt;0,20,0)+IF(M464&lt;&gt;"",20,0)+IF(AF464&lt;&gt;"",20,0))</x:f>
        <x:v>100</x:v>
      </x:c>
      <x:c r="X464" t="str">
        <x:v>Placed on exact national road host link</x:v>
      </x:c>
      <x:c r="Y464" t="str">
        <x:v>Paved</x:v>
      </x:c>
      <x:c r="Z464" t="str">
        <x:v>A</x:v>
      </x:c>
      <x:c r="AA464" t="str">
        <x:v>Not available in governed source</x:v>
      </x:c>
      <x:c r="AB464" t="str">
        <x:v>Not available in governed source</x:v>
      </x:c>
      <x:c r="AC464" t="str">
        <x:v>FY2025/26</x:v>
      </x:c>
      <x:c r="AD464" t="str">
        <x:v>Modelled</x:v>
      </x:c>
      <x:c r="AE464" t="str">
        <x:v>2026 bridge AADT rebuilt from host-link traffic history, annual collection-link history, same-road corridor history and spatial count-station influence. Vehicle-class values are assigned from functional-class shares.</x:v>
      </x:c>
      <x:c r="AF464" t="str">
        <x:v>Placed on exact national road host link</x:v>
      </x:c>
    </x:row>
    <x:row r="465" ht="15" hidden="0" customHeight="1">
      <x:c r="A465" t="str">
        <x:v>bridge-464</x:v>
      </x:c>
      <x:c r="B465" t="str">
        <x:v>B863</x:v>
      </x:c>
      <x:c r="C465" t="str">
        <x:v>MALAWA</x:v>
      </x:c>
      <x:c r="D465" t="str">
        <x:v>B308_Link01</x:v>
      </x:c>
      <x:c r="E465" t="str">
        <x:v>Namutere - Busia</x:v>
      </x:c>
      <x:c r="F465" t="str">
        <x:v>B</x:v>
      </x:c>
      <x:c r="G465" t="str">
        <x:v>Eastern</x:v>
      </x:c>
      <x:c r="H465" t="str">
        <x:v>Tororo</x:v>
      </x:c>
      <x:c r="I465" t="str">
        <x:v>MALAWA</x:v>
      </x:c>
      <x:c r="J465" t="str">
        <x:v>Good</x:v>
      </x:c>
      <x:c r="K465" t="n">
        <x:v>34.052441</x:v>
      </x:c>
      <x:c r="L465" t="n">
        <x:v>0.58559</x:v>
      </x:c>
      <x:c r="M465" t="n">
        <x:v>34.094877</x:v>
      </x:c>
      <x:c r="N465" t="n">
        <x:v>0.465697</x:v>
      </x:c>
      <x:c r="O465" t="n">
        <x:v>6096.72</x:v>
      </x:c>
      <x:c r="P465" t="n">
        <x:f>IFERROR(INDEX(Assumptions!$B$9:$B$13,MATCH(F465,Assumptions!$A$9:$A$13,0)),0.15)</x:f>
        <x:v>0.16</x:v>
      </x:c>
      <x:c r="Q465" t="n">
        <x:f>ROUND(O465*(1-P465),0)</x:f>
        <x:v>5121</x:v>
      </x:c>
      <x:c r="R465" t="n">
        <x:f>ROUND(O465*P465,0)</x:f>
        <x:v>975</x:v>
      </x:c>
      <x:c r="S465" t="n">
        <x:f>ROUND(O465*IFERROR(INDEX(Assumptions!$C$9:$C$13,MATCH(F465,Assumptions!$A$9:$A$13,0)),0.55),0)</x:f>
        <x:v>3414</x:v>
      </x:c>
      <x:c r="T465" t="n">
        <x:f>ROUND(O465*IFERROR(INDEX(Assumptions!$D$9:$D$13,MATCH(F465,Assumptions!$A$9:$A$13,0)),0.06),0)</x:f>
        <x:v>427</x:v>
      </x:c>
      <x:c r="U465" t="n">
        <x:f>ROUND(O465*IFERROR(INDEX(Assumptions!$E$9:$E$13,MATCH(F465,Assumptions!$A$9:$A$13,0)),0.15),0)</x:f>
        <x:v>975</x:v>
      </x:c>
      <x:c r="V465" t="n">
        <x:f>MAX(0,O465-SUM(R465:U465))</x:f>
        <x:v>305.72000000000025</x:v>
      </x:c>
      <x:c r="W465" t="n">
        <x:f>MIN(100,40+IF(O465&gt;0,20,0)+IF(M465&lt;&gt;"",20,0)+IF(AF465&lt;&gt;"",20,0))</x:f>
        <x:v>100</x:v>
      </x:c>
      <x:c r="X465" t="str">
        <x:v>Placed on exact national road host link</x:v>
      </x:c>
      <x:c r="Y465" t="str">
        <x:v>Paved</x:v>
      </x:c>
      <x:c r="Z465" t="str">
        <x:v>B</x:v>
      </x:c>
      <x:c r="AA465" t="str">
        <x:v>Not available in governed source</x:v>
      </x:c>
      <x:c r="AB465" t="str">
        <x:v>Not available in governed source</x:v>
      </x:c>
      <x:c r="AC465" t="str">
        <x:v>FY2025/26</x:v>
      </x:c>
      <x:c r="AD465" t="str">
        <x:v>Modelled</x:v>
      </x:c>
      <x:c r="AE465" t="str">
        <x:v>2026 bridge AADT rebuilt from host-link traffic history, annual collection-link history, same-road corridor history and spatial count-station influence. Vehicle-class values are assigned from functional-class shares.</x:v>
      </x:c>
      <x:c r="AF465" t="str">
        <x:v>Placed on exact national road host link</x:v>
      </x:c>
    </x:row>
    <x:row r="466" ht="15" hidden="0" customHeight="1">
      <x:c r="A466" t="str">
        <x:v>bridge-465</x:v>
      </x:c>
      <x:c r="B466" t="str">
        <x:v>B864</x:v>
      </x:c>
      <x:c r="C466" t="str">
        <x:v>KIGULI BRIDGE</x:v>
      </x:c>
      <x:c r="D466" t="str">
        <x:v>C862_Link01</x:v>
      </x:c>
      <x:c r="E466" t="str">
        <x:v>Namagumba - Budadiri</x:v>
      </x:c>
      <x:c r="F466" t="str">
        <x:v>C</x:v>
      </x:c>
      <x:c r="G466" t="str">
        <x:v>Eastern</x:v>
      </x:c>
      <x:c r="H466" t="str">
        <x:v>Mbale</x:v>
      </x:c>
      <x:c r="I466" t="str">
        <x:v>SIRONKO</x:v>
      </x:c>
      <x:c r="J466" t="str">
        <x:v>Good</x:v>
      </x:c>
      <x:c r="K466" t="n">
        <x:v>34.370029</x:v>
      </x:c>
      <x:c r="L466" t="n">
        <x:v>1.15105</x:v>
      </x:c>
      <x:c r="M466" t="n">
        <x:v>34.33581</x:v>
      </x:c>
      <x:c r="N466" t="n">
        <x:v>1.17053</x:v>
      </x:c>
      <x:c r="O466" t="n">
        <x:v>1929.85</x:v>
      </x:c>
      <x:c r="P466" t="n">
        <x:f>IFERROR(INDEX(Assumptions!$B$9:$B$13,MATCH(F466,Assumptions!$A$9:$A$13,0)),0.15)</x:f>
        <x:v>0.28</x:v>
      </x:c>
      <x:c r="Q466" t="n">
        <x:f>ROUND(O466*(1-P466),0)</x:f>
        <x:v>1389</x:v>
      </x:c>
      <x:c r="R466" t="n">
        <x:f>ROUND(O466*P466,0)</x:f>
        <x:v>540</x:v>
      </x:c>
      <x:c r="S466" t="n">
        <x:f>ROUND(O466*IFERROR(INDEX(Assumptions!$C$9:$C$13,MATCH(F466,Assumptions!$A$9:$A$13,0)),0.55),0)</x:f>
        <x:v>965</x:v>
      </x:c>
      <x:c r="T466" t="n">
        <x:f>ROUND(O466*IFERROR(INDEX(Assumptions!$D$9:$D$13,MATCH(F466,Assumptions!$A$9:$A$13,0)),0.06),0)</x:f>
        <x:v>96</x:v>
      </x:c>
      <x:c r="U466" t="n">
        <x:f>ROUND(O466*IFERROR(INDEX(Assumptions!$E$9:$E$13,MATCH(F466,Assumptions!$A$9:$A$13,0)),0.15),0)</x:f>
        <x:v>212</x:v>
      </x:c>
      <x:c r="V466" t="n">
        <x:f>MAX(0,O466-SUM(R466:U466))</x:f>
        <x:v>116.84999999999991</x:v>
      </x:c>
      <x:c r="W466" t="n">
        <x:f>MIN(100,40+IF(O466&gt;0,20,0)+IF(M466&lt;&gt;"",20,0)+IF(AF466&lt;&gt;"",20,0))</x:f>
        <x:v>100</x:v>
      </x:c>
      <x:c r="X466" t="str">
        <x:v>Placed on exact national road host link</x:v>
      </x:c>
      <x:c r="Y466" t="str">
        <x:v>Unpaved</x:v>
      </x:c>
      <x:c r="Z466" t="str">
        <x:v>C</x:v>
      </x:c>
      <x:c r="AA466" t="str">
        <x:v>Not available in governed source</x:v>
      </x:c>
      <x:c r="AB466" t="str">
        <x:v>Not available in governed source</x:v>
      </x:c>
      <x:c r="AC466" t="str">
        <x:v>FY2025/26</x:v>
      </x:c>
      <x:c r="AD466" t="str">
        <x:v>Modelled</x:v>
      </x:c>
      <x:c r="AE466" t="str">
        <x:v>2026 bridge AADT rebuilt from host-link traffic history, annual collection-link history, same-road corridor history and spatial count-station influence. Vehicle-class values are assigned from functional-class shares.</x:v>
      </x:c>
      <x:c r="AF466" t="str">
        <x:v>Placed on exact national road host link</x:v>
      </x:c>
    </x:row>
    <x:row r="467" ht="15" hidden="0" customHeight="1">
      <x:c r="A467" t="str">
        <x:v>bridge-466</x:v>
      </x:c>
      <x:c r="B467" t="str">
        <x:v>B865</x:v>
      </x:c>
      <x:c r="C467" t="str">
        <x:v>LERESI</x:v>
      </x:c>
      <x:c r="D467" t="str">
        <x:v>C833_Link01</x:v>
      </x:c>
      <x:c r="E467" t="str">
        <x:v>Nabumali junction-Busolwe</x:v>
      </x:c>
      <x:c r="F467" t="str">
        <x:v>C</x:v>
      </x:c>
      <x:c r="G467" t="str">
        <x:v>Eastern</x:v>
      </x:c>
      <x:c r="H467" t="str">
        <x:v>Tororo</x:v>
      </x:c>
      <x:c r="I467" t="str">
        <x:v>MANAFA</x:v>
      </x:c>
      <x:c r="J467" t="str">
        <x:v>Good</x:v>
      </x:c>
      <x:c r="K467" t="n">
        <x:v>33.99033</x:v>
      </x:c>
      <x:c r="L467" t="n">
        <x:v>0.92837</x:v>
      </x:c>
      <x:c r="M467" t="n">
        <x:v>33.92727</x:v>
      </x:c>
      <x:c r="N467" t="n">
        <x:v>0.850405</x:v>
      </x:c>
      <x:c r="O467" t="n">
        <x:v>4210.82</x:v>
      </x:c>
      <x:c r="P467" t="n">
        <x:f>IFERROR(INDEX(Assumptions!$B$9:$B$13,MATCH(F467,Assumptions!$A$9:$A$13,0)),0.15)</x:f>
        <x:v>0.28</x:v>
      </x:c>
      <x:c r="Q467" t="n">
        <x:f>ROUND(O467*(1-P467),0)</x:f>
        <x:v>3032</x:v>
      </x:c>
      <x:c r="R467" t="n">
        <x:f>ROUND(O467*P467,0)</x:f>
        <x:v>1179</x:v>
      </x:c>
      <x:c r="S467" t="n">
        <x:f>ROUND(O467*IFERROR(INDEX(Assumptions!$C$9:$C$13,MATCH(F467,Assumptions!$A$9:$A$13,0)),0.55),0)</x:f>
        <x:v>2105</x:v>
      </x:c>
      <x:c r="T467" t="n">
        <x:f>ROUND(O467*IFERROR(INDEX(Assumptions!$D$9:$D$13,MATCH(F467,Assumptions!$A$9:$A$13,0)),0.06),0)</x:f>
        <x:v>211</x:v>
      </x:c>
      <x:c r="U467" t="n">
        <x:f>ROUND(O467*IFERROR(INDEX(Assumptions!$E$9:$E$13,MATCH(F467,Assumptions!$A$9:$A$13,0)),0.15),0)</x:f>
        <x:v>463</x:v>
      </x:c>
      <x:c r="V467" t="n">
        <x:f>MAX(0,O467-SUM(R467:U467))</x:f>
        <x:v>252.8199999999997</x:v>
      </x:c>
      <x:c r="W467" t="n">
        <x:f>MIN(100,40+IF(O467&gt;0,20,0)+IF(M467&lt;&gt;"",20,0)+IF(AF467&lt;&gt;"",20,0))</x:f>
        <x:v>100</x:v>
      </x:c>
      <x:c r="X467" t="str">
        <x:v>Placed on exact national road host link</x:v>
      </x:c>
      <x:c r="Y467" t="str">
        <x:v>Unpaved</x:v>
      </x:c>
      <x:c r="Z467" t="str">
        <x:v>C</x:v>
      </x:c>
      <x:c r="AA467" t="str">
        <x:v>Not available in governed source</x:v>
      </x:c>
      <x:c r="AB467" t="str">
        <x:v>Not available in governed source</x:v>
      </x:c>
      <x:c r="AC467" t="str">
        <x:v>FY2025/26</x:v>
      </x:c>
      <x:c r="AD467" t="str">
        <x:v>Modelled</x:v>
      </x:c>
      <x:c r="AE467" t="str">
        <x:v>2026 bridge AADT rebuilt from host-link traffic history, annual collection-link history, same-road corridor history and spatial count-station influence. Vehicle-class values are assigned from functional-class shares.</x:v>
      </x:c>
      <x:c r="AF467" t="str">
        <x:v>Placed on exact national road host link</x:v>
      </x:c>
    </x:row>
    <x:row r="468" ht="15" hidden="0" customHeight="1">
      <x:c r="A468" t="str">
        <x:v>bridge-467</x:v>
      </x:c>
      <x:c r="B468" t="str">
        <x:v>B866</x:v>
      </x:c>
      <x:c r="C468" t="str">
        <x:v>MANAFA</x:v>
      </x:c>
      <x:c r="D468" t="str">
        <x:v>A007_Link02</x:v>
      </x:c>
      <x:c r="E468" t="str">
        <x:v>Tororo - Magodes - Nabumali</x:v>
      </x:c>
      <x:c r="F468" t="str">
        <x:v>A</x:v>
      </x:c>
      <x:c r="G468" t="str">
        <x:v>Eastern</x:v>
      </x:c>
      <x:c r="H468" t="str">
        <x:v>Tororo</x:v>
      </x:c>
      <x:c r="I468" t="str">
        <x:v>MAGODES</x:v>
      </x:c>
      <x:c r="J468" t="str">
        <x:v>Good</x:v>
      </x:c>
      <x:c r="K468" t="n">
        <x:v>34.157761</x:v>
      </x:c>
      <x:c r="L468" t="n">
        <x:v>0.93705</x:v>
      </x:c>
      <x:c r="M468" t="n">
        <x:v>34.181152</x:v>
      </x:c>
      <x:c r="N468" t="n">
        <x:v>0.695212</x:v>
      </x:c>
      <x:c r="O468" t="n">
        <x:v>23460.74</x:v>
      </x:c>
      <x:c r="P468" t="n">
        <x:f>IFERROR(INDEX(Assumptions!$B$9:$B$13,MATCH(F468,Assumptions!$A$9:$A$13,0)),0.15)</x:f>
        <x:v>0.12</x:v>
      </x:c>
      <x:c r="Q468" t="n">
        <x:f>ROUND(O468*(1-P468),0)</x:f>
        <x:v>20645</x:v>
      </x:c>
      <x:c r="R468" t="n">
        <x:f>ROUND(O468*P468,0)</x:f>
        <x:v>2815</x:v>
      </x:c>
      <x:c r="S468" t="n">
        <x:f>ROUND(O468*IFERROR(INDEX(Assumptions!$C$9:$C$13,MATCH(F468,Assumptions!$A$9:$A$13,0)),0.55),0)</x:f>
        <x:v>13607</x:v>
      </x:c>
      <x:c r="T468" t="n">
        <x:f>ROUND(O468*IFERROR(INDEX(Assumptions!$D$9:$D$13,MATCH(F468,Assumptions!$A$9:$A$13,0)),0.06),0)</x:f>
        <x:v>1877</x:v>
      </x:c>
      <x:c r="U468" t="n">
        <x:f>ROUND(O468*IFERROR(INDEX(Assumptions!$E$9:$E$13,MATCH(F468,Assumptions!$A$9:$A$13,0)),0.15),0)</x:f>
        <x:v>4223</x:v>
      </x:c>
      <x:c r="V468" t="n">
        <x:f>MAX(0,O468-SUM(R468:U468))</x:f>
        <x:v>938.7400000000016</x:v>
      </x:c>
      <x:c r="W468" t="n">
        <x:f>MIN(100,40+IF(O468&gt;0,20,0)+IF(M468&lt;&gt;"",20,0)+IF(AF468&lt;&gt;"",20,0))</x:f>
        <x:v>100</x:v>
      </x:c>
      <x:c r="X468" t="str">
        <x:v>Placed on exact national road host link</x:v>
      </x:c>
      <x:c r="Y468" t="str">
        <x:v>Paved</x:v>
      </x:c>
      <x:c r="Z468" t="str">
        <x:v>A</x:v>
      </x:c>
      <x:c r="AA468" t="str">
        <x:v>Not available in governed source</x:v>
      </x:c>
      <x:c r="AB468" t="str">
        <x:v>Not available in governed source</x:v>
      </x:c>
      <x:c r="AC468" t="str">
        <x:v>FY2025/26</x:v>
      </x:c>
      <x:c r="AD468" t="str">
        <x:v>Modelled</x:v>
      </x:c>
      <x:c r="AE468" t="str">
        <x:v>2026 bridge AADT rebuilt from host-link traffic history, annual collection-link history, same-road corridor history and spatial count-station influence. Vehicle-class values are assigned from functional-class shares.</x:v>
      </x:c>
      <x:c r="AF468" t="str">
        <x:v>Placed on exact national road host link</x:v>
      </x:c>
    </x:row>
    <x:row r="469" ht="15" hidden="0" customHeight="1">
      <x:c r="A469" t="str">
        <x:v>bridge-468</x:v>
      </x:c>
      <x:c r="B469" t="str">
        <x:v>B867</x:v>
      </x:c>
      <x:c r="C469" t="str">
        <x:v>BUWANGANI</x:v>
      </x:c>
      <x:c r="D469" t="str">
        <x:v>C867_Link02</x:v>
      </x:c>
      <x:c r="E469" t="str">
        <x:v>Bubulo-Bududa Circle road</x:v>
      </x:c>
      <x:c r="F469" t="str">
        <x:v>C</x:v>
      </x:c>
      <x:c r="G469" t="str">
        <x:v>Eastern</x:v>
      </x:c>
      <x:c r="H469" t="str">
        <x:v>Mbale</x:v>
      </x:c>
      <x:c r="I469" t="str">
        <x:v>TSUTSU</x:v>
      </x:c>
      <x:c r="J469" t="str">
        <x:v>Marginal</x:v>
      </x:c>
      <x:c r="K469" t="n">
        <x:v>34.334431</x:v>
      </x:c>
      <x:c r="L469" t="n">
        <x:v>1.00421</x:v>
      </x:c>
      <x:c r="M469" t="n">
        <x:v>34.326436</x:v>
      </x:c>
      <x:c r="N469" t="n">
        <x:v>1.032512</x:v>
      </x:c>
      <x:c r="O469" t="n">
        <x:v>1588.56</x:v>
      </x:c>
      <x:c r="P469" t="n">
        <x:f>IFERROR(INDEX(Assumptions!$B$9:$B$13,MATCH(F469,Assumptions!$A$9:$A$13,0)),0.15)</x:f>
        <x:v>0.28</x:v>
      </x:c>
      <x:c r="Q469" t="n">
        <x:f>ROUND(O469*(1-P469),0)</x:f>
        <x:v>1144</x:v>
      </x:c>
      <x:c r="R469" t="n">
        <x:f>ROUND(O469*P469,0)</x:f>
        <x:v>445</x:v>
      </x:c>
      <x:c r="S469" t="n">
        <x:f>ROUND(O469*IFERROR(INDEX(Assumptions!$C$9:$C$13,MATCH(F469,Assumptions!$A$9:$A$13,0)),0.55),0)</x:f>
        <x:v>794</x:v>
      </x:c>
      <x:c r="T469" t="n">
        <x:f>ROUND(O469*IFERROR(INDEX(Assumptions!$D$9:$D$13,MATCH(F469,Assumptions!$A$9:$A$13,0)),0.06),0)</x:f>
        <x:v>79</x:v>
      </x:c>
      <x:c r="U469" t="n">
        <x:f>ROUND(O469*IFERROR(INDEX(Assumptions!$E$9:$E$13,MATCH(F469,Assumptions!$A$9:$A$13,0)),0.15),0)</x:f>
        <x:v>175</x:v>
      </x:c>
      <x:c r="V469" t="n">
        <x:f>MAX(0,O469-SUM(R469:U469))</x:f>
        <x:v>95.55999999999995</x:v>
      </x:c>
      <x:c r="W469" t="n">
        <x:f>MIN(100,40+IF(O469&gt;0,20,0)+IF(M469&lt;&gt;"",20,0)+IF(AF469&lt;&gt;"",20,0))</x:f>
        <x:v>100</x:v>
      </x:c>
      <x:c r="X469" t="str">
        <x:v>Placed on exact national road host link</x:v>
      </x:c>
      <x:c r="Y469" t="str">
        <x:v>Unpaved</x:v>
      </x:c>
      <x:c r="Z469" t="str">
        <x:v>C</x:v>
      </x:c>
      <x:c r="AA469" t="str">
        <x:v>Not available in governed source</x:v>
      </x:c>
      <x:c r="AB469" t="str">
        <x:v>Not available in governed source</x:v>
      </x:c>
      <x:c r="AC469" t="str">
        <x:v>FY2025/26</x:v>
      </x:c>
      <x:c r="AD469" t="str">
        <x:v>Modelled</x:v>
      </x:c>
      <x:c r="AE469" t="str">
        <x:v>2026 bridge AADT rebuilt from host-link traffic history, annual collection-link history, same-road corridor history and spatial count-station influence. Vehicle-class values are assigned from functional-class shares.</x:v>
      </x:c>
      <x:c r="AF469" t="str">
        <x:v>Placed on exact national road host link</x:v>
      </x:c>
    </x:row>
    <x:row r="470" ht="15" hidden="0" customHeight="1">
      <x:c r="A470" t="str">
        <x:v>bridge-469</x:v>
      </x:c>
      <x:c r="B470" t="str">
        <x:v>B868</x:v>
      </x:c>
      <x:c r="C470" t="str">
        <x:v>DOPETH</x:v>
      </x:c>
      <x:c r="D470" t="str">
        <x:v>B302_Link01</x:v>
      </x:c>
      <x:c r="E470" t="str">
        <x:v>Kotido - Abim</x:v>
      </x:c>
      <x:c r="F470" t="str">
        <x:v>B</x:v>
      </x:c>
      <x:c r="G470" t="str">
        <x:v>North Eastern</x:v>
      </x:c>
      <x:c r="H470" t="str">
        <x:v>Kotido</x:v>
      </x:c>
      <x:c r="I470" t="str">
        <x:v>Dopeth River</x:v>
      </x:c>
      <x:c r="J470" t="str">
        <x:v>Good</x:v>
      </x:c>
      <x:c r="K470" t="n">
        <x:v>34.029419</x:v>
      </x:c>
      <x:c r="L470" t="n">
        <x:v>2.99895</x:v>
      </x:c>
      <x:c r="M470" t="n">
        <x:v>33.65981</x:v>
      </x:c>
      <x:c r="N470" t="n">
        <x:v>2.71145</x:v>
      </x:c>
      <x:c r="O470" t="n">
        <x:v>1022.18</x:v>
      </x:c>
      <x:c r="P470" t="n">
        <x:f>IFERROR(INDEX(Assumptions!$B$9:$B$13,MATCH(F470,Assumptions!$A$9:$A$13,0)),0.15)</x:f>
        <x:v>0.16</x:v>
      </x:c>
      <x:c r="Q470" t="n">
        <x:f>ROUND(O470*(1-P470),0)</x:f>
        <x:v>859</x:v>
      </x:c>
      <x:c r="R470" t="n">
        <x:f>ROUND(O470*P470,0)</x:f>
        <x:v>164</x:v>
      </x:c>
      <x:c r="S470" t="n">
        <x:f>ROUND(O470*IFERROR(INDEX(Assumptions!$C$9:$C$13,MATCH(F470,Assumptions!$A$9:$A$13,0)),0.55),0)</x:f>
        <x:v>572</x:v>
      </x:c>
      <x:c r="T470" t="n">
        <x:f>ROUND(O470*IFERROR(INDEX(Assumptions!$D$9:$D$13,MATCH(F470,Assumptions!$A$9:$A$13,0)),0.06),0)</x:f>
        <x:v>72</x:v>
      </x:c>
      <x:c r="U470" t="n">
        <x:f>ROUND(O470*IFERROR(INDEX(Assumptions!$E$9:$E$13,MATCH(F470,Assumptions!$A$9:$A$13,0)),0.15),0)</x:f>
        <x:v>164</x:v>
      </x:c>
      <x:c r="V470" t="n">
        <x:f>MAX(0,O470-SUM(R470:U470))</x:f>
        <x:v>50.17999999999995</x:v>
      </x:c>
      <x:c r="W470" t="n">
        <x:f>MIN(100,40+IF(O470&gt;0,20,0)+IF(M470&lt;&gt;"",20,0)+IF(AF470&lt;&gt;"",20,0))</x:f>
        <x:v>100</x:v>
      </x:c>
      <x:c r="X470" t="str">
        <x:v>Placed on exact national road host link</x:v>
      </x:c>
      <x:c r="Y470" t="str">
        <x:v>Unpaved</x:v>
      </x:c>
      <x:c r="Z470" t="str">
        <x:v>B</x:v>
      </x:c>
      <x:c r="AA470" t="str">
        <x:v>Not available in governed source</x:v>
      </x:c>
      <x:c r="AB470" t="str">
        <x:v>Not available in governed source</x:v>
      </x:c>
      <x:c r="AC470" t="str">
        <x:v>FY2025/26</x:v>
      </x:c>
      <x:c r="AD470" t="str">
        <x:v>Modelled</x:v>
      </x:c>
      <x:c r="AE470" t="str">
        <x:v>2026 bridge AADT rebuilt from host-link traffic history, annual collection-link history, same-road corridor history and spatial count-station influence. Vehicle-class values are assigned from functional-class shares.</x:v>
      </x:c>
      <x:c r="AF470" t="str">
        <x:v>Placed on exact national road host link</x:v>
      </x:c>
    </x:row>
    <x:row r="471" ht="15" hidden="0" customHeight="1">
      <x:c r="A471" t="str">
        <x:v>bridge-470</x:v>
      </x:c>
      <x:c r="B471" t="str">
        <x:v>B869</x:v>
      </x:c>
      <x:c r="C471" t="str">
        <x:v>AMETA BRIDGE</x:v>
      </x:c>
      <x:c r="D471" t="str">
        <x:v>B302_Link02</x:v>
      </x:c>
      <x:c r="E471" t="str">
        <x:v>Abim - Kilak</x:v>
      </x:c>
      <x:c r="F471" t="str">
        <x:v>B</x:v>
      </x:c>
      <x:c r="G471" t="str">
        <x:v>Northern</x:v>
      </x:c>
      <x:c r="H471" t="str">
        <x:v>Kitgum</x:v>
      </x:c>
      <x:c r="I471" t="str">
        <x:v>AGAGO RIVER</x:v>
      </x:c>
      <x:c r="J471" t="str">
        <x:v>Marginal</x:v>
      </x:c>
      <x:c r="K471" t="n">
        <x:v>33.547291</x:v>
      </x:c>
      <x:c r="L471" t="n">
        <x:v>2.72251</x:v>
      </x:c>
      <x:c r="M471" t="n">
        <x:v>33.486561</x:v>
      </x:c>
      <x:c r="N471" t="n">
        <x:v>2.740379</x:v>
      </x:c>
      <x:c r="O471" t="n">
        <x:v>861.37</x:v>
      </x:c>
      <x:c r="P471" t="n">
        <x:f>IFERROR(INDEX(Assumptions!$B$9:$B$13,MATCH(F471,Assumptions!$A$9:$A$13,0)),0.15)</x:f>
        <x:v>0.16</x:v>
      </x:c>
      <x:c r="Q471" t="n">
        <x:f>ROUND(O471*(1-P471),0)</x:f>
        <x:v>724</x:v>
      </x:c>
      <x:c r="R471" t="n">
        <x:f>ROUND(O471*P471,0)</x:f>
        <x:v>138</x:v>
      </x:c>
      <x:c r="S471" t="n">
        <x:f>ROUND(O471*IFERROR(INDEX(Assumptions!$C$9:$C$13,MATCH(F471,Assumptions!$A$9:$A$13,0)),0.55),0)</x:f>
        <x:v>482</x:v>
      </x:c>
      <x:c r="T471" t="n">
        <x:f>ROUND(O471*IFERROR(INDEX(Assumptions!$D$9:$D$13,MATCH(F471,Assumptions!$A$9:$A$13,0)),0.06),0)</x:f>
        <x:v>60</x:v>
      </x:c>
      <x:c r="U471" t="n">
        <x:f>ROUND(O471*IFERROR(INDEX(Assumptions!$E$9:$E$13,MATCH(F471,Assumptions!$A$9:$A$13,0)),0.15),0)</x:f>
        <x:v>138</x:v>
      </x:c>
      <x:c r="V471" t="n">
        <x:f>MAX(0,O471-SUM(R471:U471))</x:f>
        <x:v>43.370000000000005</x:v>
      </x:c>
      <x:c r="W471" t="n">
        <x:f>MIN(100,40+IF(O471&gt;0,20,0)+IF(M471&lt;&gt;"",20,0)+IF(AF471&lt;&gt;"",20,0))</x:f>
        <x:v>100</x:v>
      </x:c>
      <x:c r="X471" t="str">
        <x:v>Placed on exact national road host link</x:v>
      </x:c>
      <x:c r="Y471" t="str">
        <x:v>Unpaved</x:v>
      </x:c>
      <x:c r="Z471" t="str">
        <x:v>B</x:v>
      </x:c>
      <x:c r="AA471" t="str">
        <x:v>Not available in governed source</x:v>
      </x:c>
      <x:c r="AB471" t="str">
        <x:v>Not available in governed source</x:v>
      </x:c>
      <x:c r="AC471" t="str">
        <x:v>FY2025/26</x:v>
      </x:c>
      <x:c r="AD471" t="str">
        <x:v>Modelled</x:v>
      </x:c>
      <x:c r="AE471" t="str">
        <x:v>2026 bridge AADT rebuilt from host-link traffic history, annual collection-link history, same-road corridor history and spatial count-station influence. Vehicle-class values are assigned from functional-class shares.</x:v>
      </x:c>
      <x:c r="AF471" t="str">
        <x:v>Placed on exact national road host link</x:v>
      </x:c>
    </x:row>
    <x:row r="472" ht="15" hidden="0" customHeight="1">
      <x:c r="A472" t="str">
        <x:v>bridge-471</x:v>
      </x:c>
      <x:c r="B472" t="str">
        <x:v>B870</x:v>
      </x:c>
      <x:c r="C472" t="str">
        <x:v>WASITA</x:v>
      </x:c>
      <x:c r="D472" t="str">
        <x:v>C862_Link01</x:v>
      </x:c>
      <x:c r="E472" t="str">
        <x:v>Namagumba - Budadiri</x:v>
      </x:c>
      <x:c r="F472" t="str">
        <x:v>C</x:v>
      </x:c>
      <x:c r="G472" t="str">
        <x:v>Eastern</x:v>
      </x:c>
      <x:c r="H472" t="str">
        <x:v>Mbale</x:v>
      </x:c>
      <x:c r="I472" t="str">
        <x:v>WASITA</x:v>
      </x:c>
      <x:c r="J472" t="str">
        <x:v>Good</x:v>
      </x:c>
      <x:c r="K472" t="n">
        <x:v>34.312031</x:v>
      </x:c>
      <x:c r="L472" t="n">
        <x:v>1.16673</x:v>
      </x:c>
      <x:c r="M472" t="n">
        <x:v>34.335592</x:v>
      </x:c>
      <x:c r="N472" t="n">
        <x:v>1.170617</x:v>
      </x:c>
      <x:c r="O472" t="n">
        <x:v>1929.85</x:v>
      </x:c>
      <x:c r="P472" t="n">
        <x:f>IFERROR(INDEX(Assumptions!$B$9:$B$13,MATCH(F472,Assumptions!$A$9:$A$13,0)),0.15)</x:f>
        <x:v>0.28</x:v>
      </x:c>
      <x:c r="Q472" t="n">
        <x:f>ROUND(O472*(1-P472),0)</x:f>
        <x:v>1389</x:v>
      </x:c>
      <x:c r="R472" t="n">
        <x:f>ROUND(O472*P472,0)</x:f>
        <x:v>540</x:v>
      </x:c>
      <x:c r="S472" t="n">
        <x:f>ROUND(O472*IFERROR(INDEX(Assumptions!$C$9:$C$13,MATCH(F472,Assumptions!$A$9:$A$13,0)),0.55),0)</x:f>
        <x:v>965</x:v>
      </x:c>
      <x:c r="T472" t="n">
        <x:f>ROUND(O472*IFERROR(INDEX(Assumptions!$D$9:$D$13,MATCH(F472,Assumptions!$A$9:$A$13,0)),0.06),0)</x:f>
        <x:v>96</x:v>
      </x:c>
      <x:c r="U472" t="n">
        <x:f>ROUND(O472*IFERROR(INDEX(Assumptions!$E$9:$E$13,MATCH(F472,Assumptions!$A$9:$A$13,0)),0.15),0)</x:f>
        <x:v>212</x:v>
      </x:c>
      <x:c r="V472" t="n">
        <x:f>MAX(0,O472-SUM(R472:U472))</x:f>
        <x:v>116.84999999999991</x:v>
      </x:c>
      <x:c r="W472" t="n">
        <x:f>MIN(100,40+IF(O472&gt;0,20,0)+IF(M472&lt;&gt;"",20,0)+IF(AF472&lt;&gt;"",20,0))</x:f>
        <x:v>100</x:v>
      </x:c>
      <x:c r="X472" t="str">
        <x:v>Placed on exact national road host link</x:v>
      </x:c>
      <x:c r="Y472" t="str">
        <x:v>Unpaved</x:v>
      </x:c>
      <x:c r="Z472" t="str">
        <x:v>C</x:v>
      </x:c>
      <x:c r="AA472" t="str">
        <x:v>Not available in governed source</x:v>
      </x:c>
      <x:c r="AB472" t="str">
        <x:v>Not available in governed source</x:v>
      </x:c>
      <x:c r="AC472" t="str">
        <x:v>FY2025/26</x:v>
      </x:c>
      <x:c r="AD472" t="str">
        <x:v>Modelled</x:v>
      </x:c>
      <x:c r="AE472" t="str">
        <x:v>2026 bridge AADT rebuilt from host-link traffic history, annual collection-link history, same-road corridor history and spatial count-station influence. Vehicle-class values are assigned from functional-class shares.</x:v>
      </x:c>
      <x:c r="AF472" t="str">
        <x:v>Placed on exact national road host link</x:v>
      </x:c>
    </x:row>
    <x:row r="473" ht="15" hidden="0" customHeight="1">
      <x:c r="A473" t="str">
        <x:v>bridge-472</x:v>
      </x:c>
      <x:c r="B473" t="str">
        <x:v>B871</x:v>
      </x:c>
      <x:c r="C473" t="str">
        <x:v>ROAD OVER RIVER</x:v>
      </x:c>
      <x:c r="D473" t="str">
        <x:v>B304_Link02</x:v>
      </x:c>
      <x:c r="E473" t="str">
        <x:v>Kapchorwa-Suam</x:v>
      </x:c>
      <x:c r="F473" t="str">
        <x:v>B</x:v>
      </x:c>
      <x:c r="G473" t="str">
        <x:v>Eastern</x:v>
      </x:c>
      <x:c r="H473" t="str">
        <x:v>Mbale</x:v>
      </x:c>
      <x:c r="I473" t="str">
        <x:v>MANAFA RIVER</x:v>
      </x:c>
      <x:c r="J473" t="str">
        <x:v>Marginal</x:v>
      </x:c>
      <x:c r="K473" t="n">
        <x:v>34.559341</x:v>
      </x:c>
      <x:c r="L473" t="n">
        <x:v>1.41275</x:v>
      </x:c>
      <x:c r="M473" t="n">
        <x:v>34.559562</x:v>
      </x:c>
      <x:c r="N473" t="n">
        <x:v>1.412882</x:v>
      </x:c>
      <x:c r="O473" t="n">
        <x:v>1695.6</x:v>
      </x:c>
      <x:c r="P473" t="n">
        <x:f>IFERROR(INDEX(Assumptions!$B$9:$B$13,MATCH(F473,Assumptions!$A$9:$A$13,0)),0.15)</x:f>
        <x:v>0.16</x:v>
      </x:c>
      <x:c r="Q473" t="n">
        <x:f>ROUND(O473*(1-P473),0)</x:f>
        <x:v>1424</x:v>
      </x:c>
      <x:c r="R473" t="n">
        <x:f>ROUND(O473*P473,0)</x:f>
        <x:v>271</x:v>
      </x:c>
      <x:c r="S473" t="n">
        <x:f>ROUND(O473*IFERROR(INDEX(Assumptions!$C$9:$C$13,MATCH(F473,Assumptions!$A$9:$A$13,0)),0.55),0)</x:f>
        <x:v>950</x:v>
      </x:c>
      <x:c r="T473" t="n">
        <x:f>ROUND(O473*IFERROR(INDEX(Assumptions!$D$9:$D$13,MATCH(F473,Assumptions!$A$9:$A$13,0)),0.06),0)</x:f>
        <x:v>119</x:v>
      </x:c>
      <x:c r="U473" t="n">
        <x:f>ROUND(O473*IFERROR(INDEX(Assumptions!$E$9:$E$13,MATCH(F473,Assumptions!$A$9:$A$13,0)),0.15),0)</x:f>
        <x:v>271</x:v>
      </x:c>
      <x:c r="V473" t="n">
        <x:f>MAX(0,O473-SUM(R473:U473))</x:f>
        <x:v>84.59999999999991</x:v>
      </x:c>
      <x:c r="W473" t="n">
        <x:f>MIN(100,40+IF(O473&gt;0,20,0)+IF(M473&lt;&gt;"",20,0)+IF(AF473&lt;&gt;"",20,0))</x:f>
        <x:v>100</x:v>
      </x:c>
      <x:c r="X473" t="str">
        <x:v>Placed on exact national road host link</x:v>
      </x:c>
      <x:c r="Y473" t="str">
        <x:v>Paved</x:v>
      </x:c>
      <x:c r="Z473" t="str">
        <x:v>B</x:v>
      </x:c>
      <x:c r="AA473" t="str">
        <x:v>Not available in governed source</x:v>
      </x:c>
      <x:c r="AB473" t="str">
        <x:v>Not available in governed source</x:v>
      </x:c>
      <x:c r="AC473" t="str">
        <x:v>FY2025/26</x:v>
      </x:c>
      <x:c r="AD473" t="str">
        <x:v>Modelled</x:v>
      </x:c>
      <x:c r="AE473" t="str">
        <x:v>2026 bridge AADT rebuilt from host-link traffic history, annual collection-link history, same-road corridor history and spatial count-station influence. Vehicle-class values are assigned from functional-class shares.</x:v>
      </x:c>
      <x:c r="AF473" t="str">
        <x:v>Placed on exact national road host link</x:v>
      </x:c>
    </x:row>
    <x:row r="474" ht="15" hidden="0" customHeight="1">
      <x:c r="A474" t="str">
        <x:v>bridge-473</x:v>
      </x:c>
      <x:c r="B474" t="str">
        <x:v>B872</x:v>
      </x:c>
      <x:c r="C474" t="str">
        <x:v>SITI</x:v>
      </x:c>
      <x:c r="D474" t="str">
        <x:v>B304_Link02</x:v>
      </x:c>
      <x:c r="E474" t="str">
        <x:v>Kapchorwa-Suam</x:v>
      </x:c>
      <x:c r="F474" t="str">
        <x:v>B</x:v>
      </x:c>
      <x:c r="G474" t="str">
        <x:v>Eastern</x:v>
      </x:c>
      <x:c r="H474" t="str">
        <x:v>Mbale</x:v>
      </x:c>
      <x:c r="I474" t="str">
        <x:v>SITI</x:v>
      </x:c>
      <x:c r="J474" t="str">
        <x:v>Good</x:v>
      </x:c>
      <x:c r="K474" t="n">
        <x:v>34.662239</x:v>
      </x:c>
      <x:c r="L474" t="n">
        <x:v>1.33643</x:v>
      </x:c>
      <x:c r="M474" t="n">
        <x:v>34.662858</x:v>
      </x:c>
      <x:c r="N474" t="n">
        <x:v>1.336452</x:v>
      </x:c>
      <x:c r="O474" t="n">
        <x:v>1695.6</x:v>
      </x:c>
      <x:c r="P474" t="n">
        <x:f>IFERROR(INDEX(Assumptions!$B$9:$B$13,MATCH(F474,Assumptions!$A$9:$A$13,0)),0.15)</x:f>
        <x:v>0.16</x:v>
      </x:c>
      <x:c r="Q474" t="n">
        <x:f>ROUND(O474*(1-P474),0)</x:f>
        <x:v>1424</x:v>
      </x:c>
      <x:c r="R474" t="n">
        <x:f>ROUND(O474*P474,0)</x:f>
        <x:v>271</x:v>
      </x:c>
      <x:c r="S474" t="n">
        <x:f>ROUND(O474*IFERROR(INDEX(Assumptions!$C$9:$C$13,MATCH(F474,Assumptions!$A$9:$A$13,0)),0.55),0)</x:f>
        <x:v>950</x:v>
      </x:c>
      <x:c r="T474" t="n">
        <x:f>ROUND(O474*IFERROR(INDEX(Assumptions!$D$9:$D$13,MATCH(F474,Assumptions!$A$9:$A$13,0)),0.06),0)</x:f>
        <x:v>119</x:v>
      </x:c>
      <x:c r="U474" t="n">
        <x:f>ROUND(O474*IFERROR(INDEX(Assumptions!$E$9:$E$13,MATCH(F474,Assumptions!$A$9:$A$13,0)),0.15),0)</x:f>
        <x:v>271</x:v>
      </x:c>
      <x:c r="V474" t="n">
        <x:f>MAX(0,O474-SUM(R474:U474))</x:f>
        <x:v>84.59999999999991</x:v>
      </x:c>
      <x:c r="W474" t="n">
        <x:f>MIN(100,40+IF(O474&gt;0,20,0)+IF(M474&lt;&gt;"",20,0)+IF(AF474&lt;&gt;"",20,0))</x:f>
        <x:v>100</x:v>
      </x:c>
      <x:c r="X474" t="str">
        <x:v>Placed on exact national road host link</x:v>
      </x:c>
      <x:c r="Y474" t="str">
        <x:v>Paved</x:v>
      </x:c>
      <x:c r="Z474" t="str">
        <x:v>B</x:v>
      </x:c>
      <x:c r="AA474" t="str">
        <x:v>Not available in governed source</x:v>
      </x:c>
      <x:c r="AB474" t="str">
        <x:v>Not available in governed source</x:v>
      </x:c>
      <x:c r="AC474" t="str">
        <x:v>FY2025/26</x:v>
      </x:c>
      <x:c r="AD474" t="str">
        <x:v>Modelled</x:v>
      </x:c>
      <x:c r="AE474" t="str">
        <x:v>2026 bridge AADT rebuilt from host-link traffic history, annual collection-link history, same-road corridor history and spatial count-station influence. Vehicle-class values are assigned from functional-class shares.</x:v>
      </x:c>
      <x:c r="AF474" t="str">
        <x:v>Placed on exact national road host link</x:v>
      </x:c>
    </x:row>
    <x:row r="475" ht="15" hidden="0" customHeight="1">
      <x:c r="A475" t="str">
        <x:v>bridge-474</x:v>
      </x:c>
      <x:c r="B475" t="str">
        <x:v>B873</x:v>
      </x:c>
      <x:c r="C475" t="str">
        <x:v>GIRIK</x:v>
      </x:c>
      <x:c r="D475" t="str">
        <x:v>C889_Link01</x:v>
      </x:c>
      <x:c r="E475" t="str">
        <x:v>Chepsikunya -Girik</x:v>
      </x:c>
      <x:c r="F475" t="str">
        <x:v>C</x:v>
      </x:c>
      <x:c r="G475" t="str">
        <x:v>Eastern</x:v>
      </x:c>
      <x:c r="H475" t="str">
        <x:v>Mbale</x:v>
      </x:c>
      <x:c r="I475" t="str">
        <x:v>Girik River</x:v>
      </x:c>
      <x:c r="J475" t="str">
        <x:v>Good</x:v>
      </x:c>
      <x:c r="K475" t="n">
        <x:v>34.718491</x:v>
      </x:c>
      <x:c r="L475" t="n">
        <x:v>1.44837</x:v>
      </x:c>
      <x:c r="M475" t="n">
        <x:v>34.71723</x:v>
      </x:c>
      <x:c r="N475" t="n">
        <x:v>1.449245</x:v>
      </x:c>
      <x:c r="O475" t="n">
        <x:v>1929.85</x:v>
      </x:c>
      <x:c r="P475" t="n">
        <x:f>IFERROR(INDEX(Assumptions!$B$9:$B$13,MATCH(F475,Assumptions!$A$9:$A$13,0)),0.15)</x:f>
        <x:v>0.28</x:v>
      </x:c>
      <x:c r="Q475" t="n">
        <x:f>ROUND(O475*(1-P475),0)</x:f>
        <x:v>1389</x:v>
      </x:c>
      <x:c r="R475" t="n">
        <x:f>ROUND(O475*P475,0)</x:f>
        <x:v>540</x:v>
      </x:c>
      <x:c r="S475" t="n">
        <x:f>ROUND(O475*IFERROR(INDEX(Assumptions!$C$9:$C$13,MATCH(F475,Assumptions!$A$9:$A$13,0)),0.55),0)</x:f>
        <x:v>965</x:v>
      </x:c>
      <x:c r="T475" t="n">
        <x:f>ROUND(O475*IFERROR(INDEX(Assumptions!$D$9:$D$13,MATCH(F475,Assumptions!$A$9:$A$13,0)),0.06),0)</x:f>
        <x:v>96</x:v>
      </x:c>
      <x:c r="U475" t="n">
        <x:f>ROUND(O475*IFERROR(INDEX(Assumptions!$E$9:$E$13,MATCH(F475,Assumptions!$A$9:$A$13,0)),0.15),0)</x:f>
        <x:v>212</x:v>
      </x:c>
      <x:c r="V475" t="n">
        <x:f>MAX(0,O475-SUM(R475:U475))</x:f>
        <x:v>116.84999999999991</x:v>
      </x:c>
      <x:c r="W475" t="n">
        <x:f>MIN(100,40+IF(O475&gt;0,20,0)+IF(M475&lt;&gt;"",20,0)+IF(AF475&lt;&gt;"",20,0))</x:f>
        <x:v>100</x:v>
      </x:c>
      <x:c r="X475" t="str">
        <x:v>Placed on exact national road host link</x:v>
      </x:c>
      <x:c r="Y475" t="str">
        <x:v>Unpaved</x:v>
      </x:c>
      <x:c r="Z475" t="str">
        <x:v>C</x:v>
      </x:c>
      <x:c r="AA475" t="str">
        <x:v>Not available in governed source</x:v>
      </x:c>
      <x:c r="AB475" t="str">
        <x:v>Not available in governed source</x:v>
      </x:c>
      <x:c r="AC475" t="str">
        <x:v>FY2025/26</x:v>
      </x:c>
      <x:c r="AD475" t="str">
        <x:v>Modelled</x:v>
      </x:c>
      <x:c r="AE475" t="str">
        <x:v>2026 bridge AADT rebuilt from host-link traffic history, annual collection-link history, same-road corridor history and spatial count-station influence. Vehicle-class values are assigned from functional-class shares.</x:v>
      </x:c>
      <x:c r="AF475" t="str">
        <x:v>Placed on exact national road host link</x:v>
      </x:c>
    </x:row>
    <x:row r="476" ht="15" hidden="0" customHeight="1">
      <x:c r="A476" t="str">
        <x:v>bridge-475</x:v>
      </x:c>
      <x:c r="B476" t="str">
        <x:v>B874</x:v>
      </x:c>
      <x:c r="C476" t="str">
        <x:v>BUKWO</x:v>
      </x:c>
      <x:c r="D476" t="str">
        <x:v>B304_Link02</x:v>
      </x:c>
      <x:c r="E476" t="str">
        <x:v>Kapchorwa-Suam</x:v>
      </x:c>
      <x:c r="F476" t="str">
        <x:v>B</x:v>
      </x:c>
      <x:c r="G476" t="str">
        <x:v>Eastern</x:v>
      </x:c>
      <x:c r="H476" t="str">
        <x:v>Mbale</x:v>
      </x:c>
      <x:c r="I476" t="str">
        <x:v>BUKWO</x:v>
      </x:c>
      <x:c r="J476" t="str">
        <x:v>Good</x:v>
      </x:c>
      <x:c r="K476" t="n">
        <x:v>34.740051</x:v>
      </x:c>
      <x:c r="L476" t="n">
        <x:v>1.28845</x:v>
      </x:c>
      <x:c r="M476" t="n">
        <x:v>34.743208</x:v>
      </x:c>
      <x:c r="N476" t="n">
        <x:v>1.264127</x:v>
      </x:c>
      <x:c r="O476" t="n">
        <x:v>1695.6</x:v>
      </x:c>
      <x:c r="P476" t="n">
        <x:f>IFERROR(INDEX(Assumptions!$B$9:$B$13,MATCH(F476,Assumptions!$A$9:$A$13,0)),0.15)</x:f>
        <x:v>0.16</x:v>
      </x:c>
      <x:c r="Q476" t="n">
        <x:f>ROUND(O476*(1-P476),0)</x:f>
        <x:v>1424</x:v>
      </x:c>
      <x:c r="R476" t="n">
        <x:f>ROUND(O476*P476,0)</x:f>
        <x:v>271</x:v>
      </x:c>
      <x:c r="S476" t="n">
        <x:f>ROUND(O476*IFERROR(INDEX(Assumptions!$C$9:$C$13,MATCH(F476,Assumptions!$A$9:$A$13,0)),0.55),0)</x:f>
        <x:v>950</x:v>
      </x:c>
      <x:c r="T476" t="n">
        <x:f>ROUND(O476*IFERROR(INDEX(Assumptions!$D$9:$D$13,MATCH(F476,Assumptions!$A$9:$A$13,0)),0.06),0)</x:f>
        <x:v>119</x:v>
      </x:c>
      <x:c r="U476" t="n">
        <x:f>ROUND(O476*IFERROR(INDEX(Assumptions!$E$9:$E$13,MATCH(F476,Assumptions!$A$9:$A$13,0)),0.15),0)</x:f>
        <x:v>271</x:v>
      </x:c>
      <x:c r="V476" t="n">
        <x:f>MAX(0,O476-SUM(R476:U476))</x:f>
        <x:v>84.59999999999991</x:v>
      </x:c>
      <x:c r="W476" t="n">
        <x:f>MIN(100,40+IF(O476&gt;0,20,0)+IF(M476&lt;&gt;"",20,0)+IF(AF476&lt;&gt;"",20,0))</x:f>
        <x:v>100</x:v>
      </x:c>
      <x:c r="X476" t="str">
        <x:v>Placed on exact national road host link</x:v>
      </x:c>
      <x:c r="Y476" t="str">
        <x:v>Paved</x:v>
      </x:c>
      <x:c r="Z476" t="str">
        <x:v>B</x:v>
      </x:c>
      <x:c r="AA476" t="str">
        <x:v>Not available in governed source</x:v>
      </x:c>
      <x:c r="AB476" t="str">
        <x:v>Not available in governed source</x:v>
      </x:c>
      <x:c r="AC476" t="str">
        <x:v>FY2025/26</x:v>
      </x:c>
      <x:c r="AD476" t="str">
        <x:v>Modelled</x:v>
      </x:c>
      <x:c r="AE476" t="str">
        <x:v>2026 bridge AADT rebuilt from host-link traffic history, annual collection-link history, same-road corridor history and spatial count-station influence. Vehicle-class values are assigned from functional-class shares.</x:v>
      </x:c>
      <x:c r="AF476" t="str">
        <x:v>Placed on exact national road host link</x:v>
      </x:c>
    </x:row>
    <x:row r="477" ht="15" hidden="0" customHeight="1">
      <x:c r="A477" t="str">
        <x:v>bridge-476</x:v>
      </x:c>
      <x:c r="B477" t="str">
        <x:v>B876</x:v>
      </x:c>
      <x:c r="C477" t="str">
        <x:v>Lukha</x:v>
      </x:c>
      <x:c r="D477" t="str">
        <x:v>C837_Link02</x:v>
      </x:c>
      <x:c r="E477" t="str">
        <x:v>Kidoko - Busiu - Isikhoye</x:v>
      </x:c>
      <x:c r="F477" t="str">
        <x:v>C</x:v>
      </x:c>
      <x:c r="G477" t="str">
        <x:v>Eastern</x:v>
      </x:c>
      <x:c r="H477" t="str">
        <x:v>Tororo</x:v>
      </x:c>
      <x:c r="I477" t="str">
        <x:v>Lukha River</x:v>
      </x:c>
      <x:c r="J477" t="str">
        <x:v>Good</x:v>
      </x:c>
      <x:c r="K477" t="n">
        <x:v>34.119091</x:v>
      </x:c>
      <x:c r="L477" t="n">
        <x:v>0.89378</x:v>
      </x:c>
      <x:c r="M477" t="n">
        <x:v>34.119052</x:v>
      </x:c>
      <x:c r="N477" t="n">
        <x:v>0.893791</x:v>
      </x:c>
      <x:c r="O477" t="n">
        <x:v>1393.09</x:v>
      </x:c>
      <x:c r="P477" t="n">
        <x:f>IFERROR(INDEX(Assumptions!$B$9:$B$13,MATCH(F477,Assumptions!$A$9:$A$13,0)),0.15)</x:f>
        <x:v>0.28</x:v>
      </x:c>
      <x:c r="Q477" t="n">
        <x:f>ROUND(O477*(1-P477),0)</x:f>
        <x:v>1003</x:v>
      </x:c>
      <x:c r="R477" t="n">
        <x:f>ROUND(O477*P477,0)</x:f>
        <x:v>390</x:v>
      </x:c>
      <x:c r="S477" t="n">
        <x:f>ROUND(O477*IFERROR(INDEX(Assumptions!$C$9:$C$13,MATCH(F477,Assumptions!$A$9:$A$13,0)),0.55),0)</x:f>
        <x:v>697</x:v>
      </x:c>
      <x:c r="T477" t="n">
        <x:f>ROUND(O477*IFERROR(INDEX(Assumptions!$D$9:$D$13,MATCH(F477,Assumptions!$A$9:$A$13,0)),0.06),0)</x:f>
        <x:v>70</x:v>
      </x:c>
      <x:c r="U477" t="n">
        <x:f>ROUND(O477*IFERROR(INDEX(Assumptions!$E$9:$E$13,MATCH(F477,Assumptions!$A$9:$A$13,0)),0.15),0)</x:f>
        <x:v>153</x:v>
      </x:c>
      <x:c r="V477" t="n">
        <x:f>MAX(0,O477-SUM(R477:U477))</x:f>
        <x:v>83.08999999999992</x:v>
      </x:c>
      <x:c r="W477" t="n">
        <x:f>MIN(100,40+IF(O477&gt;0,20,0)+IF(M477&lt;&gt;"",20,0)+IF(AF477&lt;&gt;"",20,0))</x:f>
        <x:v>100</x:v>
      </x:c>
      <x:c r="X477" t="str">
        <x:v>Placed on exact national road host link</x:v>
      </x:c>
      <x:c r="Y477" t="str">
        <x:v>Unpaved</x:v>
      </x:c>
      <x:c r="Z477" t="str">
        <x:v>C</x:v>
      </x:c>
      <x:c r="AA477" t="str">
        <x:v>Not available in governed source</x:v>
      </x:c>
      <x:c r="AB477" t="str">
        <x:v>Not available in governed source</x:v>
      </x:c>
      <x:c r="AC477" t="str">
        <x:v>FY2025/26</x:v>
      </x:c>
      <x:c r="AD477" t="str">
        <x:v>Modelled</x:v>
      </x:c>
      <x:c r="AE477" t="str">
        <x:v>2026 bridge AADT rebuilt from host-link traffic history, annual collection-link history, same-road corridor history and spatial count-station influence. Vehicle-class values are assigned from functional-class shares.</x:v>
      </x:c>
      <x:c r="AF477" t="str">
        <x:v>Placed on exact national road host link</x:v>
      </x:c>
    </x:row>
    <x:row r="478" ht="15" hidden="0" customHeight="1">
      <x:c r="A478" t="str">
        <x:v>bridge-477</x:v>
      </x:c>
      <x:c r="B478" t="str">
        <x:v>B877</x:v>
      </x:c>
      <x:c r="C478" t="str">
        <x:v>SUAM BRIDGE</x:v>
      </x:c>
      <x:c r="D478" t="str">
        <x:v>B304_Link02</x:v>
      </x:c>
      <x:c r="E478" t="str">
        <x:v>Kapchorwa-Suam</x:v>
      </x:c>
      <x:c r="F478" t="str">
        <x:v>B</x:v>
      </x:c>
      <x:c r="G478" t="str">
        <x:v>Eastern</x:v>
      </x:c>
      <x:c r="H478" t="str">
        <x:v>Mbale</x:v>
      </x:c>
      <x:c r="I478" t="str">
        <x:v>RIVER SUAM</x:v>
      </x:c>
      <x:c r="J478" t="str">
        <x:v>Under Construction</x:v>
      </x:c>
      <x:c r="K478" t="n">
        <x:v>34.733608</x:v>
      </x:c>
      <x:c r="L478" t="n">
        <x:v>1.21605</x:v>
      </x:c>
      <x:c r="M478" t="n">
        <x:v>34.743203</x:v>
      </x:c>
      <x:c r="N478" t="n">
        <x:v>1.264085</x:v>
      </x:c>
      <x:c r="O478" t="n">
        <x:v>1695.6</x:v>
      </x:c>
      <x:c r="P478" t="n">
        <x:f>IFERROR(INDEX(Assumptions!$B$9:$B$13,MATCH(F478,Assumptions!$A$9:$A$13,0)),0.15)</x:f>
        <x:v>0.16</x:v>
      </x:c>
      <x:c r="Q478" t="n">
        <x:f>ROUND(O478*(1-P478),0)</x:f>
        <x:v>1424</x:v>
      </x:c>
      <x:c r="R478" t="n">
        <x:f>ROUND(O478*P478,0)</x:f>
        <x:v>271</x:v>
      </x:c>
      <x:c r="S478" t="n">
        <x:f>ROUND(O478*IFERROR(INDEX(Assumptions!$C$9:$C$13,MATCH(F478,Assumptions!$A$9:$A$13,0)),0.55),0)</x:f>
        <x:v>950</x:v>
      </x:c>
      <x:c r="T478" t="n">
        <x:f>ROUND(O478*IFERROR(INDEX(Assumptions!$D$9:$D$13,MATCH(F478,Assumptions!$A$9:$A$13,0)),0.06),0)</x:f>
        <x:v>119</x:v>
      </x:c>
      <x:c r="U478" t="n">
        <x:f>ROUND(O478*IFERROR(INDEX(Assumptions!$E$9:$E$13,MATCH(F478,Assumptions!$A$9:$A$13,0)),0.15),0)</x:f>
        <x:v>271</x:v>
      </x:c>
      <x:c r="V478" t="n">
        <x:f>MAX(0,O478-SUM(R478:U478))</x:f>
        <x:v>84.59999999999991</x:v>
      </x:c>
      <x:c r="W478" t="n">
        <x:f>MIN(100,40+IF(O478&gt;0,20,0)+IF(M478&lt;&gt;"",20,0)+IF(AF478&lt;&gt;"",20,0))</x:f>
        <x:v>100</x:v>
      </x:c>
      <x:c r="X478" t="str">
        <x:v>Placed on exact national road host link</x:v>
      </x:c>
      <x:c r="Y478" t="str">
        <x:v>Paved</x:v>
      </x:c>
      <x:c r="Z478" t="str">
        <x:v>B</x:v>
      </x:c>
      <x:c r="AA478" t="str">
        <x:v>Not available in governed source</x:v>
      </x:c>
      <x:c r="AB478" t="str">
        <x:v>Not available in governed source</x:v>
      </x:c>
      <x:c r="AC478" t="str">
        <x:v>FY2025/26</x:v>
      </x:c>
      <x:c r="AD478" t="str">
        <x:v>Modelled</x:v>
      </x:c>
      <x:c r="AE478" t="str">
        <x:v>2026 bridge AADT rebuilt from host-link traffic history, annual collection-link history, same-road corridor history and spatial count-station influence. Vehicle-class values are assigned from functional-class shares.</x:v>
      </x:c>
      <x:c r="AF478" t="str">
        <x:v>Placed on exact national road host link</x:v>
      </x:c>
    </x:row>
    <x:row r="479" ht="15" hidden="0" customHeight="1">
      <x:c r="A479" t="str">
        <x:v>bridge-478</x:v>
      </x:c>
      <x:c r="B479" t="str">
        <x:v>B878</x:v>
      </x:c>
      <x:c r="C479" t="str">
        <x:v>AMUDAT - LOROO</x:v>
      </x:c>
      <x:c r="D479" t="str">
        <x:v>C963_Link02</x:v>
      </x:c>
      <x:c r="E479" t="str">
        <x:v>Lokitanyara-Loro-Amudat</x:v>
      </x:c>
      <x:c r="F479" t="str">
        <x:v>C</x:v>
      </x:c>
      <x:c r="G479" t="str">
        <x:v>North Eastern</x:v>
      </x:c>
      <x:c r="H479" t="str">
        <x:v>Moroto</x:v>
      </x:c>
      <x:c r="I479" t="str">
        <x:v>KANYANGAREN</x:v>
      </x:c>
      <x:c r="J479" t="str">
        <x:v>Good</x:v>
      </x:c>
      <x:c r="K479" t="n">
        <x:v>34.942768</x:v>
      </x:c>
      <x:c r="L479" t="n">
        <x:v>1.95968</x:v>
      </x:c>
      <x:c r="M479" t="n">
        <x:v>34.820883</x:v>
      </x:c>
      <x:c r="N479" t="n">
        <x:v>2.380458</x:v>
      </x:c>
      <x:c r="O479" t="n">
        <x:v>126.84</x:v>
      </x:c>
      <x:c r="P479" t="n">
        <x:f>IFERROR(INDEX(Assumptions!$B$9:$B$13,MATCH(F479,Assumptions!$A$9:$A$13,0)),0.15)</x:f>
        <x:v>0.28</x:v>
      </x:c>
      <x:c r="Q479" t="n">
        <x:f>ROUND(O479*(1-P479),0)</x:f>
        <x:v>91</x:v>
      </x:c>
      <x:c r="R479" t="n">
        <x:f>ROUND(O479*P479,0)</x:f>
        <x:v>36</x:v>
      </x:c>
      <x:c r="S479" t="n">
        <x:f>ROUND(O479*IFERROR(INDEX(Assumptions!$C$9:$C$13,MATCH(F479,Assumptions!$A$9:$A$13,0)),0.55),0)</x:f>
        <x:v>63</x:v>
      </x:c>
      <x:c r="T479" t="n">
        <x:f>ROUND(O479*IFERROR(INDEX(Assumptions!$D$9:$D$13,MATCH(F479,Assumptions!$A$9:$A$13,0)),0.06),0)</x:f>
        <x:v>6</x:v>
      </x:c>
      <x:c r="U479" t="n">
        <x:f>ROUND(O479*IFERROR(INDEX(Assumptions!$E$9:$E$13,MATCH(F479,Assumptions!$A$9:$A$13,0)),0.15),0)</x:f>
        <x:v>14</x:v>
      </x:c>
      <x:c r="V479" t="n">
        <x:f>MAX(0,O479-SUM(R479:U479))</x:f>
        <x:v>7.840000000000003</x:v>
      </x:c>
      <x:c r="W479" t="n">
        <x:f>MIN(100,40+IF(O479&gt;0,20,0)+IF(M479&lt;&gt;"",20,0)+IF(AF479&lt;&gt;"",20,0))</x:f>
        <x:v>100</x:v>
      </x:c>
      <x:c r="X479" t="str">
        <x:v>Placed on exact national road host link</x:v>
      </x:c>
      <x:c r="Y479" t="str">
        <x:v>Unpaved</x:v>
      </x:c>
      <x:c r="Z479" t="str">
        <x:v>C</x:v>
      </x:c>
      <x:c r="AA479" t="str">
        <x:v>Not available in governed source</x:v>
      </x:c>
      <x:c r="AB479" t="str">
        <x:v>Not available in governed source</x:v>
      </x:c>
      <x:c r="AC479" t="str">
        <x:v>FY2025/26</x:v>
      </x:c>
      <x:c r="AD479" t="str">
        <x:v>Modelled</x:v>
      </x:c>
      <x:c r="AE479" t="str">
        <x:v>2026 bridge AADT rebuilt from host-link traffic history, annual collection-link history, same-road corridor history and spatial count-station influence. Vehicle-class values are assigned from functional-class shares.</x:v>
      </x:c>
      <x:c r="AF479" t="str">
        <x:v>Placed on exact national road host link</x:v>
      </x:c>
    </x:row>
    <x:row r="480" ht="15" hidden="0" customHeight="1">
      <x:c r="A480" t="str">
        <x:v>bridge-479</x:v>
      </x:c>
      <x:c r="B480" t="str">
        <x:v>B880</x:v>
      </x:c>
      <x:c r="C480" t="str">
        <x:v>KOTIDO-KAILONG</x:v>
      </x:c>
      <x:c r="D480" t="str">
        <x:v>B302_Link01</x:v>
      </x:c>
      <x:c r="E480" t="str">
        <x:v>Kotido - Abim</x:v>
      </x:c>
      <x:c r="F480" t="str">
        <x:v>B</x:v>
      </x:c>
      <x:c r="G480" t="str">
        <x:v>North Eastern</x:v>
      </x:c>
      <x:c r="H480" t="str">
        <x:v>Kotido</x:v>
      </x:c>
      <x:c r="I480" t="str">
        <x:v>RIVER MANAFA</x:v>
      </x:c>
      <x:c r="J480" t="str">
        <x:v>Satisfactory</x:v>
      </x:c>
      <x:c r="K480" t="n">
        <x:v>34.029388</x:v>
      </x:c>
      <x:c r="L480" t="n">
        <x:v>2.99894</x:v>
      </x:c>
      <x:c r="M480" t="n">
        <x:v>34.035384</x:v>
      </x:c>
      <x:c r="N480" t="n">
        <x:v>3.012864</x:v>
      </x:c>
      <x:c r="O480" t="n">
        <x:v>1022.18</x:v>
      </x:c>
      <x:c r="P480" t="n">
        <x:f>IFERROR(INDEX(Assumptions!$B$9:$B$13,MATCH(F480,Assumptions!$A$9:$A$13,0)),0.15)</x:f>
        <x:v>0.16</x:v>
      </x:c>
      <x:c r="Q480" t="n">
        <x:f>ROUND(O480*(1-P480),0)</x:f>
        <x:v>859</x:v>
      </x:c>
      <x:c r="R480" t="n">
        <x:f>ROUND(O480*P480,0)</x:f>
        <x:v>164</x:v>
      </x:c>
      <x:c r="S480" t="n">
        <x:f>ROUND(O480*IFERROR(INDEX(Assumptions!$C$9:$C$13,MATCH(F480,Assumptions!$A$9:$A$13,0)),0.55),0)</x:f>
        <x:v>572</x:v>
      </x:c>
      <x:c r="T480" t="n">
        <x:f>ROUND(O480*IFERROR(INDEX(Assumptions!$D$9:$D$13,MATCH(F480,Assumptions!$A$9:$A$13,0)),0.06),0)</x:f>
        <x:v>72</x:v>
      </x:c>
      <x:c r="U480" t="n">
        <x:f>ROUND(O480*IFERROR(INDEX(Assumptions!$E$9:$E$13,MATCH(F480,Assumptions!$A$9:$A$13,0)),0.15),0)</x:f>
        <x:v>164</x:v>
      </x:c>
      <x:c r="V480" t="n">
        <x:f>MAX(0,O480-SUM(R480:U480))</x:f>
        <x:v>50.17999999999995</x:v>
      </x:c>
      <x:c r="W480" t="n">
        <x:f>MIN(100,40+IF(O480&gt;0,20,0)+IF(M480&lt;&gt;"",20,0)+IF(AF480&lt;&gt;"",20,0))</x:f>
        <x:v>100</x:v>
      </x:c>
      <x:c r="X480" t="str">
        <x:v>Placed on exact national road host link</x:v>
      </x:c>
      <x:c r="Y480" t="str">
        <x:v>Unpaved</x:v>
      </x:c>
      <x:c r="Z480" t="str">
        <x:v>B</x:v>
      </x:c>
      <x:c r="AA480" t="str">
        <x:v>Not available in governed source</x:v>
      </x:c>
      <x:c r="AB480" t="str">
        <x:v>Not available in governed source</x:v>
      </x:c>
      <x:c r="AC480" t="str">
        <x:v>FY2025/26</x:v>
      </x:c>
      <x:c r="AD480" t="str">
        <x:v>Modelled</x:v>
      </x:c>
      <x:c r="AE480" t="str">
        <x:v>2026 bridge AADT rebuilt from host-link traffic history, annual collection-link history, same-road corridor history and spatial count-station influence. Vehicle-class values are assigned from functional-class shares.</x:v>
      </x:c>
      <x:c r="AF480" t="str">
        <x:v>Placed on exact national road host link</x:v>
      </x:c>
    </x:row>
    <x:row r="481" ht="15" hidden="0" customHeight="1">
      <x:c r="A481" t="str">
        <x:v>bridge-480</x:v>
      </x:c>
      <x:c r="B481" t="str">
        <x:v>B881</x:v>
      </x:c>
      <x:c r="C481" t="str">
        <x:v>MUSUKULE</x:v>
      </x:c>
      <x:c r="D481" t="str">
        <x:v>C844_Link01</x:v>
      </x:c>
      <x:c r="E481" t="str">
        <x:v>Rubongi - Mulanda</x:v>
      </x:c>
      <x:c r="F481" t="str">
        <x:v>C</x:v>
      </x:c>
      <x:c r="G481" t="str">
        <x:v>Eastern</x:v>
      </x:c>
      <x:c r="H481" t="str">
        <x:v>Tororo</x:v>
      </x:c>
      <x:c r="I481" t="str">
        <x:v>OSYA</x:v>
      </x:c>
      <x:c r="J481" t="str">
        <x:v>Poor</x:v>
      </x:c>
      <x:c r="K481" t="n">
        <x:v>34.121719</x:v>
      </x:c>
      <x:c r="L481" t="n">
        <x:v>0.69045</x:v>
      </x:c>
      <x:c r="M481" t="n">
        <x:v>34.019997</x:v>
      </x:c>
      <x:c r="N481" t="n">
        <x:v>0.691743</x:v>
      </x:c>
      <x:c r="O481" t="n">
        <x:v>1177.46</x:v>
      </x:c>
      <x:c r="P481" t="n">
        <x:f>IFERROR(INDEX(Assumptions!$B$9:$B$13,MATCH(F481,Assumptions!$A$9:$A$13,0)),0.15)</x:f>
        <x:v>0.28</x:v>
      </x:c>
      <x:c r="Q481" t="n">
        <x:f>ROUND(O481*(1-P481),0)</x:f>
        <x:v>848</x:v>
      </x:c>
      <x:c r="R481" t="n">
        <x:f>ROUND(O481*P481,0)</x:f>
        <x:v>330</x:v>
      </x:c>
      <x:c r="S481" t="n">
        <x:f>ROUND(O481*IFERROR(INDEX(Assumptions!$C$9:$C$13,MATCH(F481,Assumptions!$A$9:$A$13,0)),0.55),0)</x:f>
        <x:v>589</x:v>
      </x:c>
      <x:c r="T481" t="n">
        <x:f>ROUND(O481*IFERROR(INDEX(Assumptions!$D$9:$D$13,MATCH(F481,Assumptions!$A$9:$A$13,0)),0.06),0)</x:f>
        <x:v>59</x:v>
      </x:c>
      <x:c r="U481" t="n">
        <x:f>ROUND(O481*IFERROR(INDEX(Assumptions!$E$9:$E$13,MATCH(F481,Assumptions!$A$9:$A$13,0)),0.15),0)</x:f>
        <x:v>130</x:v>
      </x:c>
      <x:c r="V481" t="n">
        <x:f>MAX(0,O481-SUM(R481:U481))</x:f>
        <x:v>69.46000000000004</x:v>
      </x:c>
      <x:c r="W481" t="n">
        <x:f>MIN(100,40+IF(O481&gt;0,20,0)+IF(M481&lt;&gt;"",20,0)+IF(AF481&lt;&gt;"",20,0))</x:f>
        <x:v>100</x:v>
      </x:c>
      <x:c r="X481" t="str">
        <x:v>Placed on exact national road host link</x:v>
      </x:c>
      <x:c r="Y481" t="str">
        <x:v>Unpaved</x:v>
      </x:c>
      <x:c r="Z481" t="str">
        <x:v>C</x:v>
      </x:c>
      <x:c r="AA481" t="str">
        <x:v>Not available in governed source</x:v>
      </x:c>
      <x:c r="AB481" t="str">
        <x:v>Not available in governed source</x:v>
      </x:c>
      <x:c r="AC481" t="str">
        <x:v>FY2025/26</x:v>
      </x:c>
      <x:c r="AD481" t="str">
        <x:v>Modelled</x:v>
      </x:c>
      <x:c r="AE481" t="str">
        <x:v>2026 bridge AADT rebuilt from host-link traffic history, annual collection-link history, same-road corridor history and spatial count-station influence. Vehicle-class values are assigned from functional-class shares.</x:v>
      </x:c>
      <x:c r="AF481" t="str">
        <x:v>Placed on exact national road host link</x:v>
      </x:c>
    </x:row>
    <x:row r="482" ht="15" hidden="0" customHeight="1">
      <x:c r="A482" t="str">
        <x:v>bridge-481</x:v>
      </x:c>
      <x:c r="B482" t="str">
        <x:v>B882</x:v>
      </x:c>
      <x:c r="C482" t="str">
        <x:v>ADEYO</x:v>
      </x:c>
      <x:c r="D482" t="str">
        <x:v>C836_Link02</x:v>
      </x:c>
      <x:c r="E482" t="str">
        <x:v>Mulanda - Nagongera</x:v>
      </x:c>
      <x:c r="F482" t="str">
        <x:v>C</x:v>
      </x:c>
      <x:c r="G482" t="str">
        <x:v>Eastern</x:v>
      </x:c>
      <x:c r="H482" t="str">
        <x:v>Tororo</x:v>
      </x:c>
      <x:c r="I482" t="str">
        <x:v>RIVER KORUBUDE</x:v>
      </x:c>
      <x:c r="J482" t="str">
        <x:v>Poor</x:v>
      </x:c>
      <x:c r="K482" t="n">
        <x:v>34.01453</x:v>
      </x:c>
      <x:c r="L482" t="n">
        <x:v>0.71079</x:v>
      </x:c>
      <x:c r="M482" t="n">
        <x:v>34.023419</x:v>
      </x:c>
      <x:c r="N482" t="n">
        <x:v>0.754539</x:v>
      </x:c>
      <x:c r="O482" t="n">
        <x:v>5179.88</x:v>
      </x:c>
      <x:c r="P482" t="n">
        <x:f>IFERROR(INDEX(Assumptions!$B$9:$B$13,MATCH(F482,Assumptions!$A$9:$A$13,0)),0.15)</x:f>
        <x:v>0.28</x:v>
      </x:c>
      <x:c r="Q482" t="n">
        <x:f>ROUND(O482*(1-P482),0)</x:f>
        <x:v>3730</x:v>
      </x:c>
      <x:c r="R482" t="n">
        <x:f>ROUND(O482*P482,0)</x:f>
        <x:v>1450</x:v>
      </x:c>
      <x:c r="S482" t="n">
        <x:f>ROUND(O482*IFERROR(INDEX(Assumptions!$C$9:$C$13,MATCH(F482,Assumptions!$A$9:$A$13,0)),0.55),0)</x:f>
        <x:v>2590</x:v>
      </x:c>
      <x:c r="T482" t="n">
        <x:f>ROUND(O482*IFERROR(INDEX(Assumptions!$D$9:$D$13,MATCH(F482,Assumptions!$A$9:$A$13,0)),0.06),0)</x:f>
        <x:v>259</x:v>
      </x:c>
      <x:c r="U482" t="n">
        <x:f>ROUND(O482*IFERROR(INDEX(Assumptions!$E$9:$E$13,MATCH(F482,Assumptions!$A$9:$A$13,0)),0.15),0)</x:f>
        <x:v>570</x:v>
      </x:c>
      <x:c r="V482" t="n">
        <x:f>MAX(0,O482-SUM(R482:U482))</x:f>
        <x:v>310.8800000000001</x:v>
      </x:c>
      <x:c r="W482" t="n">
        <x:f>MIN(100,40+IF(O482&gt;0,20,0)+IF(M482&lt;&gt;"",20,0)+IF(AF482&lt;&gt;"",20,0))</x:f>
        <x:v>100</x:v>
      </x:c>
      <x:c r="X482" t="str">
        <x:v>Placed on exact national road host link</x:v>
      </x:c>
      <x:c r="Y482" t="str">
        <x:v>Unpaved</x:v>
      </x:c>
      <x:c r="Z482" t="str">
        <x:v>C</x:v>
      </x:c>
      <x:c r="AA482" t="str">
        <x:v>Not available in governed source</x:v>
      </x:c>
      <x:c r="AB482" t="str">
        <x:v>Not available in governed source</x:v>
      </x:c>
      <x:c r="AC482" t="str">
        <x:v>FY2025/26</x:v>
      </x:c>
      <x:c r="AD482" t="str">
        <x:v>Modelled</x:v>
      </x:c>
      <x:c r="AE482" t="str">
        <x:v>2026 bridge AADT rebuilt from host-link traffic history, annual collection-link history, same-road corridor history and spatial count-station influence. Vehicle-class values are assigned from functional-class shares.</x:v>
      </x:c>
      <x:c r="AF482" t="str">
        <x:v>Placed on exact national road host link</x:v>
      </x:c>
    </x:row>
    <x:row r="483" ht="15" hidden="0" customHeight="1">
      <x:c r="A483" t="str">
        <x:v>bridge-482</x:v>
      </x:c>
      <x:c r="B483" t="str">
        <x:v>B883</x:v>
      </x:c>
      <x:c r="C483" t="str">
        <x:v>OKAME</x:v>
      </x:c>
      <x:c r="D483" t="str">
        <x:v>B306_Link01</x:v>
      </x:c>
      <x:c r="E483" t="str">
        <x:v>Tororo(Malaba junction) - Busia</x:v>
      </x:c>
      <x:c r="F483" t="str">
        <x:v>B</x:v>
      </x:c>
      <x:c r="G483" t="str">
        <x:v>Eastern</x:v>
      </x:c>
      <x:c r="H483" t="str">
        <x:v>Tororo</x:v>
      </x:c>
      <x:c r="I483" t="str">
        <x:v>OKAME</x:v>
      </x:c>
      <x:c r="J483" t="str">
        <x:v>Marginal</x:v>
      </x:c>
      <x:c r="K483" t="n">
        <x:v>34.138279</x:v>
      </x:c>
      <x:c r="L483" t="n">
        <x:v>0.58299</x:v>
      </x:c>
      <x:c r="M483" t="n">
        <x:v>34.093801</x:v>
      </x:c>
      <x:c r="N483" t="n">
        <x:v>0.476283</x:v>
      </x:c>
      <x:c r="O483" t="n">
        <x:v>2480.57</x:v>
      </x:c>
      <x:c r="P483" t="n">
        <x:f>IFERROR(INDEX(Assumptions!$B$9:$B$13,MATCH(F483,Assumptions!$A$9:$A$13,0)),0.15)</x:f>
        <x:v>0.16</x:v>
      </x:c>
      <x:c r="Q483" t="n">
        <x:f>ROUND(O483*(1-P483),0)</x:f>
        <x:v>2084</x:v>
      </x:c>
      <x:c r="R483" t="n">
        <x:f>ROUND(O483*P483,0)</x:f>
        <x:v>397</x:v>
      </x:c>
      <x:c r="S483" t="n">
        <x:f>ROUND(O483*IFERROR(INDEX(Assumptions!$C$9:$C$13,MATCH(F483,Assumptions!$A$9:$A$13,0)),0.55),0)</x:f>
        <x:v>1389</x:v>
      </x:c>
      <x:c r="T483" t="n">
        <x:f>ROUND(O483*IFERROR(INDEX(Assumptions!$D$9:$D$13,MATCH(F483,Assumptions!$A$9:$A$13,0)),0.06),0)</x:f>
        <x:v>174</x:v>
      </x:c>
      <x:c r="U483" t="n">
        <x:f>ROUND(O483*IFERROR(INDEX(Assumptions!$E$9:$E$13,MATCH(F483,Assumptions!$A$9:$A$13,0)),0.15),0)</x:f>
        <x:v>397</x:v>
      </x:c>
      <x:c r="V483" t="n">
        <x:f>MAX(0,O483-SUM(R483:U483))</x:f>
        <x:v>123.57000000000016</x:v>
      </x:c>
      <x:c r="W483" t="n">
        <x:f>MIN(100,40+IF(O483&gt;0,20,0)+IF(M483&lt;&gt;"",20,0)+IF(AF483&lt;&gt;"",20,0))</x:f>
        <x:v>100</x:v>
      </x:c>
      <x:c r="X483" t="str">
        <x:v>Placed on exact national road host link</x:v>
      </x:c>
      <x:c r="Y483" t="str">
        <x:v>Unpaved</x:v>
      </x:c>
      <x:c r="Z483" t="str">
        <x:v>B</x:v>
      </x:c>
      <x:c r="AA483" t="str">
        <x:v>Not available in governed source</x:v>
      </x:c>
      <x:c r="AB483" t="str">
        <x:v>Not available in governed source</x:v>
      </x:c>
      <x:c r="AC483" t="str">
        <x:v>FY2025/26</x:v>
      </x:c>
      <x:c r="AD483" t="str">
        <x:v>Modelled</x:v>
      </x:c>
      <x:c r="AE483" t="str">
        <x:v>2026 bridge AADT rebuilt from host-link traffic history, annual collection-link history, same-road corridor history and spatial count-station influence. Vehicle-class values are assigned from functional-class shares.</x:v>
      </x:c>
      <x:c r="AF483" t="str">
        <x:v>Placed on exact national road host link</x:v>
      </x:c>
    </x:row>
    <x:row r="484" ht="15" hidden="0" customHeight="1">
      <x:c r="A484" t="str">
        <x:v>bridge-483</x:v>
      </x:c>
      <x:c r="B484" t="str">
        <x:v>B884</x:v>
      </x:c>
      <x:c r="C484" t="str">
        <x:v>AKATENYANI</x:v>
      </x:c>
      <x:c r="D484" t="str">
        <x:v>B306_Link01</x:v>
      </x:c>
      <x:c r="E484" t="str">
        <x:v>Tororo(Malaba junction) - Busia</x:v>
      </x:c>
      <x:c r="F484" t="str">
        <x:v>B</x:v>
      </x:c>
      <x:c r="G484" t="str">
        <x:v>Eastern</x:v>
      </x:c>
      <x:c r="H484" t="str">
        <x:v>Tororo</x:v>
      </x:c>
      <x:c r="I484" t="str">
        <x:v>MALABA</x:v>
      </x:c>
      <x:c r="J484" t="str">
        <x:v>Marginal</x:v>
      </x:c>
      <x:c r="K484" t="n">
        <x:v>34.13792</x:v>
      </x:c>
      <x:c r="L484" t="n">
        <x:v>0.582</x:v>
      </x:c>
      <x:c r="M484" t="n">
        <x:v>34.093801</x:v>
      </x:c>
      <x:c r="N484" t="n">
        <x:v>0.476283</x:v>
      </x:c>
      <x:c r="O484" t="n">
        <x:v>2480.57</x:v>
      </x:c>
      <x:c r="P484" t="n">
        <x:f>IFERROR(INDEX(Assumptions!$B$9:$B$13,MATCH(F484,Assumptions!$A$9:$A$13,0)),0.15)</x:f>
        <x:v>0.16</x:v>
      </x:c>
      <x:c r="Q484" t="n">
        <x:f>ROUND(O484*(1-P484),0)</x:f>
        <x:v>2084</x:v>
      </x:c>
      <x:c r="R484" t="n">
        <x:f>ROUND(O484*P484,0)</x:f>
        <x:v>397</x:v>
      </x:c>
      <x:c r="S484" t="n">
        <x:f>ROUND(O484*IFERROR(INDEX(Assumptions!$C$9:$C$13,MATCH(F484,Assumptions!$A$9:$A$13,0)),0.55),0)</x:f>
        <x:v>1389</x:v>
      </x:c>
      <x:c r="T484" t="n">
        <x:f>ROUND(O484*IFERROR(INDEX(Assumptions!$D$9:$D$13,MATCH(F484,Assumptions!$A$9:$A$13,0)),0.06),0)</x:f>
        <x:v>174</x:v>
      </x:c>
      <x:c r="U484" t="n">
        <x:f>ROUND(O484*IFERROR(INDEX(Assumptions!$E$9:$E$13,MATCH(F484,Assumptions!$A$9:$A$13,0)),0.15),0)</x:f>
        <x:v>397</x:v>
      </x:c>
      <x:c r="V484" t="n">
        <x:f>MAX(0,O484-SUM(R484:U484))</x:f>
        <x:v>123.57000000000016</x:v>
      </x:c>
      <x:c r="W484" t="n">
        <x:f>MIN(100,40+IF(O484&gt;0,20,0)+IF(M484&lt;&gt;"",20,0)+IF(AF484&lt;&gt;"",20,0))</x:f>
        <x:v>100</x:v>
      </x:c>
      <x:c r="X484" t="str">
        <x:v>Placed on exact national road host link</x:v>
      </x:c>
      <x:c r="Y484" t="str">
        <x:v>Unpaved</x:v>
      </x:c>
      <x:c r="Z484" t="str">
        <x:v>B</x:v>
      </x:c>
      <x:c r="AA484" t="str">
        <x:v>Not available in governed source</x:v>
      </x:c>
      <x:c r="AB484" t="str">
        <x:v>Not available in governed source</x:v>
      </x:c>
      <x:c r="AC484" t="str">
        <x:v>FY2025/26</x:v>
      </x:c>
      <x:c r="AD484" t="str">
        <x:v>Modelled</x:v>
      </x:c>
      <x:c r="AE484" t="str">
        <x:v>2026 bridge AADT rebuilt from host-link traffic history, annual collection-link history, same-road corridor history and spatial count-station influence. Vehicle-class values are assigned from functional-class shares.</x:v>
      </x:c>
      <x:c r="AF484" t="str">
        <x:v>Placed on exact national road host link</x:v>
      </x:c>
    </x:row>
    <x:row r="485" ht="15" hidden="0" customHeight="1">
      <x:c r="A485" t="str">
        <x:v>bridge-484</x:v>
      </x:c>
      <x:c r="B485" t="str">
        <x:v>B885</x:v>
      </x:c>
      <x:c r="C485" t="str">
        <x:v>ANGOLO</x:v>
      </x:c>
      <x:c r="D485" t="str">
        <x:v>B306_Link01</x:v>
      </x:c>
      <x:c r="E485" t="str">
        <x:v>Tororo(Malaba junction) - Busia</x:v>
      </x:c>
      <x:c r="F485" t="str">
        <x:v>B</x:v>
      </x:c>
      <x:c r="G485" t="str">
        <x:v>Eastern</x:v>
      </x:c>
      <x:c r="H485" t="str">
        <x:v>Tororo</x:v>
      </x:c>
      <x:c r="I485" t="str">
        <x:v>MALABA</x:v>
      </x:c>
      <x:c r="J485" t="str">
        <x:v>Marginal</x:v>
      </x:c>
      <x:c r="K485" t="n">
        <x:v>34.116741</x:v>
      </x:c>
      <x:c r="L485" t="n">
        <x:v>0.5204</x:v>
      </x:c>
      <x:c r="M485" t="n">
        <x:v>34.089703</x:v>
      </x:c>
      <x:c r="N485" t="n">
        <x:v>0.468289</x:v>
      </x:c>
      <x:c r="O485" t="n">
        <x:v>2480.57</x:v>
      </x:c>
      <x:c r="P485" t="n">
        <x:f>IFERROR(INDEX(Assumptions!$B$9:$B$13,MATCH(F485,Assumptions!$A$9:$A$13,0)),0.15)</x:f>
        <x:v>0.16</x:v>
      </x:c>
      <x:c r="Q485" t="n">
        <x:f>ROUND(O485*(1-P485),0)</x:f>
        <x:v>2084</x:v>
      </x:c>
      <x:c r="R485" t="n">
        <x:f>ROUND(O485*P485,0)</x:f>
        <x:v>397</x:v>
      </x:c>
      <x:c r="S485" t="n">
        <x:f>ROUND(O485*IFERROR(INDEX(Assumptions!$C$9:$C$13,MATCH(F485,Assumptions!$A$9:$A$13,0)),0.55),0)</x:f>
        <x:v>1389</x:v>
      </x:c>
      <x:c r="T485" t="n">
        <x:f>ROUND(O485*IFERROR(INDEX(Assumptions!$D$9:$D$13,MATCH(F485,Assumptions!$A$9:$A$13,0)),0.06),0)</x:f>
        <x:v>174</x:v>
      </x:c>
      <x:c r="U485" t="n">
        <x:f>ROUND(O485*IFERROR(INDEX(Assumptions!$E$9:$E$13,MATCH(F485,Assumptions!$A$9:$A$13,0)),0.15),0)</x:f>
        <x:v>397</x:v>
      </x:c>
      <x:c r="V485" t="n">
        <x:f>MAX(0,O485-SUM(R485:U485))</x:f>
        <x:v>123.57000000000016</x:v>
      </x:c>
      <x:c r="W485" t="n">
        <x:f>MIN(100,40+IF(O485&gt;0,20,0)+IF(M485&lt;&gt;"",20,0)+IF(AF485&lt;&gt;"",20,0))</x:f>
        <x:v>100</x:v>
      </x:c>
      <x:c r="X485" t="str">
        <x:v>Placed on exact national road host link</x:v>
      </x:c>
      <x:c r="Y485" t="str">
        <x:v>Unpaved</x:v>
      </x:c>
      <x:c r="Z485" t="str">
        <x:v>B</x:v>
      </x:c>
      <x:c r="AA485" t="str">
        <x:v>Not available in governed source</x:v>
      </x:c>
      <x:c r="AB485" t="str">
        <x:v>Not available in governed source</x:v>
      </x:c>
      <x:c r="AC485" t="str">
        <x:v>FY2025/26</x:v>
      </x:c>
      <x:c r="AD485" t="str">
        <x:v>Modelled</x:v>
      </x:c>
      <x:c r="AE485" t="str">
        <x:v>2026 bridge AADT rebuilt from host-link traffic history, annual collection-link history, same-road corridor history and spatial count-station influence. Vehicle-class values are assigned from functional-class shares.</x:v>
      </x:c>
      <x:c r="AF485" t="str">
        <x:v>Placed on exact national road host link</x:v>
      </x:c>
    </x:row>
    <x:row r="486" ht="15" hidden="0" customHeight="1">
      <x:c r="A486" t="str">
        <x:v>bridge-485</x:v>
      </x:c>
      <x:c r="B486" t="str">
        <x:v>B886</x:v>
      </x:c>
      <x:c r="C486" t="str">
        <x:v>KWAKITEZA</x:v>
      </x:c>
      <x:c r="D486" t="str">
        <x:v>C306_Link01</x:v>
      </x:c>
      <x:c r="E486" t="str">
        <x:v>Luwero-Kiwoko-Butalangu</x:v>
      </x:c>
      <x:c r="F486" t="str">
        <x:v>C</x:v>
      </x:c>
      <x:c r="G486" t="str">
        <x:v>Central</x:v>
      </x:c>
      <x:c r="H486" t="str">
        <x:v>Luwero</x:v>
      </x:c>
      <x:c r="I486" t="str">
        <x:v>KWAKITEZA</x:v>
      </x:c>
      <x:c r="J486" t="str">
        <x:v>Marginal</x:v>
      </x:c>
      <x:c r="K486" t="n">
        <x:v>34.13932</x:v>
      </x:c>
      <x:c r="L486" t="n">
        <x:v>0.58573</x:v>
      </x:c>
      <x:c r="M486" t="n">
        <x:v>32.244949</x:v>
      </x:c>
      <x:c r="N486" t="n">
        <x:v>0.823386</x:v>
      </x:c>
      <x:c r="O486" t="n">
        <x:v>2686.27</x:v>
      </x:c>
      <x:c r="P486" t="n">
        <x:f>IFERROR(INDEX(Assumptions!$B$9:$B$13,MATCH(F486,Assumptions!$A$9:$A$13,0)),0.15)</x:f>
        <x:v>0.28</x:v>
      </x:c>
      <x:c r="Q486" t="n">
        <x:f>ROUND(O486*(1-P486),0)</x:f>
        <x:v>1934</x:v>
      </x:c>
      <x:c r="R486" t="n">
        <x:f>ROUND(O486*P486,0)</x:f>
        <x:v>752</x:v>
      </x:c>
      <x:c r="S486" t="n">
        <x:f>ROUND(O486*IFERROR(INDEX(Assumptions!$C$9:$C$13,MATCH(F486,Assumptions!$A$9:$A$13,0)),0.55),0)</x:f>
        <x:v>1343</x:v>
      </x:c>
      <x:c r="T486" t="n">
        <x:f>ROUND(O486*IFERROR(INDEX(Assumptions!$D$9:$D$13,MATCH(F486,Assumptions!$A$9:$A$13,0)),0.06),0)</x:f>
        <x:v>134</x:v>
      </x:c>
      <x:c r="U486" t="n">
        <x:f>ROUND(O486*IFERROR(INDEX(Assumptions!$E$9:$E$13,MATCH(F486,Assumptions!$A$9:$A$13,0)),0.15),0)</x:f>
        <x:v>295</x:v>
      </x:c>
      <x:c r="V486" t="n">
        <x:f>MAX(0,O486-SUM(R486:U486))</x:f>
        <x:v>162.26999999999998</x:v>
      </x:c>
      <x:c r="W486" t="n">
        <x:f>MIN(100,40+IF(O486&gt;0,20,0)+IF(M486&lt;&gt;"",20,0)+IF(AF486&lt;&gt;"",20,0))</x:f>
        <x:v>100</x:v>
      </x:c>
      <x:c r="X486" t="str">
        <x:v>Placed on exact national road host link</x:v>
      </x:c>
      <x:c r="Y486" t="str">
        <x:v>Unpaved</x:v>
      </x:c>
      <x:c r="Z486" t="str">
        <x:v>C</x:v>
      </x:c>
      <x:c r="AA486" t="str">
        <x:v>Not available in governed source</x:v>
      </x:c>
      <x:c r="AB486" t="str">
        <x:v>Not available in governed source</x:v>
      </x:c>
      <x:c r="AC486" t="str">
        <x:v>FY2025/26</x:v>
      </x:c>
      <x:c r="AD486" t="str">
        <x:v>Modelled</x:v>
      </x:c>
      <x:c r="AE486" t="str">
        <x:v>2026 bridge AADT rebuilt from host-link traffic history, annual collection-link history, same-road corridor history and spatial count-station influence. Vehicle-class values are assigned from functional-class shares.</x:v>
      </x:c>
      <x:c r="AF486" t="str">
        <x:v>Placed on exact national road host link</x:v>
      </x:c>
    </x:row>
    <x:row r="487" ht="15" hidden="0" customHeight="1">
      <x:c r="A487" t="str">
        <x:v>bridge-486</x:v>
      </x:c>
      <x:c r="B487" t="str">
        <x:v>B887</x:v>
      </x:c>
      <x:c r="C487" t="str">
        <x:v>NATARACHA BRIDGE</x:v>
      </x:c>
      <x:c r="D487" t="str">
        <x:v>C992_Link01</x:v>
      </x:c>
      <x:c r="E487" t="str">
        <x:v>Kapelimoru-Loyoro - Apaan</x:v>
      </x:c>
      <x:c r="F487" t="str">
        <x:v>C</x:v>
      </x:c>
      <x:c r="G487" t="str">
        <x:v>North Eastern</x:v>
      </x:c>
      <x:c r="H487" t="str">
        <x:v>Kotido</x:v>
      </x:c>
      <x:c r="I487" t="str">
        <x:v>RIVER LOYORO</x:v>
      </x:c>
      <x:c r="J487" t="str">
        <x:v>Satisfactory</x:v>
      </x:c>
      <x:c r="K487" t="n">
        <x:v>34.249451</x:v>
      </x:c>
      <x:c r="L487" t="n">
        <x:v>3.31555</x:v>
      </x:c>
      <x:c r="M487" t="n">
        <x:v>34.139265</x:v>
      </x:c>
      <x:c r="N487" t="n">
        <x:v>3.313196</x:v>
      </x:c>
      <x:c r="O487" t="n">
        <x:v>53.72</x:v>
      </x:c>
      <x:c r="P487" t="n">
        <x:f>IFERROR(INDEX(Assumptions!$B$9:$B$13,MATCH(F487,Assumptions!$A$9:$A$13,0)),0.15)</x:f>
        <x:v>0.28</x:v>
      </x:c>
      <x:c r="Q487" t="n">
        <x:f>ROUND(O487*(1-P487),0)</x:f>
        <x:v>39</x:v>
      </x:c>
      <x:c r="R487" t="n">
        <x:f>ROUND(O487*P487,0)</x:f>
        <x:v>15</x:v>
      </x:c>
      <x:c r="S487" t="n">
        <x:f>ROUND(O487*IFERROR(INDEX(Assumptions!$C$9:$C$13,MATCH(F487,Assumptions!$A$9:$A$13,0)),0.55),0)</x:f>
        <x:v>27</x:v>
      </x:c>
      <x:c r="T487" t="n">
        <x:f>ROUND(O487*IFERROR(INDEX(Assumptions!$D$9:$D$13,MATCH(F487,Assumptions!$A$9:$A$13,0)),0.06),0)</x:f>
        <x:v>3</x:v>
      </x:c>
      <x:c r="U487" t="n">
        <x:f>ROUND(O487*IFERROR(INDEX(Assumptions!$E$9:$E$13,MATCH(F487,Assumptions!$A$9:$A$13,0)),0.15),0)</x:f>
        <x:v>6</x:v>
      </x:c>
      <x:c r="V487" t="n">
        <x:f>MAX(0,O487-SUM(R487:U487))</x:f>
        <x:v>2.719999999999999</x:v>
      </x:c>
      <x:c r="W487" t="n">
        <x:f>MIN(100,40+IF(O487&gt;0,20,0)+IF(M487&lt;&gt;"",20,0)+IF(AF487&lt;&gt;"",20,0))</x:f>
        <x:v>100</x:v>
      </x:c>
      <x:c r="X487" t="str">
        <x:v>Placed on exact national road host link</x:v>
      </x:c>
      <x:c r="Y487" t="str">
        <x:v>Unpaved</x:v>
      </x:c>
      <x:c r="Z487" t="str">
        <x:v>C</x:v>
      </x:c>
      <x:c r="AA487" t="str">
        <x:v>Not available in governed source</x:v>
      </x:c>
      <x:c r="AB487" t="str">
        <x:v>Not available in governed source</x:v>
      </x:c>
      <x:c r="AC487" t="str">
        <x:v>FY2025/26</x:v>
      </x:c>
      <x:c r="AD487" t="str">
        <x:v>Modelled</x:v>
      </x:c>
      <x:c r="AE487" t="str">
        <x:v>2026 bridge AADT rebuilt from host-link traffic history, annual collection-link history, same-road corridor history and spatial count-station influence. Vehicle-class values are assigned from functional-class shares.</x:v>
      </x:c>
      <x:c r="AF487" t="str">
        <x:v>Placed on exact national road host link</x:v>
      </x:c>
    </x:row>
    <x:row r="488" ht="15" hidden="0" customHeight="1">
      <x:c r="A488" t="str">
        <x:v>bridge-487</x:v>
      </x:c>
      <x:c r="B488" t="str">
        <x:v>B889</x:v>
      </x:c>
      <x:c r="C488" t="str">
        <x:v>Paraa Bridge 2</x:v>
      </x:c>
      <x:c r="D488" t="str">
        <x:v>C626_Link02</x:v>
      </x:c>
      <x:c r="E488" t="str">
        <x:v>Paraa - Packwach</x:v>
      </x:c>
      <x:c r="F488" t="str">
        <x:v>C</x:v>
      </x:c>
      <x:c r="G488" t="str">
        <x:v>Western</x:v>
      </x:c>
      <x:c r="H488" t="str">
        <x:v>Masindi</x:v>
      </x:c>
      <x:c r="I488" t="str">
        <x:v>Paraa Waterway</x:v>
      </x:c>
      <x:c r="J488" t="str">
        <x:v>Good</x:v>
      </x:c>
      <x:c r="K488" t="n">
        <x:v>31.5648</x:v>
      </x:c>
      <x:c r="L488" t="n">
        <x:v>2.2849</x:v>
      </x:c>
      <x:c r="M488" t="n">
        <x:v>31.564473</x:v>
      </x:c>
      <x:c r="N488" t="n">
        <x:v>2.284958</x:v>
      </x:c>
      <x:c r="O488" t="n">
        <x:v>722.92</x:v>
      </x:c>
      <x:c r="P488" t="n">
        <x:f>IFERROR(INDEX(Assumptions!$B$9:$B$13,MATCH(F488,Assumptions!$A$9:$A$13,0)),0.15)</x:f>
        <x:v>0.28</x:v>
      </x:c>
      <x:c r="Q488" t="n">
        <x:f>ROUND(O488*(1-P488),0)</x:f>
        <x:v>521</x:v>
      </x:c>
      <x:c r="R488" t="n">
        <x:f>ROUND(O488*P488,0)</x:f>
        <x:v>202</x:v>
      </x:c>
      <x:c r="S488" t="n">
        <x:f>ROUND(O488*IFERROR(INDEX(Assumptions!$C$9:$C$13,MATCH(F488,Assumptions!$A$9:$A$13,0)),0.55),0)</x:f>
        <x:v>361</x:v>
      </x:c>
      <x:c r="T488" t="n">
        <x:f>ROUND(O488*IFERROR(INDEX(Assumptions!$D$9:$D$13,MATCH(F488,Assumptions!$A$9:$A$13,0)),0.06),0)</x:f>
        <x:v>36</x:v>
      </x:c>
      <x:c r="U488" t="n">
        <x:f>ROUND(O488*IFERROR(INDEX(Assumptions!$E$9:$E$13,MATCH(F488,Assumptions!$A$9:$A$13,0)),0.15),0)</x:f>
        <x:v>80</x:v>
      </x:c>
      <x:c r="V488" t="n">
        <x:f>MAX(0,O488-SUM(R488:U488))</x:f>
        <x:v>43.91999999999996</x:v>
      </x:c>
      <x:c r="W488" t="n">
        <x:f>MIN(100,40+IF(O488&gt;0,20,0)+IF(M488&lt;&gt;"",20,0)+IF(AF488&lt;&gt;"",20,0))</x:f>
        <x:v>100</x:v>
      </x:c>
      <x:c r="X488" t="str">
        <x:v>Placed on exact national road host link</x:v>
      </x:c>
      <x:c r="Y488" t="str">
        <x:v>Paved</x:v>
      </x:c>
      <x:c r="Z488" t="str">
        <x:v>C</x:v>
      </x:c>
      <x:c r="AA488" t="str">
        <x:v>Not available in governed source</x:v>
      </x:c>
      <x:c r="AB488" t="str">
        <x:v>Not available in governed source</x:v>
      </x:c>
      <x:c r="AC488" t="str">
        <x:v>FY2025/26</x:v>
      </x:c>
      <x:c r="AD488" t="str">
        <x:v>Modelled</x:v>
      </x:c>
      <x:c r="AE488" t="str">
        <x:v>2026 bridge AADT rebuilt from host-link traffic history, annual collection-link history, same-road corridor history and spatial count-station influence. Vehicle-class values are assigned from functional-class shares.</x:v>
      </x:c>
      <x:c r="AF488" t="str">
        <x:v>Placed on exact national road host link</x:v>
      </x:c>
    </x:row>
    <x:row r="489" ht="15" hidden="0" customHeight="1">
      <x:c r="A489" t="str">
        <x:v>bridge-488</x:v>
      </x:c>
      <x:c r="B489" t="str">
        <x:v>B376</x:v>
      </x:c>
      <x:c r="C489" t="str">
        <x:v>Namboole B1</x:v>
      </x:c>
      <x:c r="D489" t="str">
        <x:v>M20</x:v>
      </x:c>
      <x:c r="E489" t="str">
        <x:v>Kampala NorthernBypass</x:v>
      </x:c>
      <x:c r="F489" t="str">
        <x:v>M</x:v>
      </x:c>
      <x:c r="G489" t="str">
        <x:v>Central</x:v>
      </x:c>
      <x:c r="H489" t="str">
        <x:v>Kampala</x:v>
      </x:c>
      <x:c r="I489" t="str">
        <x:v>Road Over Road</x:v>
      </x:c>
      <x:c r="J489" t="str">
        <x:v>Good</x:v>
      </x:c>
      <x:c r="K489" t="n">
        <x:v>32.6537</x:v>
      </x:c>
      <x:c r="L489" t="n">
        <x:v>0.3484</x:v>
      </x:c>
      <x:c r="M489" t="n">
        <x:v>32.65356</x:v>
      </x:c>
      <x:c r="N489" t="n">
        <x:v>0.34894</x:v>
      </x:c>
      <x:c r="O489" t="n">
        <x:v>46450.56</x:v>
      </x:c>
      <x:c r="P489" t="n">
        <x:f>IFERROR(INDEX(Assumptions!$B$9:$B$13,MATCH(F489,Assumptions!$A$9:$A$13,0)),0.15)</x:f>
        <x:v>0.08</x:v>
      </x:c>
      <x:c r="Q489" t="n">
        <x:f>ROUND(O489*(1-P489),0)</x:f>
        <x:v>42735</x:v>
      </x:c>
      <x:c r="R489" t="n">
        <x:f>ROUND(O489*P489,0)</x:f>
        <x:v>3716</x:v>
      </x:c>
      <x:c r="S489" t="n">
        <x:f>ROUND(O489*IFERROR(INDEX(Assumptions!$C$9:$C$13,MATCH(F489,Assumptions!$A$9:$A$13,0)),0.55),0)</x:f>
        <x:v>28799</x:v>
      </x:c>
      <x:c r="T489" t="n">
        <x:f>ROUND(O489*IFERROR(INDEX(Assumptions!$D$9:$D$13,MATCH(F489,Assumptions!$A$9:$A$13,0)),0.06),0)</x:f>
        <x:v>3716</x:v>
      </x:c>
      <x:c r="U489" t="n">
        <x:f>ROUND(O489*IFERROR(INDEX(Assumptions!$E$9:$E$13,MATCH(F489,Assumptions!$A$9:$A$13,0)),0.15),0)</x:f>
        <x:v>8361</x:v>
      </x:c>
      <x:c r="V489" t="n">
        <x:f>MAX(0,O489-SUM(R489:U489))</x:f>
        <x:v>1858.5599999999977</x:v>
      </x:c>
      <x:c r="W489" t="n">
        <x:f>MIN(100,40+IF(O489&gt;0,20,0)+IF(M489&lt;&gt;"",20,0)+IF(AF489&lt;&gt;"",20,0))</x:f>
        <x:v>100</x:v>
      </x:c>
      <x:c r="X489" t="str">
        <x:v>Placed on exact national road host link</x:v>
      </x:c>
      <x:c r="Y489" t="str">
        <x:v>Paved</x:v>
      </x:c>
      <x:c r="Z489" t="str">
        <x:v>M</x:v>
      </x:c>
      <x:c r="AA489" t="str">
        <x:v>Not available in governed source</x:v>
      </x:c>
      <x:c r="AB489" t="str">
        <x:v>Not available in governed source</x:v>
      </x:c>
      <x:c r="AC489" t="str">
        <x:v>FY2025/26</x:v>
      </x:c>
      <x:c r="AD489" t="str">
        <x:v>Modelled</x:v>
      </x:c>
      <x:c r="AE489" t="str">
        <x:v>2026 bridge AADT rebuilt from host-link traffic history, annual collection-link history, same-road corridor history and spatial count-station influence. Vehicle-class values are assigned from functional-class shares.</x:v>
      </x:c>
      <x:c r="AF489" t="str">
        <x:v>Placed on exact national road host link</x:v>
      </x:c>
    </x:row>
    <x:row r="490" ht="15" hidden="0" customHeight="1">
      <x:c r="A490" t="str">
        <x:v>bridge-489</x:v>
      </x:c>
      <x:c r="B490" t="str">
        <x:v>B385</x:v>
      </x:c>
      <x:c r="C490" t="str">
        <x:v>Old Kira road Over Bridge</x:v>
      </x:c>
      <x:c r="D490" t="str">
        <x:v>M20</x:v>
      </x:c>
      <x:c r="E490" t="str">
        <x:v>Kampala NorthernBypass</x:v>
      </x:c>
      <x:c r="F490" t="str">
        <x:v>M</x:v>
      </x:c>
      <x:c r="G490" t="str">
        <x:v>Central</x:v>
      </x:c>
      <x:c r="H490" t="str">
        <x:v>Kampala</x:v>
      </x:c>
      <x:c r="I490" t="str">
        <x:v>Road Over Road</x:v>
      </x:c>
      <x:c r="J490" t="str">
        <x:v>Good</x:v>
      </x:c>
      <x:c r="K490" t="n">
        <x:v>32.6247</x:v>
      </x:c>
      <x:c r="L490" t="n">
        <x:v>0.3692</x:v>
      </x:c>
      <x:c r="M490" t="n">
        <x:v>32.624709</x:v>
      </x:c>
      <x:c r="N490" t="n">
        <x:v>0.368988</x:v>
      </x:c>
      <x:c r="O490" t="n">
        <x:v>46450.56</x:v>
      </x:c>
      <x:c r="P490" t="n">
        <x:f>IFERROR(INDEX(Assumptions!$B$9:$B$13,MATCH(F490,Assumptions!$A$9:$A$13,0)),0.15)</x:f>
        <x:v>0.08</x:v>
      </x:c>
      <x:c r="Q490" t="n">
        <x:f>ROUND(O490*(1-P490),0)</x:f>
        <x:v>42735</x:v>
      </x:c>
      <x:c r="R490" t="n">
        <x:f>ROUND(O490*P490,0)</x:f>
        <x:v>3716</x:v>
      </x:c>
      <x:c r="S490" t="n">
        <x:f>ROUND(O490*IFERROR(INDEX(Assumptions!$C$9:$C$13,MATCH(F490,Assumptions!$A$9:$A$13,0)),0.55),0)</x:f>
        <x:v>28799</x:v>
      </x:c>
      <x:c r="T490" t="n">
        <x:f>ROUND(O490*IFERROR(INDEX(Assumptions!$D$9:$D$13,MATCH(F490,Assumptions!$A$9:$A$13,0)),0.06),0)</x:f>
        <x:v>3716</x:v>
      </x:c>
      <x:c r="U490" t="n">
        <x:f>ROUND(O490*IFERROR(INDEX(Assumptions!$E$9:$E$13,MATCH(F490,Assumptions!$A$9:$A$13,0)),0.15),0)</x:f>
        <x:v>8361</x:v>
      </x:c>
      <x:c r="V490" t="n">
        <x:f>MAX(0,O490-SUM(R490:U490))</x:f>
        <x:v>1858.5599999999977</x:v>
      </x:c>
      <x:c r="W490" t="n">
        <x:f>MIN(100,40+IF(O490&gt;0,20,0)+IF(M490&lt;&gt;"",20,0)+IF(AF490&lt;&gt;"",20,0))</x:f>
        <x:v>100</x:v>
      </x:c>
      <x:c r="X490" t="str">
        <x:v>Placed on exact national road host link</x:v>
      </x:c>
      <x:c r="Y490" t="str">
        <x:v>Paved</x:v>
      </x:c>
      <x:c r="Z490" t="str">
        <x:v>M</x:v>
      </x:c>
      <x:c r="AA490" t="str">
        <x:v>Not available in governed source</x:v>
      </x:c>
      <x:c r="AB490" t="str">
        <x:v>Not available in governed source</x:v>
      </x:c>
      <x:c r="AC490" t="str">
        <x:v>FY2025/26</x:v>
      </x:c>
      <x:c r="AD490" t="str">
        <x:v>Modelled</x:v>
      </x:c>
      <x:c r="AE490" t="str">
        <x:v>2026 bridge AADT rebuilt from host-link traffic history, annual collection-link history, same-road corridor history and spatial count-station influence. Vehicle-class values are assigned from functional-class shares.</x:v>
      </x:c>
      <x:c r="AF490" t="str">
        <x:v>Placed on exact national road host link</x:v>
      </x:c>
    </x:row>
    <x:row r="491" ht="15" hidden="0" customHeight="1">
      <x:c r="A491" t="str">
        <x:v>bridge-490</x:v>
      </x:c>
      <x:c r="B491" t="str">
        <x:v>B386</x:v>
      </x:c>
      <x:c r="C491" t="str">
        <x:v>Ntinda foot bridge</x:v>
      </x:c>
      <x:c r="D491" t="str">
        <x:v>M20</x:v>
      </x:c>
      <x:c r="E491" t="str">
        <x:v>Kampala NorthernBypass</x:v>
      </x:c>
      <x:c r="F491" t="str">
        <x:v>M</x:v>
      </x:c>
      <x:c r="G491" t="str">
        <x:v>Central</x:v>
      </x:c>
      <x:c r="H491" t="str">
        <x:v>Kampala</x:v>
      </x:c>
      <x:c r="I491" t="str">
        <x:v>Pedestrian Crossing</x:v>
      </x:c>
      <x:c r="J491" t="str">
        <x:v>Good</x:v>
      </x:c>
      <x:c r="K491" t="n">
        <x:v>32.6108</x:v>
      </x:c>
      <x:c r="L491" t="n">
        <x:v>0.3658</x:v>
      </x:c>
      <x:c r="M491" t="n">
        <x:v>32.610435</x:v>
      </x:c>
      <x:c r="N491" t="n">
        <x:v>0.366989</x:v>
      </x:c>
      <x:c r="O491" t="n">
        <x:v>46450.56</x:v>
      </x:c>
      <x:c r="P491" t="n">
        <x:f>IFERROR(INDEX(Assumptions!$B$9:$B$13,MATCH(F491,Assumptions!$A$9:$A$13,0)),0.15)</x:f>
        <x:v>0.08</x:v>
      </x:c>
      <x:c r="Q491" t="n">
        <x:f>ROUND(O491*(1-P491),0)</x:f>
        <x:v>42735</x:v>
      </x:c>
      <x:c r="R491" t="n">
        <x:f>ROUND(O491*P491,0)</x:f>
        <x:v>3716</x:v>
      </x:c>
      <x:c r="S491" t="n">
        <x:f>ROUND(O491*IFERROR(INDEX(Assumptions!$C$9:$C$13,MATCH(F491,Assumptions!$A$9:$A$13,0)),0.55),0)</x:f>
        <x:v>28799</x:v>
      </x:c>
      <x:c r="T491" t="n">
        <x:f>ROUND(O491*IFERROR(INDEX(Assumptions!$D$9:$D$13,MATCH(F491,Assumptions!$A$9:$A$13,0)),0.06),0)</x:f>
        <x:v>3716</x:v>
      </x:c>
      <x:c r="U491" t="n">
        <x:f>ROUND(O491*IFERROR(INDEX(Assumptions!$E$9:$E$13,MATCH(F491,Assumptions!$A$9:$A$13,0)),0.15),0)</x:f>
        <x:v>8361</x:v>
      </x:c>
      <x:c r="V491" t="n">
        <x:f>MAX(0,O491-SUM(R491:U491))</x:f>
        <x:v>1858.5599999999977</x:v>
      </x:c>
      <x:c r="W491" t="n">
        <x:f>MIN(100,40+IF(O491&gt;0,20,0)+IF(M491&lt;&gt;"",20,0)+IF(AF491&lt;&gt;"",20,0))</x:f>
        <x:v>100</x:v>
      </x:c>
      <x:c r="X491" t="str">
        <x:v>Placed on exact national road host link</x:v>
      </x:c>
      <x:c r="Y491" t="str">
        <x:v>Paved</x:v>
      </x:c>
      <x:c r="Z491" t="str">
        <x:v>M</x:v>
      </x:c>
      <x:c r="AA491" t="str">
        <x:v>Not available in governed source</x:v>
      </x:c>
      <x:c r="AB491" t="str">
        <x:v>Not available in governed source</x:v>
      </x:c>
      <x:c r="AC491" t="str">
        <x:v>FY2025/26</x:v>
      </x:c>
      <x:c r="AD491" t="str">
        <x:v>Modelled</x:v>
      </x:c>
      <x:c r="AE491" t="str">
        <x:v>2026 bridge AADT rebuilt from host-link traffic history, annual collection-link history, same-road corridor history and spatial count-station influence. Vehicle-class values are assigned from functional-class shares.</x:v>
      </x:c>
      <x:c r="AF491" t="str">
        <x:v>Placed on exact national road host link</x:v>
      </x:c>
    </x:row>
    <x:row r="492" ht="15" hidden="0" customHeight="1">
      <x:c r="A492" t="str">
        <x:v>bridge-491</x:v>
      </x:c>
      <x:c r="B492" t="str">
        <x:v>B398</x:v>
      </x:c>
      <x:c r="C492" t="str">
        <x:v>Ntinda B1</x:v>
      </x:c>
      <x:c r="D492" t="str">
        <x:v>M20</x:v>
      </x:c>
      <x:c r="E492" t="str">
        <x:v>Kampala NorthernBypass</x:v>
      </x:c>
      <x:c r="F492" t="str">
        <x:v>M</x:v>
      </x:c>
      <x:c r="G492" t="str">
        <x:v>Central</x:v>
      </x:c>
      <x:c r="H492" t="str">
        <x:v>Kampala</x:v>
      </x:c>
      <x:c r="I492" t="str">
        <x:v>Road Over Road</x:v>
      </x:c>
      <x:c r="J492" t="str">
        <x:v>Good</x:v>
      </x:c>
      <x:c r="K492" t="n">
        <x:v>32.6045</x:v>
      </x:c>
      <x:c r="L492" t="n">
        <x:v>0.3651</x:v>
      </x:c>
      <x:c r="M492" t="n">
        <x:v>32.604677</x:v>
      </x:c>
      <x:c r="N492" t="n">
        <x:v>0.364987</x:v>
      </x:c>
      <x:c r="O492" t="n">
        <x:v>46450.56</x:v>
      </x:c>
      <x:c r="P492" t="n">
        <x:f>IFERROR(INDEX(Assumptions!$B$9:$B$13,MATCH(F492,Assumptions!$A$9:$A$13,0)),0.15)</x:f>
        <x:v>0.08</x:v>
      </x:c>
      <x:c r="Q492" t="n">
        <x:f>ROUND(O492*(1-P492),0)</x:f>
        <x:v>42735</x:v>
      </x:c>
      <x:c r="R492" t="n">
        <x:f>ROUND(O492*P492,0)</x:f>
        <x:v>3716</x:v>
      </x:c>
      <x:c r="S492" t="n">
        <x:f>ROUND(O492*IFERROR(INDEX(Assumptions!$C$9:$C$13,MATCH(F492,Assumptions!$A$9:$A$13,0)),0.55),0)</x:f>
        <x:v>28799</x:v>
      </x:c>
      <x:c r="T492" t="n">
        <x:f>ROUND(O492*IFERROR(INDEX(Assumptions!$D$9:$D$13,MATCH(F492,Assumptions!$A$9:$A$13,0)),0.06),0)</x:f>
        <x:v>3716</x:v>
      </x:c>
      <x:c r="U492" t="n">
        <x:f>ROUND(O492*IFERROR(INDEX(Assumptions!$E$9:$E$13,MATCH(F492,Assumptions!$A$9:$A$13,0)),0.15),0)</x:f>
        <x:v>8361</x:v>
      </x:c>
      <x:c r="V492" t="n">
        <x:f>MAX(0,O492-SUM(R492:U492))</x:f>
        <x:v>1858.5599999999977</x:v>
      </x:c>
      <x:c r="W492" t="n">
        <x:f>MIN(100,40+IF(O492&gt;0,20,0)+IF(M492&lt;&gt;"",20,0)+IF(AF492&lt;&gt;"",20,0))</x:f>
        <x:v>100</x:v>
      </x:c>
      <x:c r="X492" t="str">
        <x:v>Placed on exact national road host link</x:v>
      </x:c>
      <x:c r="Y492" t="str">
        <x:v>Paved</x:v>
      </x:c>
      <x:c r="Z492" t="str">
        <x:v>M</x:v>
      </x:c>
      <x:c r="AA492" t="str">
        <x:v>Not available in governed source</x:v>
      </x:c>
      <x:c r="AB492" t="str">
        <x:v>Not available in governed source</x:v>
      </x:c>
      <x:c r="AC492" t="str">
        <x:v>FY2025/26</x:v>
      </x:c>
      <x:c r="AD492" t="str">
        <x:v>Modelled</x:v>
      </x:c>
      <x:c r="AE492" t="str">
        <x:v>2026 bridge AADT rebuilt from host-link traffic history, annual collection-link history, same-road corridor history and spatial count-station influence. Vehicle-class values are assigned from functional-class shares.</x:v>
      </x:c>
      <x:c r="AF492" t="str">
        <x:v>Placed on exact national road host link</x:v>
      </x:c>
    </x:row>
    <x:row r="493" ht="15" hidden="0" customHeight="1">
      <x:c r="A493" t="str">
        <x:v>bridge-492</x:v>
      </x:c>
      <x:c r="B493" t="str">
        <x:v>B400</x:v>
      </x:c>
      <x:c r="C493" t="str">
        <x:v>Ntinda B2</x:v>
      </x:c>
      <x:c r="D493" t="str">
        <x:v>M20</x:v>
      </x:c>
      <x:c r="E493" t="str">
        <x:v>Kampala NorthernBypass</x:v>
      </x:c>
      <x:c r="F493" t="str">
        <x:v>M</x:v>
      </x:c>
      <x:c r="G493" t="str">
        <x:v>Central</x:v>
      </x:c>
      <x:c r="H493" t="str">
        <x:v>Kampala</x:v>
      </x:c>
      <x:c r="I493" t="str">
        <x:v>Road Over Road</x:v>
      </x:c>
      <x:c r="J493" t="str">
        <x:v>Good</x:v>
      </x:c>
      <x:c r="K493" t="n">
        <x:v>32.6051</x:v>
      </x:c>
      <x:c r="L493" t="n">
        <x:v>0.3655</x:v>
      </x:c>
      <x:c r="M493" t="n">
        <x:v>32.605139</x:v>
      </x:c>
      <x:c r="N493" t="n">
        <x:v>0.365363</x:v>
      </x:c>
      <x:c r="O493" t="n">
        <x:v>46450.56</x:v>
      </x:c>
      <x:c r="P493" t="n">
        <x:f>IFERROR(INDEX(Assumptions!$B$9:$B$13,MATCH(F493,Assumptions!$A$9:$A$13,0)),0.15)</x:f>
        <x:v>0.08</x:v>
      </x:c>
      <x:c r="Q493" t="n">
        <x:f>ROUND(O493*(1-P493),0)</x:f>
        <x:v>42735</x:v>
      </x:c>
      <x:c r="R493" t="n">
        <x:f>ROUND(O493*P493,0)</x:f>
        <x:v>3716</x:v>
      </x:c>
      <x:c r="S493" t="n">
        <x:f>ROUND(O493*IFERROR(INDEX(Assumptions!$C$9:$C$13,MATCH(F493,Assumptions!$A$9:$A$13,0)),0.55),0)</x:f>
        <x:v>28799</x:v>
      </x:c>
      <x:c r="T493" t="n">
        <x:f>ROUND(O493*IFERROR(INDEX(Assumptions!$D$9:$D$13,MATCH(F493,Assumptions!$A$9:$A$13,0)),0.06),0)</x:f>
        <x:v>3716</x:v>
      </x:c>
      <x:c r="U493" t="n">
        <x:f>ROUND(O493*IFERROR(INDEX(Assumptions!$E$9:$E$13,MATCH(F493,Assumptions!$A$9:$A$13,0)),0.15),0)</x:f>
        <x:v>8361</x:v>
      </x:c>
      <x:c r="V493" t="n">
        <x:f>MAX(0,O493-SUM(R493:U493))</x:f>
        <x:v>1858.5599999999977</x:v>
      </x:c>
      <x:c r="W493" t="n">
        <x:f>MIN(100,40+IF(O493&gt;0,20,0)+IF(M493&lt;&gt;"",20,0)+IF(AF493&lt;&gt;"",20,0))</x:f>
        <x:v>100</x:v>
      </x:c>
      <x:c r="X493" t="str">
        <x:v>Placed on exact national road host link</x:v>
      </x:c>
      <x:c r="Y493" t="str">
        <x:v>Paved</x:v>
      </x:c>
      <x:c r="Z493" t="str">
        <x:v>M</x:v>
      </x:c>
      <x:c r="AA493" t="str">
        <x:v>Not available in governed source</x:v>
      </x:c>
      <x:c r="AB493" t="str">
        <x:v>Not available in governed source</x:v>
      </x:c>
      <x:c r="AC493" t="str">
        <x:v>FY2025/26</x:v>
      </x:c>
      <x:c r="AD493" t="str">
        <x:v>Modelled</x:v>
      </x:c>
      <x:c r="AE493" t="str">
        <x:v>2026 bridge AADT rebuilt from host-link traffic history, annual collection-link history, same-road corridor history and spatial count-station influence. Vehicle-class values are assigned from functional-class shares.</x:v>
      </x:c>
      <x:c r="AF493" t="str">
        <x:v>Placed on exact national road host link</x:v>
      </x:c>
    </x:row>
    <x:row r="494" ht="15" hidden="0" customHeight="1">
      <x:c r="A494" t="str">
        <x:v>bridge-493</x:v>
      </x:c>
      <x:c r="B494" t="str">
        <x:v>B403</x:v>
      </x:c>
      <x:c r="C494" t="str">
        <x:v>Bukoto-Kisasi over Bridge</x:v>
      </x:c>
      <x:c r="D494" t="str">
        <x:v>M20</x:v>
      </x:c>
      <x:c r="E494" t="str">
        <x:v>Kampala NorthernBypass</x:v>
      </x:c>
      <x:c r="F494" t="str">
        <x:v>M</x:v>
      </x:c>
      <x:c r="G494" t="str">
        <x:v>Central</x:v>
      </x:c>
      <x:c r="H494" t="str">
        <x:v>Kampala</x:v>
      </x:c>
      <x:c r="I494" t="str">
        <x:v>Road Over Road</x:v>
      </x:c>
      <x:c r="J494" t="str">
        <x:v>Good</x:v>
      </x:c>
      <x:c r="K494" t="n">
        <x:v>32.5985</x:v>
      </x:c>
      <x:c r="L494" t="n">
        <x:v>0.3587</x:v>
      </x:c>
      <x:c r="M494" t="n">
        <x:v>32.598497</x:v>
      </x:c>
      <x:c r="N494" t="n">
        <x:v>0.358724</x:v>
      </x:c>
      <x:c r="O494" t="n">
        <x:v>46450.56</x:v>
      </x:c>
      <x:c r="P494" t="n">
        <x:f>IFERROR(INDEX(Assumptions!$B$9:$B$13,MATCH(F494,Assumptions!$A$9:$A$13,0)),0.15)</x:f>
        <x:v>0.08</x:v>
      </x:c>
      <x:c r="Q494" t="n">
        <x:f>ROUND(O494*(1-P494),0)</x:f>
        <x:v>42735</x:v>
      </x:c>
      <x:c r="R494" t="n">
        <x:f>ROUND(O494*P494,0)</x:f>
        <x:v>3716</x:v>
      </x:c>
      <x:c r="S494" t="n">
        <x:f>ROUND(O494*IFERROR(INDEX(Assumptions!$C$9:$C$13,MATCH(F494,Assumptions!$A$9:$A$13,0)),0.55),0)</x:f>
        <x:v>28799</x:v>
      </x:c>
      <x:c r="T494" t="n">
        <x:f>ROUND(O494*IFERROR(INDEX(Assumptions!$D$9:$D$13,MATCH(F494,Assumptions!$A$9:$A$13,0)),0.06),0)</x:f>
        <x:v>3716</x:v>
      </x:c>
      <x:c r="U494" t="n">
        <x:f>ROUND(O494*IFERROR(INDEX(Assumptions!$E$9:$E$13,MATCH(F494,Assumptions!$A$9:$A$13,0)),0.15),0)</x:f>
        <x:v>8361</x:v>
      </x:c>
      <x:c r="V494" t="n">
        <x:f>MAX(0,O494-SUM(R494:U494))</x:f>
        <x:v>1858.5599999999977</x:v>
      </x:c>
      <x:c r="W494" t="n">
        <x:f>MIN(100,40+IF(O494&gt;0,20,0)+IF(M494&lt;&gt;"",20,0)+IF(AF494&lt;&gt;"",20,0))</x:f>
        <x:v>100</x:v>
      </x:c>
      <x:c r="X494" t="str">
        <x:v>Placed on exact national road host link</x:v>
      </x:c>
      <x:c r="Y494" t="str">
        <x:v>Paved</x:v>
      </x:c>
      <x:c r="Z494" t="str">
        <x:v>M</x:v>
      </x:c>
      <x:c r="AA494" t="str">
        <x:v>Not available in governed source</x:v>
      </x:c>
      <x:c r="AB494" t="str">
        <x:v>Not available in governed source</x:v>
      </x:c>
      <x:c r="AC494" t="str">
        <x:v>FY2025/26</x:v>
      </x:c>
      <x:c r="AD494" t="str">
        <x:v>Modelled</x:v>
      </x:c>
      <x:c r="AE494" t="str">
        <x:v>2026 bridge AADT rebuilt from host-link traffic history, annual collection-link history, same-road corridor history and spatial count-station influence. Vehicle-class values are assigned from functional-class shares.</x:v>
      </x:c>
      <x:c r="AF494" t="str">
        <x:v>Placed on exact national road host link</x:v>
      </x:c>
    </x:row>
    <x:row r="495" ht="15" hidden="0" customHeight="1">
      <x:c r="A495" t="str">
        <x:v>bridge-494</x:v>
      </x:c>
      <x:c r="B495" t="str">
        <x:v>B404</x:v>
      </x:c>
      <x:c r="C495" t="str">
        <x:v>Bukoto-Kyebando B1 RHS</x:v>
      </x:c>
      <x:c r="D495" t="str">
        <x:v>M20</x:v>
      </x:c>
      <x:c r="E495" t="str">
        <x:v>Kampala NorthernBypass</x:v>
      </x:c>
      <x:c r="F495" t="str">
        <x:v>M</x:v>
      </x:c>
      <x:c r="G495" t="str">
        <x:v>Central</x:v>
      </x:c>
      <x:c r="H495" t="str">
        <x:v>Kampala</x:v>
      </x:c>
      <x:c r="I495" t="str">
        <x:v>Road Over Road</x:v>
      </x:c>
      <x:c r="J495" t="str">
        <x:v>Good</x:v>
      </x:c>
      <x:c r="K495" t="n">
        <x:v>32.5893</x:v>
      </x:c>
      <x:c r="L495" t="n">
        <x:v>0.3525</x:v>
      </x:c>
      <x:c r="M495" t="n">
        <x:v>32.588896</x:v>
      </x:c>
      <x:c r="N495" t="n">
        <x:v>0.352818</x:v>
      </x:c>
      <x:c r="O495" t="n">
        <x:v>46450.56</x:v>
      </x:c>
      <x:c r="P495" t="n">
        <x:f>IFERROR(INDEX(Assumptions!$B$9:$B$13,MATCH(F495,Assumptions!$A$9:$A$13,0)),0.15)</x:f>
        <x:v>0.08</x:v>
      </x:c>
      <x:c r="Q495" t="n">
        <x:f>ROUND(O495*(1-P495),0)</x:f>
        <x:v>42735</x:v>
      </x:c>
      <x:c r="R495" t="n">
        <x:f>ROUND(O495*P495,0)</x:f>
        <x:v>3716</x:v>
      </x:c>
      <x:c r="S495" t="n">
        <x:f>ROUND(O495*IFERROR(INDEX(Assumptions!$C$9:$C$13,MATCH(F495,Assumptions!$A$9:$A$13,0)),0.55),0)</x:f>
        <x:v>28799</x:v>
      </x:c>
      <x:c r="T495" t="n">
        <x:f>ROUND(O495*IFERROR(INDEX(Assumptions!$D$9:$D$13,MATCH(F495,Assumptions!$A$9:$A$13,0)),0.06),0)</x:f>
        <x:v>3716</x:v>
      </x:c>
      <x:c r="U495" t="n">
        <x:f>ROUND(O495*IFERROR(INDEX(Assumptions!$E$9:$E$13,MATCH(F495,Assumptions!$A$9:$A$13,0)),0.15),0)</x:f>
        <x:v>8361</x:v>
      </x:c>
      <x:c r="V495" t="n">
        <x:f>MAX(0,O495-SUM(R495:U495))</x:f>
        <x:v>1858.5599999999977</x:v>
      </x:c>
      <x:c r="W495" t="n">
        <x:f>MIN(100,40+IF(O495&gt;0,20,0)+IF(M495&lt;&gt;"",20,0)+IF(AF495&lt;&gt;"",20,0))</x:f>
        <x:v>100</x:v>
      </x:c>
      <x:c r="X495" t="str">
        <x:v>Placed on exact national road host link</x:v>
      </x:c>
      <x:c r="Y495" t="str">
        <x:v>Paved</x:v>
      </x:c>
      <x:c r="Z495" t="str">
        <x:v>M</x:v>
      </x:c>
      <x:c r="AA495" t="str">
        <x:v>Not available in governed source</x:v>
      </x:c>
      <x:c r="AB495" t="str">
        <x:v>Not available in governed source</x:v>
      </x:c>
      <x:c r="AC495" t="str">
        <x:v>FY2025/26</x:v>
      </x:c>
      <x:c r="AD495" t="str">
        <x:v>Modelled</x:v>
      </x:c>
      <x:c r="AE495" t="str">
        <x:v>2026 bridge AADT rebuilt from host-link traffic history, annual collection-link history, same-road corridor history and spatial count-station influence. Vehicle-class values are assigned from functional-class shares.</x:v>
      </x:c>
      <x:c r="AF495" t="str">
        <x:v>Placed on exact national road host link</x:v>
      </x:c>
    </x:row>
    <x:row r="496" ht="15" hidden="0" customHeight="1">
      <x:c r="A496" t="str">
        <x:v>bridge-495</x:v>
      </x:c>
      <x:c r="B496" t="str">
        <x:v>B405</x:v>
      </x:c>
      <x:c r="C496" t="str">
        <x:v>Bukoto-Kyebando B1 LHS</x:v>
      </x:c>
      <x:c r="D496" t="str">
        <x:v>M20</x:v>
      </x:c>
      <x:c r="E496" t="str">
        <x:v>Kampala NorthernBypass</x:v>
      </x:c>
      <x:c r="F496" t="str">
        <x:v>M</x:v>
      </x:c>
      <x:c r="G496" t="str">
        <x:v>Central</x:v>
      </x:c>
      <x:c r="H496" t="str">
        <x:v>Kampala</x:v>
      </x:c>
      <x:c r="I496" t="str">
        <x:v>Road Over Road</x:v>
      </x:c>
      <x:c r="J496" t="str">
        <x:v>Good</x:v>
      </x:c>
      <x:c r="K496" t="n">
        <x:v>32.5892</x:v>
      </x:c>
      <x:c r="L496" t="n">
        <x:v>0.3526</x:v>
      </x:c>
      <x:c r="M496" t="n">
        <x:v>32.588907</x:v>
      </x:c>
      <x:c r="N496" t="n">
        <x:v>0.352832</x:v>
      </x:c>
      <x:c r="O496" t="n">
        <x:v>46450.56</x:v>
      </x:c>
      <x:c r="P496" t="n">
        <x:f>IFERROR(INDEX(Assumptions!$B$9:$B$13,MATCH(F496,Assumptions!$A$9:$A$13,0)),0.15)</x:f>
        <x:v>0.08</x:v>
      </x:c>
      <x:c r="Q496" t="n">
        <x:f>ROUND(O496*(1-P496),0)</x:f>
        <x:v>42735</x:v>
      </x:c>
      <x:c r="R496" t="n">
        <x:f>ROUND(O496*P496,0)</x:f>
        <x:v>3716</x:v>
      </x:c>
      <x:c r="S496" t="n">
        <x:f>ROUND(O496*IFERROR(INDEX(Assumptions!$C$9:$C$13,MATCH(F496,Assumptions!$A$9:$A$13,0)),0.55),0)</x:f>
        <x:v>28799</x:v>
      </x:c>
      <x:c r="T496" t="n">
        <x:f>ROUND(O496*IFERROR(INDEX(Assumptions!$D$9:$D$13,MATCH(F496,Assumptions!$A$9:$A$13,0)),0.06),0)</x:f>
        <x:v>3716</x:v>
      </x:c>
      <x:c r="U496" t="n">
        <x:f>ROUND(O496*IFERROR(INDEX(Assumptions!$E$9:$E$13,MATCH(F496,Assumptions!$A$9:$A$13,0)),0.15),0)</x:f>
        <x:v>8361</x:v>
      </x:c>
      <x:c r="V496" t="n">
        <x:f>MAX(0,O496-SUM(R496:U496))</x:f>
        <x:v>1858.5599999999977</x:v>
      </x:c>
      <x:c r="W496" t="n">
        <x:f>MIN(100,40+IF(O496&gt;0,20,0)+IF(M496&lt;&gt;"",20,0)+IF(AF496&lt;&gt;"",20,0))</x:f>
        <x:v>100</x:v>
      </x:c>
      <x:c r="X496" t="str">
        <x:v>Placed on exact national road host link</x:v>
      </x:c>
      <x:c r="Y496" t="str">
        <x:v>Paved</x:v>
      </x:c>
      <x:c r="Z496" t="str">
        <x:v>M</x:v>
      </x:c>
      <x:c r="AA496" t="str">
        <x:v>Not available in governed source</x:v>
      </x:c>
      <x:c r="AB496" t="str">
        <x:v>Not available in governed source</x:v>
      </x:c>
      <x:c r="AC496" t="str">
        <x:v>FY2025/26</x:v>
      </x:c>
      <x:c r="AD496" t="str">
        <x:v>Modelled</x:v>
      </x:c>
      <x:c r="AE496" t="str">
        <x:v>2026 bridge AADT rebuilt from host-link traffic history, annual collection-link history, same-road corridor history and spatial count-station influence. Vehicle-class values are assigned from functional-class shares.</x:v>
      </x:c>
      <x:c r="AF496" t="str">
        <x:v>Placed on exact national road host link</x:v>
      </x:c>
    </x:row>
    <x:row r="497" ht="15" hidden="0" customHeight="1">
      <x:c r="A497" t="str">
        <x:v>bridge-496</x:v>
      </x:c>
      <x:c r="B497" t="str">
        <x:v>B409</x:v>
      </x:c>
      <x:c r="C497" t="str">
        <x:v>Bukoto-Kyebando B2 LHS</x:v>
      </x:c>
      <x:c r="D497" t="str">
        <x:v>M20</x:v>
      </x:c>
      <x:c r="E497" t="str">
        <x:v>Kampala NorthernBypass</x:v>
      </x:c>
      <x:c r="F497" t="str">
        <x:v>M</x:v>
      </x:c>
      <x:c r="G497" t="str">
        <x:v>Central</x:v>
      </x:c>
      <x:c r="H497" t="str">
        <x:v>Kampala</x:v>
      </x:c>
      <x:c r="I497" t="str">
        <x:v>Road Over Road</x:v>
      </x:c>
      <x:c r="J497" t="str">
        <x:v>Good</x:v>
      </x:c>
      <x:c r="K497" t="n">
        <x:v>32.5889</x:v>
      </x:c>
      <x:c r="L497" t="n">
        <x:v>0.3521</x:v>
      </x:c>
      <x:c r="M497" t="n">
        <x:v>32.588545</x:v>
      </x:c>
      <x:c r="N497" t="n">
        <x:v>0.352378</x:v>
      </x:c>
      <x:c r="O497" t="n">
        <x:v>46450.56</x:v>
      </x:c>
      <x:c r="P497" t="n">
        <x:f>IFERROR(INDEX(Assumptions!$B$9:$B$13,MATCH(F497,Assumptions!$A$9:$A$13,0)),0.15)</x:f>
        <x:v>0.08</x:v>
      </x:c>
      <x:c r="Q497" t="n">
        <x:f>ROUND(O497*(1-P497),0)</x:f>
        <x:v>42735</x:v>
      </x:c>
      <x:c r="R497" t="n">
        <x:f>ROUND(O497*P497,0)</x:f>
        <x:v>3716</x:v>
      </x:c>
      <x:c r="S497" t="n">
        <x:f>ROUND(O497*IFERROR(INDEX(Assumptions!$C$9:$C$13,MATCH(F497,Assumptions!$A$9:$A$13,0)),0.55),0)</x:f>
        <x:v>28799</x:v>
      </x:c>
      <x:c r="T497" t="n">
        <x:f>ROUND(O497*IFERROR(INDEX(Assumptions!$D$9:$D$13,MATCH(F497,Assumptions!$A$9:$A$13,0)),0.06),0)</x:f>
        <x:v>3716</x:v>
      </x:c>
      <x:c r="U497" t="n">
        <x:f>ROUND(O497*IFERROR(INDEX(Assumptions!$E$9:$E$13,MATCH(F497,Assumptions!$A$9:$A$13,0)),0.15),0)</x:f>
        <x:v>8361</x:v>
      </x:c>
      <x:c r="V497" t="n">
        <x:f>MAX(0,O497-SUM(R497:U497))</x:f>
        <x:v>1858.5599999999977</x:v>
      </x:c>
      <x:c r="W497" t="n">
        <x:f>MIN(100,40+IF(O497&gt;0,20,0)+IF(M497&lt;&gt;"",20,0)+IF(AF497&lt;&gt;"",20,0))</x:f>
        <x:v>100</x:v>
      </x:c>
      <x:c r="X497" t="str">
        <x:v>Placed on exact national road host link</x:v>
      </x:c>
      <x:c r="Y497" t="str">
        <x:v>Paved</x:v>
      </x:c>
      <x:c r="Z497" t="str">
        <x:v>M</x:v>
      </x:c>
      <x:c r="AA497" t="str">
        <x:v>Not available in governed source</x:v>
      </x:c>
      <x:c r="AB497" t="str">
        <x:v>Not available in governed source</x:v>
      </x:c>
      <x:c r="AC497" t="str">
        <x:v>FY2025/26</x:v>
      </x:c>
      <x:c r="AD497" t="str">
        <x:v>Modelled</x:v>
      </x:c>
      <x:c r="AE497" t="str">
        <x:v>2026 bridge AADT rebuilt from host-link traffic history, annual collection-link history, same-road corridor history and spatial count-station influence. Vehicle-class values are assigned from functional-class shares.</x:v>
      </x:c>
      <x:c r="AF497" t="str">
        <x:v>Placed on exact national road host link</x:v>
      </x:c>
    </x:row>
    <x:row r="498" ht="15" hidden="0" customHeight="1">
      <x:c r="A498" t="str">
        <x:v>bridge-497</x:v>
      </x:c>
      <x:c r="B498" t="str">
        <x:v>B412</x:v>
      </x:c>
      <x:c r="C498" t="str">
        <x:v>Bukoto-Kyebando B2 RHS</x:v>
      </x:c>
      <x:c r="D498" t="str">
        <x:v>M20</x:v>
      </x:c>
      <x:c r="E498" t="str">
        <x:v>Kampala NorthernBypass</x:v>
      </x:c>
      <x:c r="F498" t="str">
        <x:v>M</x:v>
      </x:c>
      <x:c r="G498" t="str">
        <x:v>Central</x:v>
      </x:c>
      <x:c r="H498" t="str">
        <x:v>Kampala</x:v>
      </x:c>
      <x:c r="I498" t="str">
        <x:v>Road Over Road</x:v>
      </x:c>
      <x:c r="J498" t="str">
        <x:v>Good</x:v>
      </x:c>
      <x:c r="K498" t="n">
        <x:v>32.5889</x:v>
      </x:c>
      <x:c r="L498" t="n">
        <x:v>0.3521</x:v>
      </x:c>
      <x:c r="M498" t="n">
        <x:v>32.588545</x:v>
      </x:c>
      <x:c r="N498" t="n">
        <x:v>0.352378</x:v>
      </x:c>
      <x:c r="O498" t="n">
        <x:v>46450.56</x:v>
      </x:c>
      <x:c r="P498" t="n">
        <x:f>IFERROR(INDEX(Assumptions!$B$9:$B$13,MATCH(F498,Assumptions!$A$9:$A$13,0)),0.15)</x:f>
        <x:v>0.08</x:v>
      </x:c>
      <x:c r="Q498" t="n">
        <x:f>ROUND(O498*(1-P498),0)</x:f>
        <x:v>42735</x:v>
      </x:c>
      <x:c r="R498" t="n">
        <x:f>ROUND(O498*P498,0)</x:f>
        <x:v>3716</x:v>
      </x:c>
      <x:c r="S498" t="n">
        <x:f>ROUND(O498*IFERROR(INDEX(Assumptions!$C$9:$C$13,MATCH(F498,Assumptions!$A$9:$A$13,0)),0.55),0)</x:f>
        <x:v>28799</x:v>
      </x:c>
      <x:c r="T498" t="n">
        <x:f>ROUND(O498*IFERROR(INDEX(Assumptions!$D$9:$D$13,MATCH(F498,Assumptions!$A$9:$A$13,0)),0.06),0)</x:f>
        <x:v>3716</x:v>
      </x:c>
      <x:c r="U498" t="n">
        <x:f>ROUND(O498*IFERROR(INDEX(Assumptions!$E$9:$E$13,MATCH(F498,Assumptions!$A$9:$A$13,0)),0.15),0)</x:f>
        <x:v>8361</x:v>
      </x:c>
      <x:c r="V498" t="n">
        <x:f>MAX(0,O498-SUM(R498:U498))</x:f>
        <x:v>1858.5599999999977</x:v>
      </x:c>
      <x:c r="W498" t="n">
        <x:f>MIN(100,40+IF(O498&gt;0,20,0)+IF(M498&lt;&gt;"",20,0)+IF(AF498&lt;&gt;"",20,0))</x:f>
        <x:v>100</x:v>
      </x:c>
      <x:c r="X498" t="str">
        <x:v>Placed on exact national road host link</x:v>
      </x:c>
      <x:c r="Y498" t="str">
        <x:v>Paved</x:v>
      </x:c>
      <x:c r="Z498" t="str">
        <x:v>M</x:v>
      </x:c>
      <x:c r="AA498" t="str">
        <x:v>Not available in governed source</x:v>
      </x:c>
      <x:c r="AB498" t="str">
        <x:v>Not available in governed source</x:v>
      </x:c>
      <x:c r="AC498" t="str">
        <x:v>FY2025/26</x:v>
      </x:c>
      <x:c r="AD498" t="str">
        <x:v>Modelled</x:v>
      </x:c>
      <x:c r="AE498" t="str">
        <x:v>2026 bridge AADT rebuilt from host-link traffic history, annual collection-link history, same-road corridor history and spatial count-station influence. Vehicle-class values are assigned from functional-class shares.</x:v>
      </x:c>
      <x:c r="AF498" t="str">
        <x:v>Placed on exact national road host link</x:v>
      </x:c>
    </x:row>
    <x:row r="499" ht="15" hidden="0" customHeight="1">
      <x:c r="A499" t="str">
        <x:v>bridge-498</x:v>
      </x:c>
      <x:c r="B499" t="str">
        <x:v>B242</x:v>
      </x:c>
      <x:c r="C499" t="str">
        <x:v>Kyebando foot bridge</x:v>
      </x:c>
      <x:c r="D499" t="str">
        <x:v>M20</x:v>
      </x:c>
      <x:c r="E499" t="str">
        <x:v>Kampala NorthernBypass</x:v>
      </x:c>
      <x:c r="F499" t="str">
        <x:v>M</x:v>
      </x:c>
      <x:c r="G499" t="str">
        <x:v>Central</x:v>
      </x:c>
      <x:c r="H499" t="str">
        <x:v>Kampala</x:v>
      </x:c>
      <x:c r="I499" t="str">
        <x:v>Pedestrian Crossing</x:v>
      </x:c>
      <x:c r="J499" t="str">
        <x:v>Good</x:v>
      </x:c>
      <x:c r="K499" t="n">
        <x:v>32.5866</x:v>
      </x:c>
      <x:c r="L499" t="n">
        <x:v>0.3497</x:v>
      </x:c>
      <x:c r="M499" t="n">
        <x:v>32.586483</x:v>
      </x:c>
      <x:c r="N499" t="n">
        <x:v>0.349789</x:v>
      </x:c>
      <x:c r="O499" t="n">
        <x:v>46450.56</x:v>
      </x:c>
      <x:c r="P499" t="n">
        <x:f>IFERROR(INDEX(Assumptions!$B$9:$B$13,MATCH(F499,Assumptions!$A$9:$A$13,0)),0.15)</x:f>
        <x:v>0.08</x:v>
      </x:c>
      <x:c r="Q499" t="n">
        <x:f>ROUND(O499*(1-P499),0)</x:f>
        <x:v>42735</x:v>
      </x:c>
      <x:c r="R499" t="n">
        <x:f>ROUND(O499*P499,0)</x:f>
        <x:v>3716</x:v>
      </x:c>
      <x:c r="S499" t="n">
        <x:f>ROUND(O499*IFERROR(INDEX(Assumptions!$C$9:$C$13,MATCH(F499,Assumptions!$A$9:$A$13,0)),0.55),0)</x:f>
        <x:v>28799</x:v>
      </x:c>
      <x:c r="T499" t="n">
        <x:f>ROUND(O499*IFERROR(INDEX(Assumptions!$D$9:$D$13,MATCH(F499,Assumptions!$A$9:$A$13,0)),0.06),0)</x:f>
        <x:v>3716</x:v>
      </x:c>
      <x:c r="U499" t="n">
        <x:f>ROUND(O499*IFERROR(INDEX(Assumptions!$E$9:$E$13,MATCH(F499,Assumptions!$A$9:$A$13,0)),0.15),0)</x:f>
        <x:v>8361</x:v>
      </x:c>
      <x:c r="V499" t="n">
        <x:f>MAX(0,O499-SUM(R499:U499))</x:f>
        <x:v>1858.5599999999977</x:v>
      </x:c>
      <x:c r="W499" t="n">
        <x:f>MIN(100,40+IF(O499&gt;0,20,0)+IF(M499&lt;&gt;"",20,0)+IF(AF499&lt;&gt;"",20,0))</x:f>
        <x:v>100</x:v>
      </x:c>
      <x:c r="X499" t="str">
        <x:v>Placed on exact national road host link</x:v>
      </x:c>
      <x:c r="Y499" t="str">
        <x:v>Paved</x:v>
      </x:c>
      <x:c r="Z499" t="str">
        <x:v>M</x:v>
      </x:c>
      <x:c r="AA499" t="str">
        <x:v>Not available in governed source</x:v>
      </x:c>
      <x:c r="AB499" t="str">
        <x:v>Not available in governed source</x:v>
      </x:c>
      <x:c r="AC499" t="str">
        <x:v>FY2025/26</x:v>
      </x:c>
      <x:c r="AD499" t="str">
        <x:v>Modelled</x:v>
      </x:c>
      <x:c r="AE499" t="str">
        <x:v>2026 bridge AADT rebuilt from host-link traffic history, annual collection-link history, same-road corridor history and spatial count-station influence. Vehicle-class values are assigned from functional-class shares.</x:v>
      </x:c>
      <x:c r="AF499" t="str">
        <x:v>Placed on exact national road host link</x:v>
      </x:c>
    </x:row>
    <x:row r="500" ht="15" hidden="0" customHeight="1">
      <x:c r="A500" t="str">
        <x:v>bridge-499</x:v>
      </x:c>
      <x:c r="B500" t="str">
        <x:v>B416</x:v>
      </x:c>
      <x:c r="C500" t="str">
        <x:v>Namboole B2</x:v>
      </x:c>
      <x:c r="D500" t="str">
        <x:v>M20</x:v>
      </x:c>
      <x:c r="E500" t="str">
        <x:v>Kampala NorthernBypass</x:v>
      </x:c>
      <x:c r="F500" t="str">
        <x:v>M</x:v>
      </x:c>
      <x:c r="G500" t="str">
        <x:v>Central</x:v>
      </x:c>
      <x:c r="H500" t="str">
        <x:v>Kampala</x:v>
      </x:c>
      <x:c r="I500" t="str">
        <x:v>Road Over Road</x:v>
      </x:c>
      <x:c r="J500" t="str">
        <x:v>Good</x:v>
      </x:c>
      <x:c r="K500" t="n">
        <x:v>32.6543</x:v>
      </x:c>
      <x:c r="L500" t="n">
        <x:v>0.3488</x:v>
      </x:c>
      <x:c r="M500" t="n">
        <x:v>32.65356</x:v>
      </x:c>
      <x:c r="N500" t="n">
        <x:v>0.34894</x:v>
      </x:c>
      <x:c r="O500" t="n">
        <x:v>46450.56</x:v>
      </x:c>
      <x:c r="P500" t="n">
        <x:f>IFERROR(INDEX(Assumptions!$B$9:$B$13,MATCH(F500,Assumptions!$A$9:$A$13,0)),0.15)</x:f>
        <x:v>0.08</x:v>
      </x:c>
      <x:c r="Q500" t="n">
        <x:f>ROUND(O500*(1-P500),0)</x:f>
        <x:v>42735</x:v>
      </x:c>
      <x:c r="R500" t="n">
        <x:f>ROUND(O500*P500,0)</x:f>
        <x:v>3716</x:v>
      </x:c>
      <x:c r="S500" t="n">
        <x:f>ROUND(O500*IFERROR(INDEX(Assumptions!$C$9:$C$13,MATCH(F500,Assumptions!$A$9:$A$13,0)),0.55),0)</x:f>
        <x:v>28799</x:v>
      </x:c>
      <x:c r="T500" t="n">
        <x:f>ROUND(O500*IFERROR(INDEX(Assumptions!$D$9:$D$13,MATCH(F500,Assumptions!$A$9:$A$13,0)),0.06),0)</x:f>
        <x:v>3716</x:v>
      </x:c>
      <x:c r="U500" t="n">
        <x:f>ROUND(O500*IFERROR(INDEX(Assumptions!$E$9:$E$13,MATCH(F500,Assumptions!$A$9:$A$13,0)),0.15),0)</x:f>
        <x:v>8361</x:v>
      </x:c>
      <x:c r="V500" t="n">
        <x:f>MAX(0,O500-SUM(R500:U500))</x:f>
        <x:v>1858.5599999999977</x:v>
      </x:c>
      <x:c r="W500" t="n">
        <x:f>MIN(100,40+IF(O500&gt;0,20,0)+IF(M500&lt;&gt;"",20,0)+IF(AF500&lt;&gt;"",20,0))</x:f>
        <x:v>100</x:v>
      </x:c>
      <x:c r="X500" t="str">
        <x:v>Placed on exact national road host link</x:v>
      </x:c>
      <x:c r="Y500" t="str">
        <x:v>Paved</x:v>
      </x:c>
      <x:c r="Z500" t="str">
        <x:v>M</x:v>
      </x:c>
      <x:c r="AA500" t="str">
        <x:v>Not available in governed source</x:v>
      </x:c>
      <x:c r="AB500" t="str">
        <x:v>Not available in governed source</x:v>
      </x:c>
      <x:c r="AC500" t="str">
        <x:v>FY2025/26</x:v>
      </x:c>
      <x:c r="AD500" t="str">
        <x:v>Modelled</x:v>
      </x:c>
      <x:c r="AE500" t="str">
        <x:v>2026 bridge AADT rebuilt from host-link traffic history, annual collection-link history, same-road corridor history and spatial count-station influence. Vehicle-class values are assigned from functional-class shares.</x:v>
      </x:c>
      <x:c r="AF500" t="str">
        <x:v>Placed on exact national road host link</x:v>
      </x:c>
    </x:row>
    <x:row r="501" ht="15" hidden="0" customHeight="1">
      <x:c r="A501" t="str">
        <x:v>bridge-500</x:v>
      </x:c>
      <x:c r="B501" t="str">
        <x:v>B204</x:v>
      </x:c>
      <x:c r="C501" t="str">
        <x:v>Kyebando over bridge</x:v>
      </x:c>
      <x:c r="D501" t="str">
        <x:v>M20</x:v>
      </x:c>
      <x:c r="E501" t="str">
        <x:v>Kampala NorthernBypass</x:v>
      </x:c>
      <x:c r="F501" t="str">
        <x:v>M</x:v>
      </x:c>
      <x:c r="G501" t="str">
        <x:v>Central</x:v>
      </x:c>
      <x:c r="H501" t="str">
        <x:v>Kampala</x:v>
      </x:c>
      <x:c r="I501" t="str">
        <x:v>Road Over Road</x:v>
      </x:c>
      <x:c r="J501" t="str">
        <x:v>Good</x:v>
      </x:c>
      <x:c r="K501" t="n">
        <x:v>32.5795</x:v>
      </x:c>
      <x:c r="L501" t="n">
        <x:v>0.3505</x:v>
      </x:c>
      <x:c r="M501" t="n">
        <x:v>32.579564</x:v>
      </x:c>
      <x:c r="N501" t="n">
        <x:v>0.350865</x:v>
      </x:c>
      <x:c r="O501" t="n">
        <x:v>46450.56</x:v>
      </x:c>
      <x:c r="P501" t="n">
        <x:f>IFERROR(INDEX(Assumptions!$B$9:$B$13,MATCH(F501,Assumptions!$A$9:$A$13,0)),0.15)</x:f>
        <x:v>0.08</x:v>
      </x:c>
      <x:c r="Q501" t="n">
        <x:f>ROUND(O501*(1-P501),0)</x:f>
        <x:v>42735</x:v>
      </x:c>
      <x:c r="R501" t="n">
        <x:f>ROUND(O501*P501,0)</x:f>
        <x:v>3716</x:v>
      </x:c>
      <x:c r="S501" t="n">
        <x:f>ROUND(O501*IFERROR(INDEX(Assumptions!$C$9:$C$13,MATCH(F501,Assumptions!$A$9:$A$13,0)),0.55),0)</x:f>
        <x:v>28799</x:v>
      </x:c>
      <x:c r="T501" t="n">
        <x:f>ROUND(O501*IFERROR(INDEX(Assumptions!$D$9:$D$13,MATCH(F501,Assumptions!$A$9:$A$13,0)),0.06),0)</x:f>
        <x:v>3716</x:v>
      </x:c>
      <x:c r="U501" t="n">
        <x:f>ROUND(O501*IFERROR(INDEX(Assumptions!$E$9:$E$13,MATCH(F501,Assumptions!$A$9:$A$13,0)),0.15),0)</x:f>
        <x:v>8361</x:v>
      </x:c>
      <x:c r="V501" t="n">
        <x:f>MAX(0,O501-SUM(R501:U501))</x:f>
        <x:v>1858.5599999999977</x:v>
      </x:c>
      <x:c r="W501" t="n">
        <x:f>MIN(100,40+IF(O501&gt;0,20,0)+IF(M501&lt;&gt;"",20,0)+IF(AF501&lt;&gt;"",20,0))</x:f>
        <x:v>100</x:v>
      </x:c>
      <x:c r="X501" t="str">
        <x:v>Placed on exact national road host link</x:v>
      </x:c>
      <x:c r="Y501" t="str">
        <x:v>Paved</x:v>
      </x:c>
      <x:c r="Z501" t="str">
        <x:v>M</x:v>
      </x:c>
      <x:c r="AA501" t="str">
        <x:v>Not available in governed source</x:v>
      </x:c>
      <x:c r="AB501" t="str">
        <x:v>Not available in governed source</x:v>
      </x:c>
      <x:c r="AC501" t="str">
        <x:v>FY2025/26</x:v>
      </x:c>
      <x:c r="AD501" t="str">
        <x:v>Modelled</x:v>
      </x:c>
      <x:c r="AE501" t="str">
        <x:v>2026 bridge AADT rebuilt from host-link traffic history, annual collection-link history, same-road corridor history and spatial count-station influence. Vehicle-class values are assigned from functional-class shares.</x:v>
      </x:c>
      <x:c r="AF501" t="str">
        <x:v>Placed on exact national road host link</x:v>
      </x:c>
    </x:row>
    <x:row r="502" ht="15" hidden="0" customHeight="1">
      <x:c r="A502" t="str">
        <x:v>bridge-501</x:v>
      </x:c>
      <x:c r="B502" t="str">
        <x:v>B417</x:v>
      </x:c>
      <x:c r="C502" t="str">
        <x:v>Kalerwe B1 RHS</x:v>
      </x:c>
      <x:c r="D502" t="str">
        <x:v>M20</x:v>
      </x:c>
      <x:c r="E502" t="str">
        <x:v>Kampala NorthernBypass</x:v>
      </x:c>
      <x:c r="F502" t="str">
        <x:v>M</x:v>
      </x:c>
      <x:c r="G502" t="str">
        <x:v>Central</x:v>
      </x:c>
      <x:c r="H502" t="str">
        <x:v>Kampala</x:v>
      </x:c>
      <x:c r="I502" t="str">
        <x:v>Aguar</x:v>
      </x:c>
      <x:c r="J502" t="str">
        <x:v>Good</x:v>
      </x:c>
      <x:c r="K502" t="n">
        <x:v>32.5723</x:v>
      </x:c>
      <x:c r="L502" t="n">
        <x:v>0.3526</x:v>
      </x:c>
      <x:c r="M502" t="n">
        <x:v>32.572234</x:v>
      </x:c>
      <x:c r="N502" t="n">
        <x:v>0.352223</x:v>
      </x:c>
      <x:c r="O502" t="n">
        <x:v>46450.56</x:v>
      </x:c>
      <x:c r="P502" t="n">
        <x:f>IFERROR(INDEX(Assumptions!$B$9:$B$13,MATCH(F502,Assumptions!$A$9:$A$13,0)),0.15)</x:f>
        <x:v>0.08</x:v>
      </x:c>
      <x:c r="Q502" t="n">
        <x:f>ROUND(O502*(1-P502),0)</x:f>
        <x:v>42735</x:v>
      </x:c>
      <x:c r="R502" t="n">
        <x:f>ROUND(O502*P502,0)</x:f>
        <x:v>3716</x:v>
      </x:c>
      <x:c r="S502" t="n">
        <x:f>ROUND(O502*IFERROR(INDEX(Assumptions!$C$9:$C$13,MATCH(F502,Assumptions!$A$9:$A$13,0)),0.55),0)</x:f>
        <x:v>28799</x:v>
      </x:c>
      <x:c r="T502" t="n">
        <x:f>ROUND(O502*IFERROR(INDEX(Assumptions!$D$9:$D$13,MATCH(F502,Assumptions!$A$9:$A$13,0)),0.06),0)</x:f>
        <x:v>3716</x:v>
      </x:c>
      <x:c r="U502" t="n">
        <x:f>ROUND(O502*IFERROR(INDEX(Assumptions!$E$9:$E$13,MATCH(F502,Assumptions!$A$9:$A$13,0)),0.15),0)</x:f>
        <x:v>8361</x:v>
      </x:c>
      <x:c r="V502" t="n">
        <x:f>MAX(0,O502-SUM(R502:U502))</x:f>
        <x:v>1858.5599999999977</x:v>
      </x:c>
      <x:c r="W502" t="n">
        <x:f>MIN(100,40+IF(O502&gt;0,20,0)+IF(M502&lt;&gt;"",20,0)+IF(AF502&lt;&gt;"",20,0))</x:f>
        <x:v>100</x:v>
      </x:c>
      <x:c r="X502" t="str">
        <x:v>Placed on exact national road host link</x:v>
      </x:c>
      <x:c r="Y502" t="str">
        <x:v>Paved</x:v>
      </x:c>
      <x:c r="Z502" t="str">
        <x:v>M</x:v>
      </x:c>
      <x:c r="AA502" t="str">
        <x:v>Not available in governed source</x:v>
      </x:c>
      <x:c r="AB502" t="str">
        <x:v>Not available in governed source</x:v>
      </x:c>
      <x:c r="AC502" t="str">
        <x:v>FY2025/26</x:v>
      </x:c>
      <x:c r="AD502" t="str">
        <x:v>Modelled</x:v>
      </x:c>
      <x:c r="AE502" t="str">
        <x:v>2026 bridge AADT rebuilt from host-link traffic history, annual collection-link history, same-road corridor history and spatial count-station influence. Vehicle-class values are assigned from functional-class shares.</x:v>
      </x:c>
      <x:c r="AF502" t="str">
        <x:v>Placed on exact national road host link</x:v>
      </x:c>
    </x:row>
    <x:row r="503" ht="15" hidden="0" customHeight="1">
      <x:c r="A503" t="str">
        <x:v>bridge-502</x:v>
      </x:c>
      <x:c r="B503" t="str">
        <x:v>B418</x:v>
      </x:c>
      <x:c r="C503" t="str">
        <x:v>Kalerwe B2 RHS</x:v>
      </x:c>
      <x:c r="D503" t="str">
        <x:v>M20</x:v>
      </x:c>
      <x:c r="E503" t="str">
        <x:v>Kampala NorthernBypass</x:v>
      </x:c>
      <x:c r="F503" t="str">
        <x:v>M</x:v>
      </x:c>
      <x:c r="G503" t="str">
        <x:v>Central</x:v>
      </x:c>
      <x:c r="H503" t="str">
        <x:v>Kampala</x:v>
      </x:c>
      <x:c r="I503" t="str">
        <x:v>Road Over Road</x:v>
      </x:c>
      <x:c r="J503" t="str">
        <x:v>Good</x:v>
      </x:c>
      <x:c r="K503" t="n">
        <x:v>32.5715</x:v>
      </x:c>
      <x:c r="L503" t="n">
        <x:v>0.3526</x:v>
      </x:c>
      <x:c r="M503" t="n">
        <x:v>32.571457</x:v>
      </x:c>
      <x:c r="N503" t="n">
        <x:v>0.352367</x:v>
      </x:c>
      <x:c r="O503" t="n">
        <x:v>46450.56</x:v>
      </x:c>
      <x:c r="P503" t="n">
        <x:f>IFERROR(INDEX(Assumptions!$B$9:$B$13,MATCH(F503,Assumptions!$A$9:$A$13,0)),0.15)</x:f>
        <x:v>0.08</x:v>
      </x:c>
      <x:c r="Q503" t="n">
        <x:f>ROUND(O503*(1-P503),0)</x:f>
        <x:v>42735</x:v>
      </x:c>
      <x:c r="R503" t="n">
        <x:f>ROUND(O503*P503,0)</x:f>
        <x:v>3716</x:v>
      </x:c>
      <x:c r="S503" t="n">
        <x:f>ROUND(O503*IFERROR(INDEX(Assumptions!$C$9:$C$13,MATCH(F503,Assumptions!$A$9:$A$13,0)),0.55),0)</x:f>
        <x:v>28799</x:v>
      </x:c>
      <x:c r="T503" t="n">
        <x:f>ROUND(O503*IFERROR(INDEX(Assumptions!$D$9:$D$13,MATCH(F503,Assumptions!$A$9:$A$13,0)),0.06),0)</x:f>
        <x:v>3716</x:v>
      </x:c>
      <x:c r="U503" t="n">
        <x:f>ROUND(O503*IFERROR(INDEX(Assumptions!$E$9:$E$13,MATCH(F503,Assumptions!$A$9:$A$13,0)),0.15),0)</x:f>
        <x:v>8361</x:v>
      </x:c>
      <x:c r="V503" t="n">
        <x:f>MAX(0,O503-SUM(R503:U503))</x:f>
        <x:v>1858.5599999999977</x:v>
      </x:c>
      <x:c r="W503" t="n">
        <x:f>MIN(100,40+IF(O503&gt;0,20,0)+IF(M503&lt;&gt;"",20,0)+IF(AF503&lt;&gt;"",20,0))</x:f>
        <x:v>100</x:v>
      </x:c>
      <x:c r="X503" t="str">
        <x:v>Placed on exact national road host link</x:v>
      </x:c>
      <x:c r="Y503" t="str">
        <x:v>Paved</x:v>
      </x:c>
      <x:c r="Z503" t="str">
        <x:v>M</x:v>
      </x:c>
      <x:c r="AA503" t="str">
        <x:v>Not available in governed source</x:v>
      </x:c>
      <x:c r="AB503" t="str">
        <x:v>Not available in governed source</x:v>
      </x:c>
      <x:c r="AC503" t="str">
        <x:v>FY2025/26</x:v>
      </x:c>
      <x:c r="AD503" t="str">
        <x:v>Modelled</x:v>
      </x:c>
      <x:c r="AE503" t="str">
        <x:v>2026 bridge AADT rebuilt from host-link traffic history, annual collection-link history, same-road corridor history and spatial count-station influence. Vehicle-class values are assigned from functional-class shares.</x:v>
      </x:c>
      <x:c r="AF503" t="str">
        <x:v>Placed on exact national road host link</x:v>
      </x:c>
    </x:row>
    <x:row r="504" ht="15" hidden="0" customHeight="1">
      <x:c r="A504" t="str">
        <x:v>bridge-503</x:v>
      </x:c>
      <x:c r="B504" t="str">
        <x:v>B219</x:v>
      </x:c>
      <x:c r="C504" t="str">
        <x:v>Kalerwe B2 LHS</x:v>
      </x:c>
      <x:c r="D504" t="str">
        <x:v>M20</x:v>
      </x:c>
      <x:c r="E504" t="str">
        <x:v>Kampala NorthernBypass</x:v>
      </x:c>
      <x:c r="F504" t="str">
        <x:v>M</x:v>
      </x:c>
      <x:c r="G504" t="str">
        <x:v>Central</x:v>
      </x:c>
      <x:c r="H504" t="str">
        <x:v>Kampala</x:v>
      </x:c>
      <x:c r="I504" t="str">
        <x:v>Road Over Road</x:v>
      </x:c>
      <x:c r="J504" t="str">
        <x:v>Good</x:v>
      </x:c>
      <x:c r="K504" t="n">
        <x:v>32.5715</x:v>
      </x:c>
      <x:c r="L504" t="n">
        <x:v>0.3526</x:v>
      </x:c>
      <x:c r="M504" t="n">
        <x:v>32.571457</x:v>
      </x:c>
      <x:c r="N504" t="n">
        <x:v>0.352367</x:v>
      </x:c>
      <x:c r="O504" t="n">
        <x:v>46450.56</x:v>
      </x:c>
      <x:c r="P504" t="n">
        <x:f>IFERROR(INDEX(Assumptions!$B$9:$B$13,MATCH(F504,Assumptions!$A$9:$A$13,0)),0.15)</x:f>
        <x:v>0.08</x:v>
      </x:c>
      <x:c r="Q504" t="n">
        <x:f>ROUND(O504*(1-P504),0)</x:f>
        <x:v>42735</x:v>
      </x:c>
      <x:c r="R504" t="n">
        <x:f>ROUND(O504*P504,0)</x:f>
        <x:v>3716</x:v>
      </x:c>
      <x:c r="S504" t="n">
        <x:f>ROUND(O504*IFERROR(INDEX(Assumptions!$C$9:$C$13,MATCH(F504,Assumptions!$A$9:$A$13,0)),0.55),0)</x:f>
        <x:v>28799</x:v>
      </x:c>
      <x:c r="T504" t="n">
        <x:f>ROUND(O504*IFERROR(INDEX(Assumptions!$D$9:$D$13,MATCH(F504,Assumptions!$A$9:$A$13,0)),0.06),0)</x:f>
        <x:v>3716</x:v>
      </x:c>
      <x:c r="U504" t="n">
        <x:f>ROUND(O504*IFERROR(INDEX(Assumptions!$E$9:$E$13,MATCH(F504,Assumptions!$A$9:$A$13,0)),0.15),0)</x:f>
        <x:v>8361</x:v>
      </x:c>
      <x:c r="V504" t="n">
        <x:f>MAX(0,O504-SUM(R504:U504))</x:f>
        <x:v>1858.5599999999977</x:v>
      </x:c>
      <x:c r="W504" t="n">
        <x:f>MIN(100,40+IF(O504&gt;0,20,0)+IF(M504&lt;&gt;"",20,0)+IF(AF504&lt;&gt;"",20,0))</x:f>
        <x:v>100</x:v>
      </x:c>
      <x:c r="X504" t="str">
        <x:v>Placed on exact national road host link</x:v>
      </x:c>
      <x:c r="Y504" t="str">
        <x:v>Paved</x:v>
      </x:c>
      <x:c r="Z504" t="str">
        <x:v>M</x:v>
      </x:c>
      <x:c r="AA504" t="str">
        <x:v>Not available in governed source</x:v>
      </x:c>
      <x:c r="AB504" t="str">
        <x:v>Not available in governed source</x:v>
      </x:c>
      <x:c r="AC504" t="str">
        <x:v>FY2025/26</x:v>
      </x:c>
      <x:c r="AD504" t="str">
        <x:v>Modelled</x:v>
      </x:c>
      <x:c r="AE504" t="str">
        <x:v>2026 bridge AADT rebuilt from host-link traffic history, annual collection-link history, same-road corridor history and spatial count-station influence. Vehicle-class values are assigned from functional-class shares.</x:v>
      </x:c>
      <x:c r="AF504" t="str">
        <x:v>Placed on exact national road host link</x:v>
      </x:c>
    </x:row>
    <x:row r="505" ht="15" hidden="0" customHeight="1">
      <x:c r="A505" t="str">
        <x:v>bridge-504</x:v>
      </x:c>
      <x:c r="B505" t="str">
        <x:v>B221</x:v>
      </x:c>
      <x:c r="C505" t="str">
        <x:v>Kalerwe B1 LHS</x:v>
      </x:c>
      <x:c r="D505" t="str">
        <x:v>M20</x:v>
      </x:c>
      <x:c r="E505" t="str">
        <x:v>Kampala NorthernBypass</x:v>
      </x:c>
      <x:c r="F505" t="str">
        <x:v>M</x:v>
      </x:c>
      <x:c r="G505" t="str">
        <x:v>Central</x:v>
      </x:c>
      <x:c r="H505" t="str">
        <x:v>Kampala</x:v>
      </x:c>
      <x:c r="I505" t="str">
        <x:v>Road Over Road</x:v>
      </x:c>
      <x:c r="J505" t="str">
        <x:v>Good</x:v>
      </x:c>
      <x:c r="K505" t="n">
        <x:v>32.5723</x:v>
      </x:c>
      <x:c r="L505" t="n">
        <x:v>0.3526</x:v>
      </x:c>
      <x:c r="M505" t="n">
        <x:v>32.572234</x:v>
      </x:c>
      <x:c r="N505" t="n">
        <x:v>0.352223</x:v>
      </x:c>
      <x:c r="O505" t="n">
        <x:v>46450.56</x:v>
      </x:c>
      <x:c r="P505" t="n">
        <x:f>IFERROR(INDEX(Assumptions!$B$9:$B$13,MATCH(F505,Assumptions!$A$9:$A$13,0)),0.15)</x:f>
        <x:v>0.08</x:v>
      </x:c>
      <x:c r="Q505" t="n">
        <x:f>ROUND(O505*(1-P505),0)</x:f>
        <x:v>42735</x:v>
      </x:c>
      <x:c r="R505" t="n">
        <x:f>ROUND(O505*P505,0)</x:f>
        <x:v>3716</x:v>
      </x:c>
      <x:c r="S505" t="n">
        <x:f>ROUND(O505*IFERROR(INDEX(Assumptions!$C$9:$C$13,MATCH(F505,Assumptions!$A$9:$A$13,0)),0.55),0)</x:f>
        <x:v>28799</x:v>
      </x:c>
      <x:c r="T505" t="n">
        <x:f>ROUND(O505*IFERROR(INDEX(Assumptions!$D$9:$D$13,MATCH(F505,Assumptions!$A$9:$A$13,0)),0.06),0)</x:f>
        <x:v>3716</x:v>
      </x:c>
      <x:c r="U505" t="n">
        <x:f>ROUND(O505*IFERROR(INDEX(Assumptions!$E$9:$E$13,MATCH(F505,Assumptions!$A$9:$A$13,0)),0.15),0)</x:f>
        <x:v>8361</x:v>
      </x:c>
      <x:c r="V505" t="n">
        <x:f>MAX(0,O505-SUM(R505:U505))</x:f>
        <x:v>1858.5599999999977</x:v>
      </x:c>
      <x:c r="W505" t="n">
        <x:f>MIN(100,40+IF(O505&gt;0,20,0)+IF(M505&lt;&gt;"",20,0)+IF(AF505&lt;&gt;"",20,0))</x:f>
        <x:v>100</x:v>
      </x:c>
      <x:c r="X505" t="str">
        <x:v>Placed on exact national road host link</x:v>
      </x:c>
      <x:c r="Y505" t="str">
        <x:v>Paved</x:v>
      </x:c>
      <x:c r="Z505" t="str">
        <x:v>M</x:v>
      </x:c>
      <x:c r="AA505" t="str">
        <x:v>Not available in governed source</x:v>
      </x:c>
      <x:c r="AB505" t="str">
        <x:v>Not available in governed source</x:v>
      </x:c>
      <x:c r="AC505" t="str">
        <x:v>FY2025/26</x:v>
      </x:c>
      <x:c r="AD505" t="str">
        <x:v>Modelled</x:v>
      </x:c>
      <x:c r="AE505" t="str">
        <x:v>2026 bridge AADT rebuilt from host-link traffic history, annual collection-link history, same-road corridor history and spatial count-station influence. Vehicle-class values are assigned from functional-class shares.</x:v>
      </x:c>
      <x:c r="AF505" t="str">
        <x:v>Placed on exact national road host link</x:v>
      </x:c>
    </x:row>
    <x:row r="506" ht="15" hidden="0" customHeight="1">
      <x:c r="A506" t="str">
        <x:v>bridge-505</x:v>
      </x:c>
      <x:c r="B506" t="str">
        <x:v>B224</x:v>
      </x:c>
      <x:c r="C506" t="str">
        <x:v>Kalerwe Foot bridge</x:v>
      </x:c>
      <x:c r="D506" t="str">
        <x:v>M20</x:v>
      </x:c>
      <x:c r="E506" t="str">
        <x:v>Kampala NorthernBypass</x:v>
      </x:c>
      <x:c r="F506" t="str">
        <x:v>M</x:v>
      </x:c>
      <x:c r="G506" t="str">
        <x:v>Central</x:v>
      </x:c>
      <x:c r="H506" t="str">
        <x:v>Kampala</x:v>
      </x:c>
      <x:c r="I506" t="str">
        <x:v>Pedestrian Crossing</x:v>
      </x:c>
      <x:c r="J506" t="str">
        <x:v>Good</x:v>
      </x:c>
      <x:c r="K506" t="n">
        <x:v>32.5691</x:v>
      </x:c>
      <x:c r="L506" t="n">
        <x:v>0.3526</x:v>
      </x:c>
      <x:c r="M506" t="n">
        <x:v>32.569134</x:v>
      </x:c>
      <x:c r="N506" t="n">
        <x:v>0.352471</x:v>
      </x:c>
      <x:c r="O506" t="n">
        <x:v>46450.56</x:v>
      </x:c>
      <x:c r="P506" t="n">
        <x:f>IFERROR(INDEX(Assumptions!$B$9:$B$13,MATCH(F506,Assumptions!$A$9:$A$13,0)),0.15)</x:f>
        <x:v>0.08</x:v>
      </x:c>
      <x:c r="Q506" t="n">
        <x:f>ROUND(O506*(1-P506),0)</x:f>
        <x:v>42735</x:v>
      </x:c>
      <x:c r="R506" t="n">
        <x:f>ROUND(O506*P506,0)</x:f>
        <x:v>3716</x:v>
      </x:c>
      <x:c r="S506" t="n">
        <x:f>ROUND(O506*IFERROR(INDEX(Assumptions!$C$9:$C$13,MATCH(F506,Assumptions!$A$9:$A$13,0)),0.55),0)</x:f>
        <x:v>28799</x:v>
      </x:c>
      <x:c r="T506" t="n">
        <x:f>ROUND(O506*IFERROR(INDEX(Assumptions!$D$9:$D$13,MATCH(F506,Assumptions!$A$9:$A$13,0)),0.06),0)</x:f>
        <x:v>3716</x:v>
      </x:c>
      <x:c r="U506" t="n">
        <x:f>ROUND(O506*IFERROR(INDEX(Assumptions!$E$9:$E$13,MATCH(F506,Assumptions!$A$9:$A$13,0)),0.15),0)</x:f>
        <x:v>8361</x:v>
      </x:c>
      <x:c r="V506" t="n">
        <x:f>MAX(0,O506-SUM(R506:U506))</x:f>
        <x:v>1858.5599999999977</x:v>
      </x:c>
      <x:c r="W506" t="n">
        <x:f>MIN(100,40+IF(O506&gt;0,20,0)+IF(M506&lt;&gt;"",20,0)+IF(AF506&lt;&gt;"",20,0))</x:f>
        <x:v>100</x:v>
      </x:c>
      <x:c r="X506" t="str">
        <x:v>Placed on exact national road host link</x:v>
      </x:c>
      <x:c r="Y506" t="str">
        <x:v>Paved</x:v>
      </x:c>
      <x:c r="Z506" t="str">
        <x:v>M</x:v>
      </x:c>
      <x:c r="AA506" t="str">
        <x:v>Not available in governed source</x:v>
      </x:c>
      <x:c r="AB506" t="str">
        <x:v>Not available in governed source</x:v>
      </x:c>
      <x:c r="AC506" t="str">
        <x:v>FY2025/26</x:v>
      </x:c>
      <x:c r="AD506" t="str">
        <x:v>Modelled</x:v>
      </x:c>
      <x:c r="AE506" t="str">
        <x:v>2026 bridge AADT rebuilt from host-link traffic history, annual collection-link history, same-road corridor history and spatial count-station influence. Vehicle-class values are assigned from functional-class shares.</x:v>
      </x:c>
      <x:c r="AF506" t="str">
        <x:v>Placed on exact national road host link</x:v>
      </x:c>
    </x:row>
    <x:row r="507" ht="15" hidden="0" customHeight="1">
      <x:c r="A507" t="str">
        <x:v>bridge-506</x:v>
      </x:c>
      <x:c r="B507" t="str">
        <x:v>B244</x:v>
      </x:c>
      <x:c r="C507" t="str">
        <x:v>Bwayise B1 RHS</x:v>
      </x:c>
      <x:c r="D507" t="str">
        <x:v>M20</x:v>
      </x:c>
      <x:c r="E507" t="str">
        <x:v>Kampala NorthernBypass</x:v>
      </x:c>
      <x:c r="F507" t="str">
        <x:v>M</x:v>
      </x:c>
      <x:c r="G507" t="str">
        <x:v>Central</x:v>
      </x:c>
      <x:c r="H507" t="str">
        <x:v>Kampala</x:v>
      </x:c>
      <x:c r="I507" t="str">
        <x:v>Road Over Road</x:v>
      </x:c>
      <x:c r="J507" t="str">
        <x:v>Good</x:v>
      </x:c>
      <x:c r="K507" t="n">
        <x:v>32.5633</x:v>
      </x:c>
      <x:c r="L507" t="n">
        <x:v>0.3494</x:v>
      </x:c>
      <x:c r="M507" t="n">
        <x:v>32.562935</x:v>
      </x:c>
      <x:c r="N507" t="n">
        <x:v>0.350676</x:v>
      </x:c>
      <x:c r="O507" t="n">
        <x:v>46450.56</x:v>
      </x:c>
      <x:c r="P507" t="n">
        <x:f>IFERROR(INDEX(Assumptions!$B$9:$B$13,MATCH(F507,Assumptions!$A$9:$A$13,0)),0.15)</x:f>
        <x:v>0.08</x:v>
      </x:c>
      <x:c r="Q507" t="n">
        <x:f>ROUND(O507*(1-P507),0)</x:f>
        <x:v>42735</x:v>
      </x:c>
      <x:c r="R507" t="n">
        <x:f>ROUND(O507*P507,0)</x:f>
        <x:v>3716</x:v>
      </x:c>
      <x:c r="S507" t="n">
        <x:f>ROUND(O507*IFERROR(INDEX(Assumptions!$C$9:$C$13,MATCH(F507,Assumptions!$A$9:$A$13,0)),0.55),0)</x:f>
        <x:v>28799</x:v>
      </x:c>
      <x:c r="T507" t="n">
        <x:f>ROUND(O507*IFERROR(INDEX(Assumptions!$D$9:$D$13,MATCH(F507,Assumptions!$A$9:$A$13,0)),0.06),0)</x:f>
        <x:v>3716</x:v>
      </x:c>
      <x:c r="U507" t="n">
        <x:f>ROUND(O507*IFERROR(INDEX(Assumptions!$E$9:$E$13,MATCH(F507,Assumptions!$A$9:$A$13,0)),0.15),0)</x:f>
        <x:v>8361</x:v>
      </x:c>
      <x:c r="V507" t="n">
        <x:f>MAX(0,O507-SUM(R507:U507))</x:f>
        <x:v>1858.5599999999977</x:v>
      </x:c>
      <x:c r="W507" t="n">
        <x:f>MIN(100,40+IF(O507&gt;0,20,0)+IF(M507&lt;&gt;"",20,0)+IF(AF507&lt;&gt;"",20,0))</x:f>
        <x:v>100</x:v>
      </x:c>
      <x:c r="X507" t="str">
        <x:v>Placed on exact national road host link</x:v>
      </x:c>
      <x:c r="Y507" t="str">
        <x:v>Paved</x:v>
      </x:c>
      <x:c r="Z507" t="str">
        <x:v>M</x:v>
      </x:c>
      <x:c r="AA507" t="str">
        <x:v>Not available in governed source</x:v>
      </x:c>
      <x:c r="AB507" t="str">
        <x:v>Not available in governed source</x:v>
      </x:c>
      <x:c r="AC507" t="str">
        <x:v>FY2025/26</x:v>
      </x:c>
      <x:c r="AD507" t="str">
        <x:v>Modelled</x:v>
      </x:c>
      <x:c r="AE507" t="str">
        <x:v>2026 bridge AADT rebuilt from host-link traffic history, annual collection-link history, same-road corridor history and spatial count-station influence. Vehicle-class values are assigned from functional-class shares.</x:v>
      </x:c>
      <x:c r="AF507" t="str">
        <x:v>Placed on exact national road host link</x:v>
      </x:c>
    </x:row>
    <x:row r="508" ht="15" hidden="0" customHeight="1">
      <x:c r="A508" t="str">
        <x:v>bridge-507</x:v>
      </x:c>
      <x:c r="B508" t="str">
        <x:v>B245</x:v>
      </x:c>
      <x:c r="C508" t="str">
        <x:v>Bwayise B2 RHS</x:v>
      </x:c>
      <x:c r="D508" t="str">
        <x:v>M20</x:v>
      </x:c>
      <x:c r="E508" t="str">
        <x:v>Kampala NorthernBypass</x:v>
      </x:c>
      <x:c r="F508" t="str">
        <x:v>M</x:v>
      </x:c>
      <x:c r="G508" t="str">
        <x:v>Central</x:v>
      </x:c>
      <x:c r="H508" t="str">
        <x:v>Kampala</x:v>
      </x:c>
      <x:c r="I508" t="str">
        <x:v>Road Over Road</x:v>
      </x:c>
      <x:c r="J508" t="str">
        <x:v>Good</x:v>
      </x:c>
      <x:c r="K508" t="n">
        <x:v>32.5626</x:v>
      </x:c>
      <x:c r="L508" t="n">
        <x:v>0.3493</x:v>
      </x:c>
      <x:c r="M508" t="n">
        <x:v>32.56226</x:v>
      </x:c>
      <x:c r="N508" t="n">
        <x:v>0.350481</x:v>
      </x:c>
      <x:c r="O508" t="n">
        <x:v>46450.56</x:v>
      </x:c>
      <x:c r="P508" t="n">
        <x:f>IFERROR(INDEX(Assumptions!$B$9:$B$13,MATCH(F508,Assumptions!$A$9:$A$13,0)),0.15)</x:f>
        <x:v>0.08</x:v>
      </x:c>
      <x:c r="Q508" t="n">
        <x:f>ROUND(O508*(1-P508),0)</x:f>
        <x:v>42735</x:v>
      </x:c>
      <x:c r="R508" t="n">
        <x:f>ROUND(O508*P508,0)</x:f>
        <x:v>3716</x:v>
      </x:c>
      <x:c r="S508" t="n">
        <x:f>ROUND(O508*IFERROR(INDEX(Assumptions!$C$9:$C$13,MATCH(F508,Assumptions!$A$9:$A$13,0)),0.55),0)</x:f>
        <x:v>28799</x:v>
      </x:c>
      <x:c r="T508" t="n">
        <x:f>ROUND(O508*IFERROR(INDEX(Assumptions!$D$9:$D$13,MATCH(F508,Assumptions!$A$9:$A$13,0)),0.06),0)</x:f>
        <x:v>3716</x:v>
      </x:c>
      <x:c r="U508" t="n">
        <x:f>ROUND(O508*IFERROR(INDEX(Assumptions!$E$9:$E$13,MATCH(F508,Assumptions!$A$9:$A$13,0)),0.15),0)</x:f>
        <x:v>8361</x:v>
      </x:c>
      <x:c r="V508" t="n">
        <x:f>MAX(0,O508-SUM(R508:U508))</x:f>
        <x:v>1858.5599999999977</x:v>
      </x:c>
      <x:c r="W508" t="n">
        <x:f>MIN(100,40+IF(O508&gt;0,20,0)+IF(M508&lt;&gt;"",20,0)+IF(AF508&lt;&gt;"",20,0))</x:f>
        <x:v>100</x:v>
      </x:c>
      <x:c r="X508" t="str">
        <x:v>Placed on exact national road host link</x:v>
      </x:c>
      <x:c r="Y508" t="str">
        <x:v>Paved</x:v>
      </x:c>
      <x:c r="Z508" t="str">
        <x:v>M</x:v>
      </x:c>
      <x:c r="AA508" t="str">
        <x:v>Not available in governed source</x:v>
      </x:c>
      <x:c r="AB508" t="str">
        <x:v>Not available in governed source</x:v>
      </x:c>
      <x:c r="AC508" t="str">
        <x:v>FY2025/26</x:v>
      </x:c>
      <x:c r="AD508" t="str">
        <x:v>Modelled</x:v>
      </x:c>
      <x:c r="AE508" t="str">
        <x:v>2026 bridge AADT rebuilt from host-link traffic history, annual collection-link history, same-road corridor history and spatial count-station influence. Vehicle-class values are assigned from functional-class shares.</x:v>
      </x:c>
      <x:c r="AF508" t="str">
        <x:v>Placed on exact national road host link</x:v>
      </x:c>
    </x:row>
    <x:row r="509" ht="15" hidden="0" customHeight="1">
      <x:c r="A509" t="str">
        <x:v>bridge-508</x:v>
      </x:c>
      <x:c r="B509" t="str">
        <x:v>B247</x:v>
      </x:c>
      <x:c r="C509" t="str">
        <x:v>Bwayise B1 LHS</x:v>
      </x:c>
      <x:c r="D509" t="str">
        <x:v>M20</x:v>
      </x:c>
      <x:c r="E509" t="str">
        <x:v>Kampala NorthernBypass</x:v>
      </x:c>
      <x:c r="F509" t="str">
        <x:v>M</x:v>
      </x:c>
      <x:c r="G509" t="str">
        <x:v>Central</x:v>
      </x:c>
      <x:c r="H509" t="str">
        <x:v>Kampala</x:v>
      </x:c>
      <x:c r="I509" t="str">
        <x:v>Road Over Road</x:v>
      </x:c>
      <x:c r="J509" t="str">
        <x:v>Good</x:v>
      </x:c>
      <x:c r="K509" t="n">
        <x:v>32.5626</x:v>
      </x:c>
      <x:c r="L509" t="n">
        <x:v>0.3493</x:v>
      </x:c>
      <x:c r="M509" t="n">
        <x:v>32.56226</x:v>
      </x:c>
      <x:c r="N509" t="n">
        <x:v>0.350481</x:v>
      </x:c>
      <x:c r="O509" t="n">
        <x:v>46450.56</x:v>
      </x:c>
      <x:c r="P509" t="n">
        <x:f>IFERROR(INDEX(Assumptions!$B$9:$B$13,MATCH(F509,Assumptions!$A$9:$A$13,0)),0.15)</x:f>
        <x:v>0.08</x:v>
      </x:c>
      <x:c r="Q509" t="n">
        <x:f>ROUND(O509*(1-P509),0)</x:f>
        <x:v>42735</x:v>
      </x:c>
      <x:c r="R509" t="n">
        <x:f>ROUND(O509*P509,0)</x:f>
        <x:v>3716</x:v>
      </x:c>
      <x:c r="S509" t="n">
        <x:f>ROUND(O509*IFERROR(INDEX(Assumptions!$C$9:$C$13,MATCH(F509,Assumptions!$A$9:$A$13,0)),0.55),0)</x:f>
        <x:v>28799</x:v>
      </x:c>
      <x:c r="T509" t="n">
        <x:f>ROUND(O509*IFERROR(INDEX(Assumptions!$D$9:$D$13,MATCH(F509,Assumptions!$A$9:$A$13,0)),0.06),0)</x:f>
        <x:v>3716</x:v>
      </x:c>
      <x:c r="U509" t="n">
        <x:f>ROUND(O509*IFERROR(INDEX(Assumptions!$E$9:$E$13,MATCH(F509,Assumptions!$A$9:$A$13,0)),0.15),0)</x:f>
        <x:v>8361</x:v>
      </x:c>
      <x:c r="V509" t="n">
        <x:f>MAX(0,O509-SUM(R509:U509))</x:f>
        <x:v>1858.5599999999977</x:v>
      </x:c>
      <x:c r="W509" t="n">
        <x:f>MIN(100,40+IF(O509&gt;0,20,0)+IF(M509&lt;&gt;"",20,0)+IF(AF509&lt;&gt;"",20,0))</x:f>
        <x:v>100</x:v>
      </x:c>
      <x:c r="X509" t="str">
        <x:v>Placed on exact national road host link</x:v>
      </x:c>
      <x:c r="Y509" t="str">
        <x:v>Paved</x:v>
      </x:c>
      <x:c r="Z509" t="str">
        <x:v>M</x:v>
      </x:c>
      <x:c r="AA509" t="str">
        <x:v>Not available in governed source</x:v>
      </x:c>
      <x:c r="AB509" t="str">
        <x:v>Not available in governed source</x:v>
      </x:c>
      <x:c r="AC509" t="str">
        <x:v>FY2025/26</x:v>
      </x:c>
      <x:c r="AD509" t="str">
        <x:v>Modelled</x:v>
      </x:c>
      <x:c r="AE509" t="str">
        <x:v>2026 bridge AADT rebuilt from host-link traffic history, annual collection-link history, same-road corridor history and spatial count-station influence. Vehicle-class values are assigned from functional-class shares.</x:v>
      </x:c>
      <x:c r="AF509" t="str">
        <x:v>Placed on exact national road host link</x:v>
      </x:c>
    </x:row>
    <x:row r="510" ht="15" hidden="0" customHeight="1">
      <x:c r="A510" t="str">
        <x:v>bridge-509</x:v>
      </x:c>
      <x:c r="B510" t="str">
        <x:v>B250</x:v>
      </x:c>
      <x:c r="C510" t="str">
        <x:v>Bwayise B2 LHS</x:v>
      </x:c>
      <x:c r="D510" t="str">
        <x:v>M20</x:v>
      </x:c>
      <x:c r="E510" t="str">
        <x:v>Kampala NorthernBypass</x:v>
      </x:c>
      <x:c r="F510" t="str">
        <x:v>M</x:v>
      </x:c>
      <x:c r="G510" t="str">
        <x:v>Central</x:v>
      </x:c>
      <x:c r="H510" t="str">
        <x:v>Kampala</x:v>
      </x:c>
      <x:c r="I510" t="str">
        <x:v>Road Over Road</x:v>
      </x:c>
      <x:c r="J510" t="str">
        <x:v>Good</x:v>
      </x:c>
      <x:c r="K510" t="n">
        <x:v>32.5626</x:v>
      </x:c>
      <x:c r="L510" t="n">
        <x:v>0.3493</x:v>
      </x:c>
      <x:c r="M510" t="n">
        <x:v>32.56226</x:v>
      </x:c>
      <x:c r="N510" t="n">
        <x:v>0.350481</x:v>
      </x:c>
      <x:c r="O510" t="n">
        <x:v>46450.56</x:v>
      </x:c>
      <x:c r="P510" t="n">
        <x:f>IFERROR(INDEX(Assumptions!$B$9:$B$13,MATCH(F510,Assumptions!$A$9:$A$13,0)),0.15)</x:f>
        <x:v>0.08</x:v>
      </x:c>
      <x:c r="Q510" t="n">
        <x:f>ROUND(O510*(1-P510),0)</x:f>
        <x:v>42735</x:v>
      </x:c>
      <x:c r="R510" t="n">
        <x:f>ROUND(O510*P510,0)</x:f>
        <x:v>3716</x:v>
      </x:c>
      <x:c r="S510" t="n">
        <x:f>ROUND(O510*IFERROR(INDEX(Assumptions!$C$9:$C$13,MATCH(F510,Assumptions!$A$9:$A$13,0)),0.55),0)</x:f>
        <x:v>28799</x:v>
      </x:c>
      <x:c r="T510" t="n">
        <x:f>ROUND(O510*IFERROR(INDEX(Assumptions!$D$9:$D$13,MATCH(F510,Assumptions!$A$9:$A$13,0)),0.06),0)</x:f>
        <x:v>3716</x:v>
      </x:c>
      <x:c r="U510" t="n">
        <x:f>ROUND(O510*IFERROR(INDEX(Assumptions!$E$9:$E$13,MATCH(F510,Assumptions!$A$9:$A$13,0)),0.15),0)</x:f>
        <x:v>8361</x:v>
      </x:c>
      <x:c r="V510" t="n">
        <x:f>MAX(0,O510-SUM(R510:U510))</x:f>
        <x:v>1858.5599999999977</x:v>
      </x:c>
      <x:c r="W510" t="n">
        <x:f>MIN(100,40+IF(O510&gt;0,20,0)+IF(M510&lt;&gt;"",20,0)+IF(AF510&lt;&gt;"",20,0))</x:f>
        <x:v>100</x:v>
      </x:c>
      <x:c r="X510" t="str">
        <x:v>Placed on exact national road host link</x:v>
      </x:c>
      <x:c r="Y510" t="str">
        <x:v>Paved</x:v>
      </x:c>
      <x:c r="Z510" t="str">
        <x:v>M</x:v>
      </x:c>
      <x:c r="AA510" t="str">
        <x:v>Not available in governed source</x:v>
      </x:c>
      <x:c r="AB510" t="str">
        <x:v>Not available in governed source</x:v>
      </x:c>
      <x:c r="AC510" t="str">
        <x:v>FY2025/26</x:v>
      </x:c>
      <x:c r="AD510" t="str">
        <x:v>Modelled</x:v>
      </x:c>
      <x:c r="AE510" t="str">
        <x:v>2026 bridge AADT rebuilt from host-link traffic history, annual collection-link history, same-road corridor history and spatial count-station influence. Vehicle-class values are assigned from functional-class shares.</x:v>
      </x:c>
      <x:c r="AF510" t="str">
        <x:v>Placed on exact national road host link</x:v>
      </x:c>
    </x:row>
    <x:row r="511" ht="15" hidden="0" customHeight="1">
      <x:c r="A511" t="str">
        <x:v>bridge-510</x:v>
      </x:c>
      <x:c r="B511" t="str">
        <x:v>B254</x:v>
      </x:c>
      <x:c r="C511" t="str">
        <x:v>Namugongo OverBridge</x:v>
      </x:c>
      <x:c r="D511" t="str">
        <x:v>M20</x:v>
      </x:c>
      <x:c r="E511" t="str">
        <x:v>Kampala NorthernBypass</x:v>
      </x:c>
      <x:c r="F511" t="str">
        <x:v>M</x:v>
      </x:c>
      <x:c r="G511" t="str">
        <x:v>Central</x:v>
      </x:c>
      <x:c r="H511" t="str">
        <x:v>Kampala</x:v>
      </x:c>
      <x:c r="I511" t="str">
        <x:v>Road Over Road</x:v>
      </x:c>
      <x:c r="J511" t="str">
        <x:v>Good</x:v>
      </x:c>
      <x:c r="K511" t="n">
        <x:v>32.6479</x:v>
      </x:c>
      <x:c r="L511" t="n">
        <x:v>0.3636</x:v>
      </x:c>
      <x:c r="M511" t="n">
        <x:v>32.648038</x:v>
      </x:c>
      <x:c r="N511" t="n">
        <x:v>0.363727</x:v>
      </x:c>
      <x:c r="O511" t="n">
        <x:v>46450.56</x:v>
      </x:c>
      <x:c r="P511" t="n">
        <x:f>IFERROR(INDEX(Assumptions!$B$9:$B$13,MATCH(F511,Assumptions!$A$9:$A$13,0)),0.15)</x:f>
        <x:v>0.08</x:v>
      </x:c>
      <x:c r="Q511" t="n">
        <x:f>ROUND(O511*(1-P511),0)</x:f>
        <x:v>42735</x:v>
      </x:c>
      <x:c r="R511" t="n">
        <x:f>ROUND(O511*P511,0)</x:f>
        <x:v>3716</x:v>
      </x:c>
      <x:c r="S511" t="n">
        <x:f>ROUND(O511*IFERROR(INDEX(Assumptions!$C$9:$C$13,MATCH(F511,Assumptions!$A$9:$A$13,0)),0.55),0)</x:f>
        <x:v>28799</x:v>
      </x:c>
      <x:c r="T511" t="n">
        <x:f>ROUND(O511*IFERROR(INDEX(Assumptions!$D$9:$D$13,MATCH(F511,Assumptions!$A$9:$A$13,0)),0.06),0)</x:f>
        <x:v>3716</x:v>
      </x:c>
      <x:c r="U511" t="n">
        <x:f>ROUND(O511*IFERROR(INDEX(Assumptions!$E$9:$E$13,MATCH(F511,Assumptions!$A$9:$A$13,0)),0.15),0)</x:f>
        <x:v>8361</x:v>
      </x:c>
      <x:c r="V511" t="n">
        <x:f>MAX(0,O511-SUM(R511:U511))</x:f>
        <x:v>1858.5599999999977</x:v>
      </x:c>
      <x:c r="W511" t="n">
        <x:f>MIN(100,40+IF(O511&gt;0,20,0)+IF(M511&lt;&gt;"",20,0)+IF(AF511&lt;&gt;"",20,0))</x:f>
        <x:v>100</x:v>
      </x:c>
      <x:c r="X511" t="str">
        <x:v>Placed on exact national road host link</x:v>
      </x:c>
      <x:c r="Y511" t="str">
        <x:v>Paved</x:v>
      </x:c>
      <x:c r="Z511" t="str">
        <x:v>M</x:v>
      </x:c>
      <x:c r="AA511" t="str">
        <x:v>Not available in governed source</x:v>
      </x:c>
      <x:c r="AB511" t="str">
        <x:v>Not available in governed source</x:v>
      </x:c>
      <x:c r="AC511" t="str">
        <x:v>FY2025/26</x:v>
      </x:c>
      <x:c r="AD511" t="str">
        <x:v>Modelled</x:v>
      </x:c>
      <x:c r="AE511" t="str">
        <x:v>2026 bridge AADT rebuilt from host-link traffic history, annual collection-link history, same-road corridor history and spatial count-station influence. Vehicle-class values are assigned from functional-class shares.</x:v>
      </x:c>
      <x:c r="AF511" t="str">
        <x:v>Placed on exact national road host link</x:v>
      </x:c>
    </x:row>
    <x:row r="512" ht="15" hidden="0" customHeight="1">
      <x:c r="A512" t="str">
        <x:v>bridge-511</x:v>
      </x:c>
      <x:c r="B512" t="str">
        <x:v>B257</x:v>
      </x:c>
      <x:c r="C512" t="str">
        <x:v>Kawaala Bridge</x:v>
      </x:c>
      <x:c r="D512" t="str">
        <x:v>M20</x:v>
      </x:c>
      <x:c r="E512" t="str">
        <x:v>Kampala NorthernBypass</x:v>
      </x:c>
      <x:c r="F512" t="str">
        <x:v>M</x:v>
      </x:c>
      <x:c r="G512" t="str">
        <x:v>Central</x:v>
      </x:c>
      <x:c r="H512" t="str">
        <x:v>Kampala</x:v>
      </x:c>
      <x:c r="I512" t="str">
        <x:v>Road Over Road</x:v>
      </x:c>
      <x:c r="J512" t="str">
        <x:v>Good</x:v>
      </x:c>
      <x:c r="K512" t="n">
        <x:v>32.5534</x:v>
      </x:c>
      <x:c r="L512" t="n">
        <x:v>0.3471</x:v>
      </x:c>
      <x:c r="M512" t="n">
        <x:v>32.553186</x:v>
      </x:c>
      <x:c r="N512" t="n">
        <x:v>0.347853</x:v>
      </x:c>
      <x:c r="O512" t="n">
        <x:v>46450.56</x:v>
      </x:c>
      <x:c r="P512" t="n">
        <x:f>IFERROR(INDEX(Assumptions!$B$9:$B$13,MATCH(F512,Assumptions!$A$9:$A$13,0)),0.15)</x:f>
        <x:v>0.08</x:v>
      </x:c>
      <x:c r="Q512" t="n">
        <x:f>ROUND(O512*(1-P512),0)</x:f>
        <x:v>42735</x:v>
      </x:c>
      <x:c r="R512" t="n">
        <x:f>ROUND(O512*P512,0)</x:f>
        <x:v>3716</x:v>
      </x:c>
      <x:c r="S512" t="n">
        <x:f>ROUND(O512*IFERROR(INDEX(Assumptions!$C$9:$C$13,MATCH(F512,Assumptions!$A$9:$A$13,0)),0.55),0)</x:f>
        <x:v>28799</x:v>
      </x:c>
      <x:c r="T512" t="n">
        <x:f>ROUND(O512*IFERROR(INDEX(Assumptions!$D$9:$D$13,MATCH(F512,Assumptions!$A$9:$A$13,0)),0.06),0)</x:f>
        <x:v>3716</x:v>
      </x:c>
      <x:c r="U512" t="n">
        <x:f>ROUND(O512*IFERROR(INDEX(Assumptions!$E$9:$E$13,MATCH(F512,Assumptions!$A$9:$A$13,0)),0.15),0)</x:f>
        <x:v>8361</x:v>
      </x:c>
      <x:c r="V512" t="n">
        <x:f>MAX(0,O512-SUM(R512:U512))</x:f>
        <x:v>1858.5599999999977</x:v>
      </x:c>
      <x:c r="W512" t="n">
        <x:f>MIN(100,40+IF(O512&gt;0,20,0)+IF(M512&lt;&gt;"",20,0)+IF(AF512&lt;&gt;"",20,0))</x:f>
        <x:v>100</x:v>
      </x:c>
      <x:c r="X512" t="str">
        <x:v>Placed on exact national road host link</x:v>
      </x:c>
      <x:c r="Y512" t="str">
        <x:v>Paved</x:v>
      </x:c>
      <x:c r="Z512" t="str">
        <x:v>M</x:v>
      </x:c>
      <x:c r="AA512" t="str">
        <x:v>Not available in governed source</x:v>
      </x:c>
      <x:c r="AB512" t="str">
        <x:v>Not available in governed source</x:v>
      </x:c>
      <x:c r="AC512" t="str">
        <x:v>FY2025/26</x:v>
      </x:c>
      <x:c r="AD512" t="str">
        <x:v>Modelled</x:v>
      </x:c>
      <x:c r="AE512" t="str">
        <x:v>2026 bridge AADT rebuilt from host-link traffic history, annual collection-link history, same-road corridor history and spatial count-station influence. Vehicle-class values are assigned from functional-class shares.</x:v>
      </x:c>
      <x:c r="AF512" t="str">
        <x:v>Placed on exact national road host link</x:v>
      </x:c>
    </x:row>
    <x:row r="513" ht="15" hidden="0" customHeight="1">
      <x:c r="A513" t="str">
        <x:v>bridge-512</x:v>
      </x:c>
      <x:c r="B513" t="str">
        <x:v>B262</x:v>
      </x:c>
      <x:c r="C513" t="str">
        <x:v>Namungoona B2</x:v>
      </x:c>
      <x:c r="D513" t="str">
        <x:v>M20</x:v>
      </x:c>
      <x:c r="E513" t="str">
        <x:v>Kampala NorthernBypass</x:v>
      </x:c>
      <x:c r="F513" t="str">
        <x:v>M</x:v>
      </x:c>
      <x:c r="G513" t="str">
        <x:v>Central</x:v>
      </x:c>
      <x:c r="H513" t="str">
        <x:v>Kampala</x:v>
      </x:c>
      <x:c r="I513" t="str">
        <x:v>Road Over Road</x:v>
      </x:c>
      <x:c r="J513" t="str">
        <x:v>Good</x:v>
      </x:c>
      <x:c r="K513" t="n">
        <x:v>32.5428</x:v>
      </x:c>
      <x:c r="L513" t="n">
        <x:v>0.3452</x:v>
      </x:c>
      <x:c r="M513" t="n">
        <x:v>32.542897</x:v>
      </x:c>
      <x:c r="N513" t="n">
        <x:v>0.344873</x:v>
      </x:c>
      <x:c r="O513" t="n">
        <x:v>46450.56</x:v>
      </x:c>
      <x:c r="P513" t="n">
        <x:f>IFERROR(INDEX(Assumptions!$B$9:$B$13,MATCH(F513,Assumptions!$A$9:$A$13,0)),0.15)</x:f>
        <x:v>0.08</x:v>
      </x:c>
      <x:c r="Q513" t="n">
        <x:f>ROUND(O513*(1-P513),0)</x:f>
        <x:v>42735</x:v>
      </x:c>
      <x:c r="R513" t="n">
        <x:f>ROUND(O513*P513,0)</x:f>
        <x:v>3716</x:v>
      </x:c>
      <x:c r="S513" t="n">
        <x:f>ROUND(O513*IFERROR(INDEX(Assumptions!$C$9:$C$13,MATCH(F513,Assumptions!$A$9:$A$13,0)),0.55),0)</x:f>
        <x:v>28799</x:v>
      </x:c>
      <x:c r="T513" t="n">
        <x:f>ROUND(O513*IFERROR(INDEX(Assumptions!$D$9:$D$13,MATCH(F513,Assumptions!$A$9:$A$13,0)),0.06),0)</x:f>
        <x:v>3716</x:v>
      </x:c>
      <x:c r="U513" t="n">
        <x:f>ROUND(O513*IFERROR(INDEX(Assumptions!$E$9:$E$13,MATCH(F513,Assumptions!$A$9:$A$13,0)),0.15),0)</x:f>
        <x:v>8361</x:v>
      </x:c>
      <x:c r="V513" t="n">
        <x:f>MAX(0,O513-SUM(R513:U513))</x:f>
        <x:v>1858.5599999999977</x:v>
      </x:c>
      <x:c r="W513" t="n">
        <x:f>MIN(100,40+IF(O513&gt;0,20,0)+IF(M513&lt;&gt;"",20,0)+IF(AF513&lt;&gt;"",20,0))</x:f>
        <x:v>100</x:v>
      </x:c>
      <x:c r="X513" t="str">
        <x:v>Placed on exact national road host link</x:v>
      </x:c>
      <x:c r="Y513" t="str">
        <x:v>Paved</x:v>
      </x:c>
      <x:c r="Z513" t="str">
        <x:v>M</x:v>
      </x:c>
      <x:c r="AA513" t="str">
        <x:v>Not available in governed source</x:v>
      </x:c>
      <x:c r="AB513" t="str">
        <x:v>Not available in governed source</x:v>
      </x:c>
      <x:c r="AC513" t="str">
        <x:v>FY2025/26</x:v>
      </x:c>
      <x:c r="AD513" t="str">
        <x:v>Modelled</x:v>
      </x:c>
      <x:c r="AE513" t="str">
        <x:v>2026 bridge AADT rebuilt from host-link traffic history, annual collection-link history, same-road corridor history and spatial count-station influence. Vehicle-class values are assigned from functional-class shares.</x:v>
      </x:c>
      <x:c r="AF513" t="str">
        <x:v>Placed on exact national road host link</x:v>
      </x:c>
    </x:row>
    <x:row r="514" ht="15" hidden="0" customHeight="1">
      <x:c r="A514" t="str">
        <x:v>bridge-513</x:v>
      </x:c>
      <x:c r="B514" t="str">
        <x:v>B419</x:v>
      </x:c>
      <x:c r="C514" t="str">
        <x:v>Namungoona B22</x:v>
      </x:c>
      <x:c r="D514" t="str">
        <x:v>M20</x:v>
      </x:c>
      <x:c r="E514" t="str">
        <x:v>Kampala NorthernBypass</x:v>
      </x:c>
      <x:c r="F514" t="str">
        <x:v>M</x:v>
      </x:c>
      <x:c r="G514" t="str">
        <x:v>Central</x:v>
      </x:c>
      <x:c r="H514" t="str">
        <x:v>Kampala</x:v>
      </x:c>
      <x:c r="I514" t="str">
        <x:v>Road Over Road</x:v>
      </x:c>
      <x:c r="J514" t="str">
        <x:v>Good</x:v>
      </x:c>
      <x:c r="K514" t="n">
        <x:v>32.5428</x:v>
      </x:c>
      <x:c r="L514" t="n">
        <x:v>0.3452</x:v>
      </x:c>
      <x:c r="M514" t="n">
        <x:v>32.542897</x:v>
      </x:c>
      <x:c r="N514" t="n">
        <x:v>0.344873</x:v>
      </x:c>
      <x:c r="O514" t="n">
        <x:v>46450.56</x:v>
      </x:c>
      <x:c r="P514" t="n">
        <x:f>IFERROR(INDEX(Assumptions!$B$9:$B$13,MATCH(F514,Assumptions!$A$9:$A$13,0)),0.15)</x:f>
        <x:v>0.08</x:v>
      </x:c>
      <x:c r="Q514" t="n">
        <x:f>ROUND(O514*(1-P514),0)</x:f>
        <x:v>42735</x:v>
      </x:c>
      <x:c r="R514" t="n">
        <x:f>ROUND(O514*P514,0)</x:f>
        <x:v>3716</x:v>
      </x:c>
      <x:c r="S514" t="n">
        <x:f>ROUND(O514*IFERROR(INDEX(Assumptions!$C$9:$C$13,MATCH(F514,Assumptions!$A$9:$A$13,0)),0.55),0)</x:f>
        <x:v>28799</x:v>
      </x:c>
      <x:c r="T514" t="n">
        <x:f>ROUND(O514*IFERROR(INDEX(Assumptions!$D$9:$D$13,MATCH(F514,Assumptions!$A$9:$A$13,0)),0.06),0)</x:f>
        <x:v>3716</x:v>
      </x:c>
      <x:c r="U514" t="n">
        <x:f>ROUND(O514*IFERROR(INDEX(Assumptions!$E$9:$E$13,MATCH(F514,Assumptions!$A$9:$A$13,0)),0.15),0)</x:f>
        <x:v>8361</x:v>
      </x:c>
      <x:c r="V514" t="n">
        <x:f>MAX(0,O514-SUM(R514:U514))</x:f>
        <x:v>1858.5599999999977</x:v>
      </x:c>
      <x:c r="W514" t="n">
        <x:f>MIN(100,40+IF(O514&gt;0,20,0)+IF(M514&lt;&gt;"",20,0)+IF(AF514&lt;&gt;"",20,0))</x:f>
        <x:v>100</x:v>
      </x:c>
      <x:c r="X514" t="str">
        <x:v>Placed on exact national road host link</x:v>
      </x:c>
      <x:c r="Y514" t="str">
        <x:v>Paved</x:v>
      </x:c>
      <x:c r="Z514" t="str">
        <x:v>M</x:v>
      </x:c>
      <x:c r="AA514" t="str">
        <x:v>Not available in governed source</x:v>
      </x:c>
      <x:c r="AB514" t="str">
        <x:v>Not available in governed source</x:v>
      </x:c>
      <x:c r="AC514" t="str">
        <x:v>FY2025/26</x:v>
      </x:c>
      <x:c r="AD514" t="str">
        <x:v>Modelled</x:v>
      </x:c>
      <x:c r="AE514" t="str">
        <x:v>2026 bridge AADT rebuilt from host-link traffic history, annual collection-link history, same-road corridor history and spatial count-station influence. Vehicle-class values are assigned from functional-class shares.</x:v>
      </x:c>
      <x:c r="AF514" t="str">
        <x:v>Placed on exact national road host link</x:v>
      </x:c>
    </x:row>
    <x:row r="515" ht="15" hidden="0" customHeight="1">
      <x:c r="A515" t="str">
        <x:v>bridge-514</x:v>
      </x:c>
      <x:c r="B515" t="str">
        <x:v>B280</x:v>
      </x:c>
      <x:c r="C515" t="str">
        <x:v>Namungoona B1</x:v>
      </x:c>
      <x:c r="D515" t="str">
        <x:v>M20</x:v>
      </x:c>
      <x:c r="E515" t="str">
        <x:v>Kampala NorthernBypass</x:v>
      </x:c>
      <x:c r="F515" t="str">
        <x:v>M</x:v>
      </x:c>
      <x:c r="G515" t="str">
        <x:v>Central</x:v>
      </x:c>
      <x:c r="H515" t="str">
        <x:v>Kampala</x:v>
      </x:c>
      <x:c r="I515" t="str">
        <x:v>Road Over Road</x:v>
      </x:c>
      <x:c r="J515" t="str">
        <x:v>Good</x:v>
      </x:c>
      <x:c r="K515" t="n">
        <x:v>32.5422</x:v>
      </x:c>
      <x:c r="L515" t="n">
        <x:v>0.345</x:v>
      </x:c>
      <x:c r="M515" t="n">
        <x:v>32.54229</x:v>
      </x:c>
      <x:c r="N515" t="n">
        <x:v>0.344697</x:v>
      </x:c>
      <x:c r="O515" t="n">
        <x:v>46450.56</x:v>
      </x:c>
      <x:c r="P515" t="n">
        <x:f>IFERROR(INDEX(Assumptions!$B$9:$B$13,MATCH(F515,Assumptions!$A$9:$A$13,0)),0.15)</x:f>
        <x:v>0.08</x:v>
      </x:c>
      <x:c r="Q515" t="n">
        <x:f>ROUND(O515*(1-P515),0)</x:f>
        <x:v>42735</x:v>
      </x:c>
      <x:c r="R515" t="n">
        <x:f>ROUND(O515*P515,0)</x:f>
        <x:v>3716</x:v>
      </x:c>
      <x:c r="S515" t="n">
        <x:f>ROUND(O515*IFERROR(INDEX(Assumptions!$C$9:$C$13,MATCH(F515,Assumptions!$A$9:$A$13,0)),0.55),0)</x:f>
        <x:v>28799</x:v>
      </x:c>
      <x:c r="T515" t="n">
        <x:f>ROUND(O515*IFERROR(INDEX(Assumptions!$D$9:$D$13,MATCH(F515,Assumptions!$A$9:$A$13,0)),0.06),0)</x:f>
        <x:v>3716</x:v>
      </x:c>
      <x:c r="U515" t="n">
        <x:f>ROUND(O515*IFERROR(INDEX(Assumptions!$E$9:$E$13,MATCH(F515,Assumptions!$A$9:$A$13,0)),0.15),0)</x:f>
        <x:v>8361</x:v>
      </x:c>
      <x:c r="V515" t="n">
        <x:f>MAX(0,O515-SUM(R515:U515))</x:f>
        <x:v>1858.5599999999977</x:v>
      </x:c>
      <x:c r="W515" t="n">
        <x:f>MIN(100,40+IF(O515&gt;0,20,0)+IF(M515&lt;&gt;"",20,0)+IF(AF515&lt;&gt;"",20,0))</x:f>
        <x:v>100</x:v>
      </x:c>
      <x:c r="X515" t="str">
        <x:v>Placed on exact national road host link</x:v>
      </x:c>
      <x:c r="Y515" t="str">
        <x:v>Paved</x:v>
      </x:c>
      <x:c r="Z515" t="str">
        <x:v>M</x:v>
      </x:c>
      <x:c r="AA515" t="str">
        <x:v>Not available in governed source</x:v>
      </x:c>
      <x:c r="AB515" t="str">
        <x:v>Not available in governed source</x:v>
      </x:c>
      <x:c r="AC515" t="str">
        <x:v>FY2025/26</x:v>
      </x:c>
      <x:c r="AD515" t="str">
        <x:v>Modelled</x:v>
      </x:c>
      <x:c r="AE515" t="str">
        <x:v>2026 bridge AADT rebuilt from host-link traffic history, annual collection-link history, same-road corridor history and spatial count-station influence. Vehicle-class values are assigned from functional-class shares.</x:v>
      </x:c>
      <x:c r="AF515" t="str">
        <x:v>Placed on exact national road host link</x:v>
      </x:c>
    </x:row>
    <x:row r="516" ht="15" hidden="0" customHeight="1">
      <x:c r="A516" t="str">
        <x:v>bridge-515</x:v>
      </x:c>
      <x:c r="B516" t="str">
        <x:v>B304</x:v>
      </x:c>
      <x:c r="C516" t="str">
        <x:v>Namungoona B12</x:v>
      </x:c>
      <x:c r="D516" t="str">
        <x:v>M20</x:v>
      </x:c>
      <x:c r="E516" t="str">
        <x:v>Kampala NorthernBypass</x:v>
      </x:c>
      <x:c r="F516" t="str">
        <x:v>M</x:v>
      </x:c>
      <x:c r="G516" t="str">
        <x:v>Central</x:v>
      </x:c>
      <x:c r="H516" t="str">
        <x:v>Kampala</x:v>
      </x:c>
      <x:c r="I516" t="str">
        <x:v>Road Over Road</x:v>
      </x:c>
      <x:c r="J516" t="str">
        <x:v>Good</x:v>
      </x:c>
      <x:c r="K516" t="n">
        <x:v>32.5422</x:v>
      </x:c>
      <x:c r="L516" t="n">
        <x:v>0.345</x:v>
      </x:c>
      <x:c r="M516" t="n">
        <x:v>32.54229</x:v>
      </x:c>
      <x:c r="N516" t="n">
        <x:v>0.344697</x:v>
      </x:c>
      <x:c r="O516" t="n">
        <x:v>46450.56</x:v>
      </x:c>
      <x:c r="P516" t="n">
        <x:f>IFERROR(INDEX(Assumptions!$B$9:$B$13,MATCH(F516,Assumptions!$A$9:$A$13,0)),0.15)</x:f>
        <x:v>0.08</x:v>
      </x:c>
      <x:c r="Q516" t="n">
        <x:f>ROUND(O516*(1-P516),0)</x:f>
        <x:v>42735</x:v>
      </x:c>
      <x:c r="R516" t="n">
        <x:f>ROUND(O516*P516,0)</x:f>
        <x:v>3716</x:v>
      </x:c>
      <x:c r="S516" t="n">
        <x:f>ROUND(O516*IFERROR(INDEX(Assumptions!$C$9:$C$13,MATCH(F516,Assumptions!$A$9:$A$13,0)),0.55),0)</x:f>
        <x:v>28799</x:v>
      </x:c>
      <x:c r="T516" t="n">
        <x:f>ROUND(O516*IFERROR(INDEX(Assumptions!$D$9:$D$13,MATCH(F516,Assumptions!$A$9:$A$13,0)),0.06),0)</x:f>
        <x:v>3716</x:v>
      </x:c>
      <x:c r="U516" t="n">
        <x:f>ROUND(O516*IFERROR(INDEX(Assumptions!$E$9:$E$13,MATCH(F516,Assumptions!$A$9:$A$13,0)),0.15),0)</x:f>
        <x:v>8361</x:v>
      </x:c>
      <x:c r="V516" t="n">
        <x:f>MAX(0,O516-SUM(R516:U516))</x:f>
        <x:v>1858.5599999999977</x:v>
      </x:c>
      <x:c r="W516" t="n">
        <x:f>MIN(100,40+IF(O516&gt;0,20,0)+IF(M516&lt;&gt;"",20,0)+IF(AF516&lt;&gt;"",20,0))</x:f>
        <x:v>100</x:v>
      </x:c>
      <x:c r="X516" t="str">
        <x:v>Placed on exact national road host link</x:v>
      </x:c>
      <x:c r="Y516" t="str">
        <x:v>Paved</x:v>
      </x:c>
      <x:c r="Z516" t="str">
        <x:v>M</x:v>
      </x:c>
      <x:c r="AA516" t="str">
        <x:v>Not available in governed source</x:v>
      </x:c>
      <x:c r="AB516" t="str">
        <x:v>Not available in governed source</x:v>
      </x:c>
      <x:c r="AC516" t="str">
        <x:v>FY2025/26</x:v>
      </x:c>
      <x:c r="AD516" t="str">
        <x:v>Modelled</x:v>
      </x:c>
      <x:c r="AE516" t="str">
        <x:v>2026 bridge AADT rebuilt from host-link traffic history, annual collection-link history, same-road corridor history and spatial count-station influence. Vehicle-class values are assigned from functional-class shares.</x:v>
      </x:c>
      <x:c r="AF516" t="str">
        <x:v>Placed on exact national road host link</x:v>
      </x:c>
    </x:row>
    <x:row r="517" ht="15" hidden="0" customHeight="1">
      <x:c r="A517" t="str">
        <x:v>bridge-516</x:v>
      </x:c>
      <x:c r="B517" t="str">
        <x:v>B305</x:v>
      </x:c>
      <x:c r="C517" t="str">
        <x:v>Sentema B2</x:v>
      </x:c>
      <x:c r="D517" t="str">
        <x:v>M20</x:v>
      </x:c>
      <x:c r="E517" t="str">
        <x:v>Kampala NorthernBypass</x:v>
      </x:c>
      <x:c r="F517" t="str">
        <x:v>M</x:v>
      </x:c>
      <x:c r="G517" t="str">
        <x:v>Central</x:v>
      </x:c>
      <x:c r="H517" t="str">
        <x:v>Kampala</x:v>
      </x:c>
      <x:c r="I517" t="str">
        <x:v>Road Over Road</x:v>
      </x:c>
      <x:c r="J517" t="str">
        <x:v>Good</x:v>
      </x:c>
      <x:c r="K517" t="n">
        <x:v>32.5274</x:v>
      </x:c>
      <x:c r="L517" t="n">
        <x:v>0.3322</x:v>
      </x:c>
      <x:c r="M517" t="n">
        <x:v>32.527544</x:v>
      </x:c>
      <x:c r="N517" t="n">
        <x:v>0.332126</x:v>
      </x:c>
      <x:c r="O517" t="n">
        <x:v>46450.56</x:v>
      </x:c>
      <x:c r="P517" t="n">
        <x:f>IFERROR(INDEX(Assumptions!$B$9:$B$13,MATCH(F517,Assumptions!$A$9:$A$13,0)),0.15)</x:f>
        <x:v>0.08</x:v>
      </x:c>
      <x:c r="Q517" t="n">
        <x:f>ROUND(O517*(1-P517),0)</x:f>
        <x:v>42735</x:v>
      </x:c>
      <x:c r="R517" t="n">
        <x:f>ROUND(O517*P517,0)</x:f>
        <x:v>3716</x:v>
      </x:c>
      <x:c r="S517" t="n">
        <x:f>ROUND(O517*IFERROR(INDEX(Assumptions!$C$9:$C$13,MATCH(F517,Assumptions!$A$9:$A$13,0)),0.55),0)</x:f>
        <x:v>28799</x:v>
      </x:c>
      <x:c r="T517" t="n">
        <x:f>ROUND(O517*IFERROR(INDEX(Assumptions!$D$9:$D$13,MATCH(F517,Assumptions!$A$9:$A$13,0)),0.06),0)</x:f>
        <x:v>3716</x:v>
      </x:c>
      <x:c r="U517" t="n">
        <x:f>ROUND(O517*IFERROR(INDEX(Assumptions!$E$9:$E$13,MATCH(F517,Assumptions!$A$9:$A$13,0)),0.15),0)</x:f>
        <x:v>8361</x:v>
      </x:c>
      <x:c r="V517" t="n">
        <x:f>MAX(0,O517-SUM(R517:U517))</x:f>
        <x:v>1858.5599999999977</x:v>
      </x:c>
      <x:c r="W517" t="n">
        <x:f>MIN(100,40+IF(O517&gt;0,20,0)+IF(M517&lt;&gt;"",20,0)+IF(AF517&lt;&gt;"",20,0))</x:f>
        <x:v>100</x:v>
      </x:c>
      <x:c r="X517" t="str">
        <x:v>Placed on exact national road host link</x:v>
      </x:c>
      <x:c r="Y517" t="str">
        <x:v>Paved</x:v>
      </x:c>
      <x:c r="Z517" t="str">
        <x:v>M</x:v>
      </x:c>
      <x:c r="AA517" t="str">
        <x:v>Not available in governed source</x:v>
      </x:c>
      <x:c r="AB517" t="str">
        <x:v>Not available in governed source</x:v>
      </x:c>
      <x:c r="AC517" t="str">
        <x:v>FY2025/26</x:v>
      </x:c>
      <x:c r="AD517" t="str">
        <x:v>Modelled</x:v>
      </x:c>
      <x:c r="AE517" t="str">
        <x:v>2026 bridge AADT rebuilt from host-link traffic history, annual collection-link history, same-road corridor history and spatial count-station influence. Vehicle-class values are assigned from functional-class shares.</x:v>
      </x:c>
      <x:c r="AF517" t="str">
        <x:v>Placed on exact national road host link</x:v>
      </x:c>
    </x:row>
    <x:row r="518" ht="15" hidden="0" customHeight="1">
      <x:c r="A518" t="str">
        <x:v>bridge-517</x:v>
      </x:c>
      <x:c r="B518" t="str">
        <x:v>B306</x:v>
      </x:c>
      <x:c r="C518" t="str">
        <x:v>Sentema B22</x:v>
      </x:c>
      <x:c r="D518" t="str">
        <x:v>M20</x:v>
      </x:c>
      <x:c r="E518" t="str">
        <x:v>Kampala NorthernBypass</x:v>
      </x:c>
      <x:c r="F518" t="str">
        <x:v>M</x:v>
      </x:c>
      <x:c r="G518" t="str">
        <x:v>Central</x:v>
      </x:c>
      <x:c r="H518" t="str">
        <x:v>Kampala</x:v>
      </x:c>
      <x:c r="I518" t="str">
        <x:v>Road Over Road</x:v>
      </x:c>
      <x:c r="J518" t="str">
        <x:v>Good</x:v>
      </x:c>
      <x:c r="K518" t="n">
        <x:v>32.5274</x:v>
      </x:c>
      <x:c r="L518" t="n">
        <x:v>0.3322</x:v>
      </x:c>
      <x:c r="M518" t="n">
        <x:v>32.527544</x:v>
      </x:c>
      <x:c r="N518" t="n">
        <x:v>0.332126</x:v>
      </x:c>
      <x:c r="O518" t="n">
        <x:v>46450.56</x:v>
      </x:c>
      <x:c r="P518" t="n">
        <x:f>IFERROR(INDEX(Assumptions!$B$9:$B$13,MATCH(F518,Assumptions!$A$9:$A$13,0)),0.15)</x:f>
        <x:v>0.08</x:v>
      </x:c>
      <x:c r="Q518" t="n">
        <x:f>ROUND(O518*(1-P518),0)</x:f>
        <x:v>42735</x:v>
      </x:c>
      <x:c r="R518" t="n">
        <x:f>ROUND(O518*P518,0)</x:f>
        <x:v>3716</x:v>
      </x:c>
      <x:c r="S518" t="n">
        <x:f>ROUND(O518*IFERROR(INDEX(Assumptions!$C$9:$C$13,MATCH(F518,Assumptions!$A$9:$A$13,0)),0.55),0)</x:f>
        <x:v>28799</x:v>
      </x:c>
      <x:c r="T518" t="n">
        <x:f>ROUND(O518*IFERROR(INDEX(Assumptions!$D$9:$D$13,MATCH(F518,Assumptions!$A$9:$A$13,0)),0.06),0)</x:f>
        <x:v>3716</x:v>
      </x:c>
      <x:c r="U518" t="n">
        <x:f>ROUND(O518*IFERROR(INDEX(Assumptions!$E$9:$E$13,MATCH(F518,Assumptions!$A$9:$A$13,0)),0.15),0)</x:f>
        <x:v>8361</x:v>
      </x:c>
      <x:c r="V518" t="n">
        <x:f>MAX(0,O518-SUM(R518:U518))</x:f>
        <x:v>1858.5599999999977</x:v>
      </x:c>
      <x:c r="W518" t="n">
        <x:f>MIN(100,40+IF(O518&gt;0,20,0)+IF(M518&lt;&gt;"",20,0)+IF(AF518&lt;&gt;"",20,0))</x:f>
        <x:v>100</x:v>
      </x:c>
      <x:c r="X518" t="str">
        <x:v>Placed on exact national road host link</x:v>
      </x:c>
      <x:c r="Y518" t="str">
        <x:v>Paved</x:v>
      </x:c>
      <x:c r="Z518" t="str">
        <x:v>M</x:v>
      </x:c>
      <x:c r="AA518" t="str">
        <x:v>Not available in governed source</x:v>
      </x:c>
      <x:c r="AB518" t="str">
        <x:v>Not available in governed source</x:v>
      </x:c>
      <x:c r="AC518" t="str">
        <x:v>FY2025/26</x:v>
      </x:c>
      <x:c r="AD518" t="str">
        <x:v>Modelled</x:v>
      </x:c>
      <x:c r="AE518" t="str">
        <x:v>2026 bridge AADT rebuilt from host-link traffic history, annual collection-link history, same-road corridor history and spatial count-station influence. Vehicle-class values are assigned from functional-class shares.</x:v>
      </x:c>
      <x:c r="AF518" t="str">
        <x:v>Placed on exact national road host link</x:v>
      </x:c>
    </x:row>
    <x:row r="519" ht="15" hidden="0" customHeight="1">
      <x:c r="A519" t="str">
        <x:v>bridge-518</x:v>
      </x:c>
      <x:c r="B519" t="str">
        <x:v>B307</x:v>
      </x:c>
      <x:c r="C519" t="str">
        <x:v>Sentema B1</x:v>
      </x:c>
      <x:c r="D519" t="str">
        <x:v>M20</x:v>
      </x:c>
      <x:c r="E519" t="str">
        <x:v>Kampala NorthernBypass</x:v>
      </x:c>
      <x:c r="F519" t="str">
        <x:v>M</x:v>
      </x:c>
      <x:c r="G519" t="str">
        <x:v>Central</x:v>
      </x:c>
      <x:c r="H519" t="str">
        <x:v>Kampala</x:v>
      </x:c>
      <x:c r="I519" t="str">
        <x:v>Road Over Road</x:v>
      </x:c>
      <x:c r="J519" t="str">
        <x:v>Good</x:v>
      </x:c>
      <x:c r="K519" t="n">
        <x:v>32.527</x:v>
      </x:c>
      <x:c r="L519" t="n">
        <x:v>0.3316</x:v>
      </x:c>
      <x:c r="M519" t="n">
        <x:v>32.527211</x:v>
      </x:c>
      <x:c r="N519" t="n">
        <x:v>0.331487</x:v>
      </x:c>
      <x:c r="O519" t="n">
        <x:v>46450.56</x:v>
      </x:c>
      <x:c r="P519" t="n">
        <x:f>IFERROR(INDEX(Assumptions!$B$9:$B$13,MATCH(F519,Assumptions!$A$9:$A$13,0)),0.15)</x:f>
        <x:v>0.08</x:v>
      </x:c>
      <x:c r="Q519" t="n">
        <x:f>ROUND(O519*(1-P519),0)</x:f>
        <x:v>42735</x:v>
      </x:c>
      <x:c r="R519" t="n">
        <x:f>ROUND(O519*P519,0)</x:f>
        <x:v>3716</x:v>
      </x:c>
      <x:c r="S519" t="n">
        <x:f>ROUND(O519*IFERROR(INDEX(Assumptions!$C$9:$C$13,MATCH(F519,Assumptions!$A$9:$A$13,0)),0.55),0)</x:f>
        <x:v>28799</x:v>
      </x:c>
      <x:c r="T519" t="n">
        <x:f>ROUND(O519*IFERROR(INDEX(Assumptions!$D$9:$D$13,MATCH(F519,Assumptions!$A$9:$A$13,0)),0.06),0)</x:f>
        <x:v>3716</x:v>
      </x:c>
      <x:c r="U519" t="n">
        <x:f>ROUND(O519*IFERROR(INDEX(Assumptions!$E$9:$E$13,MATCH(F519,Assumptions!$A$9:$A$13,0)),0.15),0)</x:f>
        <x:v>8361</x:v>
      </x:c>
      <x:c r="V519" t="n">
        <x:f>MAX(0,O519-SUM(R519:U519))</x:f>
        <x:v>1858.5599999999977</x:v>
      </x:c>
      <x:c r="W519" t="n">
        <x:f>MIN(100,40+IF(O519&gt;0,20,0)+IF(M519&lt;&gt;"",20,0)+IF(AF519&lt;&gt;"",20,0))</x:f>
        <x:v>100</x:v>
      </x:c>
      <x:c r="X519" t="str">
        <x:v>Placed on exact national road host link</x:v>
      </x:c>
      <x:c r="Y519" t="str">
        <x:v>Paved</x:v>
      </x:c>
      <x:c r="Z519" t="str">
        <x:v>M</x:v>
      </x:c>
      <x:c r="AA519" t="str">
        <x:v>Not available in governed source</x:v>
      </x:c>
      <x:c r="AB519" t="str">
        <x:v>Not available in governed source</x:v>
      </x:c>
      <x:c r="AC519" t="str">
        <x:v>FY2025/26</x:v>
      </x:c>
      <x:c r="AD519" t="str">
        <x:v>Modelled</x:v>
      </x:c>
      <x:c r="AE519" t="str">
        <x:v>2026 bridge AADT rebuilt from host-link traffic history, annual collection-link history, same-road corridor history and spatial count-station influence. Vehicle-class values are assigned from functional-class shares.</x:v>
      </x:c>
      <x:c r="AF519" t="str">
        <x:v>Placed on exact national road host link</x:v>
      </x:c>
    </x:row>
    <x:row r="520" ht="15" hidden="0" customHeight="1">
      <x:c r="A520" t="str">
        <x:v>bridge-519</x:v>
      </x:c>
      <x:c r="B520" t="str">
        <x:v>B309</x:v>
      </x:c>
      <x:c r="C520" t="str">
        <x:v>Sentema B12</x:v>
      </x:c>
      <x:c r="D520" t="str">
        <x:v>M20</x:v>
      </x:c>
      <x:c r="E520" t="str">
        <x:v>Kampala NorthernBypass</x:v>
      </x:c>
      <x:c r="F520" t="str">
        <x:v>M</x:v>
      </x:c>
      <x:c r="G520" t="str">
        <x:v>Central</x:v>
      </x:c>
      <x:c r="H520" t="str">
        <x:v>Kampala</x:v>
      </x:c>
      <x:c r="I520" t="str">
        <x:v>Road Over Road</x:v>
      </x:c>
      <x:c r="J520" t="str">
        <x:v>Good</x:v>
      </x:c>
      <x:c r="K520" t="n">
        <x:v>32.527</x:v>
      </x:c>
      <x:c r="L520" t="n">
        <x:v>0.3316</x:v>
      </x:c>
      <x:c r="M520" t="n">
        <x:v>32.527211</x:v>
      </x:c>
      <x:c r="N520" t="n">
        <x:v>0.331487</x:v>
      </x:c>
      <x:c r="O520" t="n">
        <x:v>46450.56</x:v>
      </x:c>
      <x:c r="P520" t="n">
        <x:f>IFERROR(INDEX(Assumptions!$B$9:$B$13,MATCH(F520,Assumptions!$A$9:$A$13,0)),0.15)</x:f>
        <x:v>0.08</x:v>
      </x:c>
      <x:c r="Q520" t="n">
        <x:f>ROUND(O520*(1-P520),0)</x:f>
        <x:v>42735</x:v>
      </x:c>
      <x:c r="R520" t="n">
        <x:f>ROUND(O520*P520,0)</x:f>
        <x:v>3716</x:v>
      </x:c>
      <x:c r="S520" t="n">
        <x:f>ROUND(O520*IFERROR(INDEX(Assumptions!$C$9:$C$13,MATCH(F520,Assumptions!$A$9:$A$13,0)),0.55),0)</x:f>
        <x:v>28799</x:v>
      </x:c>
      <x:c r="T520" t="n">
        <x:f>ROUND(O520*IFERROR(INDEX(Assumptions!$D$9:$D$13,MATCH(F520,Assumptions!$A$9:$A$13,0)),0.06),0)</x:f>
        <x:v>3716</x:v>
      </x:c>
      <x:c r="U520" t="n">
        <x:f>ROUND(O520*IFERROR(INDEX(Assumptions!$E$9:$E$13,MATCH(F520,Assumptions!$A$9:$A$13,0)),0.15),0)</x:f>
        <x:v>8361</x:v>
      </x:c>
      <x:c r="V520" t="n">
        <x:f>MAX(0,O520-SUM(R520:U520))</x:f>
        <x:v>1858.5599999999977</x:v>
      </x:c>
      <x:c r="W520" t="n">
        <x:f>MIN(100,40+IF(O520&gt;0,20,0)+IF(M520&lt;&gt;"",20,0)+IF(AF520&lt;&gt;"",20,0))</x:f>
        <x:v>100</x:v>
      </x:c>
      <x:c r="X520" t="str">
        <x:v>Placed on exact national road host link</x:v>
      </x:c>
      <x:c r="Y520" t="str">
        <x:v>Paved</x:v>
      </x:c>
      <x:c r="Z520" t="str">
        <x:v>M</x:v>
      </x:c>
      <x:c r="AA520" t="str">
        <x:v>Not available in governed source</x:v>
      </x:c>
      <x:c r="AB520" t="str">
        <x:v>Not available in governed source</x:v>
      </x:c>
      <x:c r="AC520" t="str">
        <x:v>FY2025/26</x:v>
      </x:c>
      <x:c r="AD520" t="str">
        <x:v>Modelled</x:v>
      </x:c>
      <x:c r="AE520" t="str">
        <x:v>2026 bridge AADT rebuilt from host-link traffic history, annual collection-link history, same-road corridor history and spatial count-station influence. Vehicle-class values are assigned from functional-class shares.</x:v>
      </x:c>
      <x:c r="AF520" t="str">
        <x:v>Placed on exact national road host link</x:v>
      </x:c>
    </x:row>
    <x:row r="521" ht="15" hidden="0" customHeight="1">
      <x:c r="A521" t="str">
        <x:v>bridge-520</x:v>
      </x:c>
      <x:c r="B521" t="str">
        <x:v>B310</x:v>
      </x:c>
      <x:c r="C521" t="str">
        <x:v>Nalya-Kamuli Flyover Foot bridge</x:v>
      </x:c>
      <x:c r="D521" t="str">
        <x:v>M20</x:v>
      </x:c>
      <x:c r="E521" t="str">
        <x:v>Kampala NorthernBypass</x:v>
      </x:c>
      <x:c r="F521" t="str">
        <x:v>M</x:v>
      </x:c>
      <x:c r="G521" t="str">
        <x:v>Central</x:v>
      </x:c>
      <x:c r="H521" t="str">
        <x:v>Kampala</x:v>
      </x:c>
      <x:c r="I521" t="str">
        <x:v>Pedestrian Crossing</x:v>
      </x:c>
      <x:c r="J521" t="str">
        <x:v>Good</x:v>
      </x:c>
      <x:c r="K521" t="n">
        <x:v>32.6419</x:v>
      </x:c>
      <x:c r="L521" t="n">
        <x:v>0.3649</x:v>
      </x:c>
      <x:c r="M521" t="n">
        <x:v>32.642162</x:v>
      </x:c>
      <x:c r="N521" t="n">
        <x:v>0.364389</x:v>
      </x:c>
      <x:c r="O521" t="n">
        <x:v>46450.56</x:v>
      </x:c>
      <x:c r="P521" t="n">
        <x:f>IFERROR(INDEX(Assumptions!$B$9:$B$13,MATCH(F521,Assumptions!$A$9:$A$13,0)),0.15)</x:f>
        <x:v>0.08</x:v>
      </x:c>
      <x:c r="Q521" t="n">
        <x:f>ROUND(O521*(1-P521),0)</x:f>
        <x:v>42735</x:v>
      </x:c>
      <x:c r="R521" t="n">
        <x:f>ROUND(O521*P521,0)</x:f>
        <x:v>3716</x:v>
      </x:c>
      <x:c r="S521" t="n">
        <x:f>ROUND(O521*IFERROR(INDEX(Assumptions!$C$9:$C$13,MATCH(F521,Assumptions!$A$9:$A$13,0)),0.55),0)</x:f>
        <x:v>28799</x:v>
      </x:c>
      <x:c r="T521" t="n">
        <x:f>ROUND(O521*IFERROR(INDEX(Assumptions!$D$9:$D$13,MATCH(F521,Assumptions!$A$9:$A$13,0)),0.06),0)</x:f>
        <x:v>3716</x:v>
      </x:c>
      <x:c r="U521" t="n">
        <x:f>ROUND(O521*IFERROR(INDEX(Assumptions!$E$9:$E$13,MATCH(F521,Assumptions!$A$9:$A$13,0)),0.15),0)</x:f>
        <x:v>8361</x:v>
      </x:c>
      <x:c r="V521" t="n">
        <x:f>MAX(0,O521-SUM(R521:U521))</x:f>
        <x:v>1858.5599999999977</x:v>
      </x:c>
      <x:c r="W521" t="n">
        <x:f>MIN(100,40+IF(O521&gt;0,20,0)+IF(M521&lt;&gt;"",20,0)+IF(AF521&lt;&gt;"",20,0))</x:f>
        <x:v>100</x:v>
      </x:c>
      <x:c r="X521" t="str">
        <x:v>Placed on exact national road host link</x:v>
      </x:c>
      <x:c r="Y521" t="str">
        <x:v>Paved</x:v>
      </x:c>
      <x:c r="Z521" t="str">
        <x:v>M</x:v>
      </x:c>
      <x:c r="AA521" t="str">
        <x:v>Not available in governed source</x:v>
      </x:c>
      <x:c r="AB521" t="str">
        <x:v>Not available in governed source</x:v>
      </x:c>
      <x:c r="AC521" t="str">
        <x:v>FY2025/26</x:v>
      </x:c>
      <x:c r="AD521" t="str">
        <x:v>Modelled</x:v>
      </x:c>
      <x:c r="AE521" t="str">
        <x:v>2026 bridge AADT rebuilt from host-link traffic history, annual collection-link history, same-road corridor history and spatial count-station influence. Vehicle-class values are assigned from functional-class shares.</x:v>
      </x:c>
      <x:c r="AF521" t="str">
        <x:v>Placed on exact national road host link</x:v>
      </x:c>
    </x:row>
    <x:row r="522" ht="15" hidden="0" customHeight="1">
      <x:c r="A522" t="str">
        <x:v>bridge-521</x:v>
      </x:c>
      <x:c r="B522" t="str">
        <x:v>B311</x:v>
      </x:c>
      <x:c r="C522" t="str">
        <x:v>Nalya B1 LHS</x:v>
      </x:c>
      <x:c r="D522" t="str">
        <x:v>M20</x:v>
      </x:c>
      <x:c r="E522" t="str">
        <x:v>Kampala NorthernBypass</x:v>
      </x:c>
      <x:c r="F522" t="str">
        <x:v>M</x:v>
      </x:c>
      <x:c r="G522" t="str">
        <x:v>Central</x:v>
      </x:c>
      <x:c r="H522" t="str">
        <x:v>Kampala</x:v>
      </x:c>
      <x:c r="I522" t="str">
        <x:v>Road Over Road</x:v>
      </x:c>
      <x:c r="J522" t="str">
        <x:v>Good</x:v>
      </x:c>
      <x:c r="K522" t="n">
        <x:v>32.6336</x:v>
      </x:c>
      <x:c r="L522" t="n">
        <x:v>0.3631</x:v>
      </x:c>
      <x:c r="M522" t="n">
        <x:v>32.633979</x:v>
      </x:c>
      <x:c r="N522" t="n">
        <x:v>0.363452</x:v>
      </x:c>
      <x:c r="O522" t="n">
        <x:v>46450.56</x:v>
      </x:c>
      <x:c r="P522" t="n">
        <x:f>IFERROR(INDEX(Assumptions!$B$9:$B$13,MATCH(F522,Assumptions!$A$9:$A$13,0)),0.15)</x:f>
        <x:v>0.08</x:v>
      </x:c>
      <x:c r="Q522" t="n">
        <x:f>ROUND(O522*(1-P522),0)</x:f>
        <x:v>42735</x:v>
      </x:c>
      <x:c r="R522" t="n">
        <x:f>ROUND(O522*P522,0)</x:f>
        <x:v>3716</x:v>
      </x:c>
      <x:c r="S522" t="n">
        <x:f>ROUND(O522*IFERROR(INDEX(Assumptions!$C$9:$C$13,MATCH(F522,Assumptions!$A$9:$A$13,0)),0.55),0)</x:f>
        <x:v>28799</x:v>
      </x:c>
      <x:c r="T522" t="n">
        <x:f>ROUND(O522*IFERROR(INDEX(Assumptions!$D$9:$D$13,MATCH(F522,Assumptions!$A$9:$A$13,0)),0.06),0)</x:f>
        <x:v>3716</x:v>
      </x:c>
      <x:c r="U522" t="n">
        <x:f>ROUND(O522*IFERROR(INDEX(Assumptions!$E$9:$E$13,MATCH(F522,Assumptions!$A$9:$A$13,0)),0.15),0)</x:f>
        <x:v>8361</x:v>
      </x:c>
      <x:c r="V522" t="n">
        <x:f>MAX(0,O522-SUM(R522:U522))</x:f>
        <x:v>1858.5599999999977</x:v>
      </x:c>
      <x:c r="W522" t="n">
        <x:f>MIN(100,40+IF(O522&gt;0,20,0)+IF(M522&lt;&gt;"",20,0)+IF(AF522&lt;&gt;"",20,0))</x:f>
        <x:v>100</x:v>
      </x:c>
      <x:c r="X522" t="str">
        <x:v>Placed on exact national road host link</x:v>
      </x:c>
      <x:c r="Y522" t="str">
        <x:v>Paved</x:v>
      </x:c>
      <x:c r="Z522" t="str">
        <x:v>M</x:v>
      </x:c>
      <x:c r="AA522" t="str">
        <x:v>Not available in governed source</x:v>
      </x:c>
      <x:c r="AB522" t="str">
        <x:v>Not available in governed source</x:v>
      </x:c>
      <x:c r="AC522" t="str">
        <x:v>FY2025/26</x:v>
      </x:c>
      <x:c r="AD522" t="str">
        <x:v>Modelled</x:v>
      </x:c>
      <x:c r="AE522" t="str">
        <x:v>2026 bridge AADT rebuilt from host-link traffic history, annual collection-link history, same-road corridor history and spatial count-station influence. Vehicle-class values are assigned from functional-class shares.</x:v>
      </x:c>
      <x:c r="AF522" t="str">
        <x:v>Placed on exact national road host link</x:v>
      </x:c>
    </x:row>
    <x:row r="523" ht="15" hidden="0" customHeight="1">
      <x:c r="A523" t="str">
        <x:v>bridge-522</x:v>
      </x:c>
      <x:c r="B523" t="str">
        <x:v>B322</x:v>
      </x:c>
      <x:c r="C523" t="str">
        <x:v>Nalya B2 LHS</x:v>
      </x:c>
      <x:c r="D523" t="str">
        <x:v>M20</x:v>
      </x:c>
      <x:c r="E523" t="str">
        <x:v>Kampala NorthernBypass</x:v>
      </x:c>
      <x:c r="F523" t="str">
        <x:v>M</x:v>
      </x:c>
      <x:c r="G523" t="str">
        <x:v>Central</x:v>
      </x:c>
      <x:c r="H523" t="str">
        <x:v>Kampala</x:v>
      </x:c>
      <x:c r="I523" t="str">
        <x:v>Road Over Road</x:v>
      </x:c>
      <x:c r="J523" t="str">
        <x:v>Good</x:v>
      </x:c>
      <x:c r="K523" t="n">
        <x:v>32.6364</x:v>
      </x:c>
      <x:c r="L523" t="n">
        <x:v>0.3636</x:v>
      </x:c>
      <x:c r="M523" t="n">
        <x:v>32.635032</x:v>
      </x:c>
      <x:c r="N523" t="n">
        <x:v>0.362321</x:v>
      </x:c>
      <x:c r="O523" t="n">
        <x:v>46450.56</x:v>
      </x:c>
      <x:c r="P523" t="n">
        <x:f>IFERROR(INDEX(Assumptions!$B$9:$B$13,MATCH(F523,Assumptions!$A$9:$A$13,0)),0.15)</x:f>
        <x:v>0.08</x:v>
      </x:c>
      <x:c r="Q523" t="n">
        <x:f>ROUND(O523*(1-P523),0)</x:f>
        <x:v>42735</x:v>
      </x:c>
      <x:c r="R523" t="n">
        <x:f>ROUND(O523*P523,0)</x:f>
        <x:v>3716</x:v>
      </x:c>
      <x:c r="S523" t="n">
        <x:f>ROUND(O523*IFERROR(INDEX(Assumptions!$C$9:$C$13,MATCH(F523,Assumptions!$A$9:$A$13,0)),0.55),0)</x:f>
        <x:v>28799</x:v>
      </x:c>
      <x:c r="T523" t="n">
        <x:f>ROUND(O523*IFERROR(INDEX(Assumptions!$D$9:$D$13,MATCH(F523,Assumptions!$A$9:$A$13,0)),0.06),0)</x:f>
        <x:v>3716</x:v>
      </x:c>
      <x:c r="U523" t="n">
        <x:f>ROUND(O523*IFERROR(INDEX(Assumptions!$E$9:$E$13,MATCH(F523,Assumptions!$A$9:$A$13,0)),0.15),0)</x:f>
        <x:v>8361</x:v>
      </x:c>
      <x:c r="V523" t="n">
        <x:f>MAX(0,O523-SUM(R523:U523))</x:f>
        <x:v>1858.5599999999977</x:v>
      </x:c>
      <x:c r="W523" t="n">
        <x:f>MIN(100,40+IF(O523&gt;0,20,0)+IF(M523&lt;&gt;"",20,0)+IF(AF523&lt;&gt;"",20,0))</x:f>
        <x:v>100</x:v>
      </x:c>
      <x:c r="X523" t="str">
        <x:v>Placed on exact national road host link</x:v>
      </x:c>
      <x:c r="Y523" t="str">
        <x:v>Paved</x:v>
      </x:c>
      <x:c r="Z523" t="str">
        <x:v>M</x:v>
      </x:c>
      <x:c r="AA523" t="str">
        <x:v>Not available in governed source</x:v>
      </x:c>
      <x:c r="AB523" t="str">
        <x:v>Not available in governed source</x:v>
      </x:c>
      <x:c r="AC523" t="str">
        <x:v>FY2025/26</x:v>
      </x:c>
      <x:c r="AD523" t="str">
        <x:v>Modelled</x:v>
      </x:c>
      <x:c r="AE523" t="str">
        <x:v>2026 bridge AADT rebuilt from host-link traffic history, annual collection-link history, same-road corridor history and spatial count-station influence. Vehicle-class values are assigned from functional-class shares.</x:v>
      </x:c>
      <x:c r="AF523" t="str">
        <x:v>Placed on exact national road host link</x:v>
      </x:c>
    </x:row>
    <x:row r="524" ht="15" hidden="0" customHeight="1">
      <x:c r="A524" t="str">
        <x:v>bridge-523</x:v>
      </x:c>
      <x:c r="B524" t="str">
        <x:v>B329</x:v>
      </x:c>
      <x:c r="C524" t="str">
        <x:v>Nalya B1 RHS</x:v>
      </x:c>
      <x:c r="D524" t="str">
        <x:v>M20</x:v>
      </x:c>
      <x:c r="E524" t="str">
        <x:v>Kampala NorthernBypass</x:v>
      </x:c>
      <x:c r="F524" t="str">
        <x:v>M</x:v>
      </x:c>
      <x:c r="G524" t="str">
        <x:v>Central</x:v>
      </x:c>
      <x:c r="H524" t="str">
        <x:v>Kampala</x:v>
      </x:c>
      <x:c r="I524" t="str">
        <x:v>Road Over Road</x:v>
      </x:c>
      <x:c r="J524" t="str">
        <x:v>Good</x:v>
      </x:c>
      <x:c r="K524" t="n">
        <x:v>32.6333</x:v>
      </x:c>
      <x:c r="L524" t="n">
        <x:v>0.3636</x:v>
      </x:c>
      <x:c r="M524" t="n">
        <x:v>32.63359</x:v>
      </x:c>
      <x:c r="N524" t="n">
        <x:v>0.36387</x:v>
      </x:c>
      <x:c r="O524" t="n">
        <x:v>46450.56</x:v>
      </x:c>
      <x:c r="P524" t="n">
        <x:f>IFERROR(INDEX(Assumptions!$B$9:$B$13,MATCH(F524,Assumptions!$A$9:$A$13,0)),0.15)</x:f>
        <x:v>0.08</x:v>
      </x:c>
      <x:c r="Q524" t="n">
        <x:f>ROUND(O524*(1-P524),0)</x:f>
        <x:v>42735</x:v>
      </x:c>
      <x:c r="R524" t="n">
        <x:f>ROUND(O524*P524,0)</x:f>
        <x:v>3716</x:v>
      </x:c>
      <x:c r="S524" t="n">
        <x:f>ROUND(O524*IFERROR(INDEX(Assumptions!$C$9:$C$13,MATCH(F524,Assumptions!$A$9:$A$13,0)),0.55),0)</x:f>
        <x:v>28799</x:v>
      </x:c>
      <x:c r="T524" t="n">
        <x:f>ROUND(O524*IFERROR(INDEX(Assumptions!$D$9:$D$13,MATCH(F524,Assumptions!$A$9:$A$13,0)),0.06),0)</x:f>
        <x:v>3716</x:v>
      </x:c>
      <x:c r="U524" t="n">
        <x:f>ROUND(O524*IFERROR(INDEX(Assumptions!$E$9:$E$13,MATCH(F524,Assumptions!$A$9:$A$13,0)),0.15),0)</x:f>
        <x:v>8361</x:v>
      </x:c>
      <x:c r="V524" t="n">
        <x:f>MAX(0,O524-SUM(R524:U524))</x:f>
        <x:v>1858.5599999999977</x:v>
      </x:c>
      <x:c r="W524" t="n">
        <x:f>MIN(100,40+IF(O524&gt;0,20,0)+IF(M524&lt;&gt;"",20,0)+IF(AF524&lt;&gt;"",20,0))</x:f>
        <x:v>100</x:v>
      </x:c>
      <x:c r="X524" t="str">
        <x:v>Placed on exact national road host link</x:v>
      </x:c>
      <x:c r="Y524" t="str">
        <x:v>Paved</x:v>
      </x:c>
      <x:c r="Z524" t="str">
        <x:v>M</x:v>
      </x:c>
      <x:c r="AA524" t="str">
        <x:v>Not available in governed source</x:v>
      </x:c>
      <x:c r="AB524" t="str">
        <x:v>Not available in governed source</x:v>
      </x:c>
      <x:c r="AC524" t="str">
        <x:v>FY2025/26</x:v>
      </x:c>
      <x:c r="AD524" t="str">
        <x:v>Modelled</x:v>
      </x:c>
      <x:c r="AE524" t="str">
        <x:v>2026 bridge AADT rebuilt from host-link traffic history, annual collection-link history, same-road corridor history and spatial count-station influence. Vehicle-class values are assigned from functional-class shares.</x:v>
      </x:c>
      <x:c r="AF524" t="str">
        <x:v>Placed on exact national road host link</x:v>
      </x:c>
    </x:row>
    <x:row r="525" ht="15" hidden="0" customHeight="1">
      <x:c r="A525" t="str">
        <x:v>bridge-524</x:v>
      </x:c>
      <x:c r="B525" t="str">
        <x:v>B341</x:v>
      </x:c>
      <x:c r="C525" t="str">
        <x:v>Nalya B2 RHS</x:v>
      </x:c>
      <x:c r="D525" t="str">
        <x:v>M20</x:v>
      </x:c>
      <x:c r="E525" t="str">
        <x:v>Kampala NorthernBypass</x:v>
      </x:c>
      <x:c r="F525" t="str">
        <x:v>M</x:v>
      </x:c>
      <x:c r="G525" t="str">
        <x:v>Central</x:v>
      </x:c>
      <x:c r="H525" t="str">
        <x:v>Kampala</x:v>
      </x:c>
      <x:c r="I525" t="str">
        <x:v>Road Over Road</x:v>
      </x:c>
      <x:c r="J525" t="str">
        <x:v>Good</x:v>
      </x:c>
      <x:c r="K525" t="n">
        <x:v>32.6335</x:v>
      </x:c>
      <x:c r="L525" t="n">
        <x:v>0.363</x:v>
      </x:c>
      <x:c r="M525" t="n">
        <x:v>32.633985</x:v>
      </x:c>
      <x:c r="N525" t="n">
        <x:v>0.363446</x:v>
      </x:c>
      <x:c r="O525" t="n">
        <x:v>46450.56</x:v>
      </x:c>
      <x:c r="P525" t="n">
        <x:f>IFERROR(INDEX(Assumptions!$B$9:$B$13,MATCH(F525,Assumptions!$A$9:$A$13,0)),0.15)</x:f>
        <x:v>0.08</x:v>
      </x:c>
      <x:c r="Q525" t="n">
        <x:f>ROUND(O525*(1-P525),0)</x:f>
        <x:v>42735</x:v>
      </x:c>
      <x:c r="R525" t="n">
        <x:f>ROUND(O525*P525,0)</x:f>
        <x:v>3716</x:v>
      </x:c>
      <x:c r="S525" t="n">
        <x:f>ROUND(O525*IFERROR(INDEX(Assumptions!$C$9:$C$13,MATCH(F525,Assumptions!$A$9:$A$13,0)),0.55),0)</x:f>
        <x:v>28799</x:v>
      </x:c>
      <x:c r="T525" t="n">
        <x:f>ROUND(O525*IFERROR(INDEX(Assumptions!$D$9:$D$13,MATCH(F525,Assumptions!$A$9:$A$13,0)),0.06),0)</x:f>
        <x:v>3716</x:v>
      </x:c>
      <x:c r="U525" t="n">
        <x:f>ROUND(O525*IFERROR(INDEX(Assumptions!$E$9:$E$13,MATCH(F525,Assumptions!$A$9:$A$13,0)),0.15),0)</x:f>
        <x:v>8361</x:v>
      </x:c>
      <x:c r="V525" t="n">
        <x:f>MAX(0,O525-SUM(R525:U525))</x:f>
        <x:v>1858.5599999999977</x:v>
      </x:c>
      <x:c r="W525" t="n">
        <x:f>MIN(100,40+IF(O525&gt;0,20,0)+IF(M525&lt;&gt;"",20,0)+IF(AF525&lt;&gt;"",20,0))</x:f>
        <x:v>100</x:v>
      </x:c>
      <x:c r="X525" t="str">
        <x:v>Placed on exact national road host link</x:v>
      </x:c>
      <x:c r="Y525" t="str">
        <x:v>Paved</x:v>
      </x:c>
      <x:c r="Z525" t="str">
        <x:v>M</x:v>
      </x:c>
      <x:c r="AA525" t="str">
        <x:v>Not available in governed source</x:v>
      </x:c>
      <x:c r="AB525" t="str">
        <x:v>Not available in governed source</x:v>
      </x:c>
      <x:c r="AC525" t="str">
        <x:v>FY2025/26</x:v>
      </x:c>
      <x:c r="AD525" t="str">
        <x:v>Modelled</x:v>
      </x:c>
      <x:c r="AE525" t="str">
        <x:v>2026 bridge AADT rebuilt from host-link traffic history, annual collection-link history, same-road corridor history and spatial count-station influence. Vehicle-class values are assigned from functional-class shares.</x:v>
      </x:c>
      <x:c r="AF525" t="str">
        <x:v>Placed on exact national road host link</x:v>
      </x:c>
    </x:row>
    <x:row r="526" ht="15" hidden="0" customHeight="1">
      <x:c r="A526" t="str">
        <x:v>bridge-525</x:v>
      </x:c>
      <x:c r="B526" t="str">
        <x:v>B342</x:v>
      </x:c>
      <x:c r="C526" t="str">
        <x:v>Kiwatule under-pass</x:v>
      </x:c>
      <x:c r="D526" t="str">
        <x:v>M20</x:v>
      </x:c>
      <x:c r="E526" t="str">
        <x:v>Kampala NorthernBypass</x:v>
      </x:c>
      <x:c r="F526" t="str">
        <x:v>M</x:v>
      </x:c>
      <x:c r="G526" t="str">
        <x:v>Central</x:v>
      </x:c>
      <x:c r="H526" t="str">
        <x:v>Kampala</x:v>
      </x:c>
      <x:c r="I526" t="str">
        <x:v>Road Underpass</x:v>
      </x:c>
      <x:c r="J526" t="str">
        <x:v>Good</x:v>
      </x:c>
      <x:c r="K526" t="n">
        <x:v>32.6277</x:v>
      </x:c>
      <x:c r="L526" t="n">
        <x:v>0.3693</x:v>
      </x:c>
      <x:c r="M526" t="n">
        <x:v>32.627707</x:v>
      </x:c>
      <x:c r="N526" t="n">
        <x:v>0.369142</x:v>
      </x:c>
      <x:c r="O526" t="n">
        <x:v>46450.56</x:v>
      </x:c>
      <x:c r="P526" t="n">
        <x:f>IFERROR(INDEX(Assumptions!$B$9:$B$13,MATCH(F526,Assumptions!$A$9:$A$13,0)),0.15)</x:f>
        <x:v>0.08</x:v>
      </x:c>
      <x:c r="Q526" t="n">
        <x:f>ROUND(O526*(1-P526),0)</x:f>
        <x:v>42735</x:v>
      </x:c>
      <x:c r="R526" t="n">
        <x:f>ROUND(O526*P526,0)</x:f>
        <x:v>3716</x:v>
      </x:c>
      <x:c r="S526" t="n">
        <x:f>ROUND(O526*IFERROR(INDEX(Assumptions!$C$9:$C$13,MATCH(F526,Assumptions!$A$9:$A$13,0)),0.55),0)</x:f>
        <x:v>28799</x:v>
      </x:c>
      <x:c r="T526" t="n">
        <x:f>ROUND(O526*IFERROR(INDEX(Assumptions!$D$9:$D$13,MATCH(F526,Assumptions!$A$9:$A$13,0)),0.06),0)</x:f>
        <x:v>3716</x:v>
      </x:c>
      <x:c r="U526" t="n">
        <x:f>ROUND(O526*IFERROR(INDEX(Assumptions!$E$9:$E$13,MATCH(F526,Assumptions!$A$9:$A$13,0)),0.15),0)</x:f>
        <x:v>8361</x:v>
      </x:c>
      <x:c r="V526" t="n">
        <x:f>MAX(0,O526-SUM(R526:U526))</x:f>
        <x:v>1858.5599999999977</x:v>
      </x:c>
      <x:c r="W526" t="n">
        <x:f>MIN(100,40+IF(O526&gt;0,20,0)+IF(M526&lt;&gt;"",20,0)+IF(AF526&lt;&gt;"",20,0))</x:f>
        <x:v>100</x:v>
      </x:c>
      <x:c r="X526" t="str">
        <x:v>Placed on exact national road host link</x:v>
      </x:c>
      <x:c r="Y526" t="str">
        <x:v>Paved</x:v>
      </x:c>
      <x:c r="Z526" t="str">
        <x:v>M</x:v>
      </x:c>
      <x:c r="AA526" t="str">
        <x:v>Not available in governed source</x:v>
      </x:c>
      <x:c r="AB526" t="str">
        <x:v>Not available in governed source</x:v>
      </x:c>
      <x:c r="AC526" t="str">
        <x:v>FY2025/26</x:v>
      </x:c>
      <x:c r="AD526" t="str">
        <x:v>Modelled</x:v>
      </x:c>
      <x:c r="AE526" t="str">
        <x:v>2026 bridge AADT rebuilt from host-link traffic history, annual collection-link history, same-road corridor history and spatial count-station influence. Vehicle-class values are assigned from functional-class shares.</x:v>
      </x:c>
      <x:c r="AF526" t="str">
        <x:v>Placed on exact national road host link</x:v>
      </x:c>
    </x:row>
    <x:row r="527" ht="15" hidden="0" customHeight="1">
      <x:c r="A527" t="str">
        <x:v>bridge-526</x:v>
      </x:c>
      <x:c r="B527" t="str">
        <x:v>B343</x:v>
      </x:c>
      <x:c r="C527" t="str">
        <x:v>Busega</x:v>
      </x:c>
      <x:c r="D527" t="str">
        <x:v>M3_Link01</x:v>
      </x:c>
      <x:c r="E527" t="str">
        <x:v>Kampala - Entebbe Expressway</x:v>
      </x:c>
      <x:c r="F527" t="str">
        <x:v>M</x:v>
      </x:c>
      <x:c r="G527" t="str">
        <x:v>Central</x:v>
      </x:c>
      <x:c r="H527" t="str">
        <x:v>Kampala</x:v>
      </x:c>
      <x:c r="I527" t="str">
        <x:v>Road Over Road</x:v>
      </x:c>
      <x:c r="J527" t="str">
        <x:v>Satisfactory</x:v>
      </x:c>
      <x:c r="K527" t="n">
        <x:v>32.5146</x:v>
      </x:c>
      <x:c r="L527" t="n">
        <x:v>0.3146</x:v>
      </x:c>
      <x:c r="M527" t="n">
        <x:v>32.517018</x:v>
      </x:c>
      <x:c r="N527" t="n">
        <x:v>0.312877</x:v>
      </x:c>
      <x:c r="O527" t="n">
        <x:v>20711.35</x:v>
      </x:c>
      <x:c r="P527" t="n">
        <x:f>IFERROR(INDEX(Assumptions!$B$9:$B$13,MATCH(F527,Assumptions!$A$9:$A$13,0)),0.15)</x:f>
        <x:v>0.08</x:v>
      </x:c>
      <x:c r="Q527" t="n">
        <x:f>ROUND(O527*(1-P527),0)</x:f>
        <x:v>19054</x:v>
      </x:c>
      <x:c r="R527" t="n">
        <x:f>ROUND(O527*P527,0)</x:f>
        <x:v>1657</x:v>
      </x:c>
      <x:c r="S527" t="n">
        <x:f>ROUND(O527*IFERROR(INDEX(Assumptions!$C$9:$C$13,MATCH(F527,Assumptions!$A$9:$A$13,0)),0.55),0)</x:f>
        <x:v>12841</x:v>
      </x:c>
      <x:c r="T527" t="n">
        <x:f>ROUND(O527*IFERROR(INDEX(Assumptions!$D$9:$D$13,MATCH(F527,Assumptions!$A$9:$A$13,0)),0.06),0)</x:f>
        <x:v>1657</x:v>
      </x:c>
      <x:c r="U527" t="n">
        <x:f>ROUND(O527*IFERROR(INDEX(Assumptions!$E$9:$E$13,MATCH(F527,Assumptions!$A$9:$A$13,0)),0.15),0)</x:f>
        <x:v>3728</x:v>
      </x:c>
      <x:c r="V527" t="n">
        <x:f>MAX(0,O527-SUM(R527:U527))</x:f>
        <x:v>828.3499999999985</x:v>
      </x:c>
      <x:c r="W527" t="n">
        <x:f>MIN(100,40+IF(O527&gt;0,20,0)+IF(M527&lt;&gt;"",20,0)+IF(AF527&lt;&gt;"",20,0))</x:f>
        <x:v>100</x:v>
      </x:c>
      <x:c r="X527" t="str">
        <x:v>Placed on exact national road host link</x:v>
      </x:c>
      <x:c r="Y527" t="str">
        <x:v>Paved</x:v>
      </x:c>
      <x:c r="Z527" t="str">
        <x:v>M</x:v>
      </x:c>
      <x:c r="AA527" t="str">
        <x:v>Not available in governed source</x:v>
      </x:c>
      <x:c r="AB527" t="str">
        <x:v>Not available in governed source</x:v>
      </x:c>
      <x:c r="AC527" t="str">
        <x:v>FY2025/26</x:v>
      </x:c>
      <x:c r="AD527" t="str">
        <x:v>Modelled</x:v>
      </x:c>
      <x:c r="AE527" t="str">
        <x:v>2026 bridge AADT rebuilt from host-link traffic history, annual collection-link history, same-road corridor history and spatial count-station influence. Vehicle-class values are assigned from functional-class shares.</x:v>
      </x:c>
      <x:c r="AF527" t="str">
        <x:v>Placed on exact national road host link</x:v>
      </x:c>
    </x:row>
    <x:row r="528" ht="15" hidden="0" customHeight="1">
      <x:c r="A528" t="str">
        <x:v>bridge-527</x:v>
      </x:c>
      <x:c r="B528" t="str">
        <x:v>B350</x:v>
      </x:c>
      <x:c r="C528" t="str">
        <x:v>Busega</x:v>
      </x:c>
      <x:c r="D528" t="str">
        <x:v>M3_Link01</x:v>
      </x:c>
      <x:c r="E528" t="str">
        <x:v>Kampala - Entebbe Expressway</x:v>
      </x:c>
      <x:c r="F528" t="str">
        <x:v>M</x:v>
      </x:c>
      <x:c r="G528" t="str">
        <x:v>Central</x:v>
      </x:c>
      <x:c r="H528" t="str">
        <x:v>Kampala</x:v>
      </x:c>
      <x:c r="I528" t="str">
        <x:v>Road Over Road</x:v>
      </x:c>
      <x:c r="J528" t="str">
        <x:v>Satisfactory</x:v>
      </x:c>
      <x:c r="K528" t="n">
        <x:v>32.5146</x:v>
      </x:c>
      <x:c r="L528" t="n">
        <x:v>0.3146</x:v>
      </x:c>
      <x:c r="M528" t="n">
        <x:v>32.517018</x:v>
      </x:c>
      <x:c r="N528" t="n">
        <x:v>0.312877</x:v>
      </x:c>
      <x:c r="O528" t="n">
        <x:v>20711.35</x:v>
      </x:c>
      <x:c r="P528" t="n">
        <x:f>IFERROR(INDEX(Assumptions!$B$9:$B$13,MATCH(F528,Assumptions!$A$9:$A$13,0)),0.15)</x:f>
        <x:v>0.08</x:v>
      </x:c>
      <x:c r="Q528" t="n">
        <x:f>ROUND(O528*(1-P528),0)</x:f>
        <x:v>19054</x:v>
      </x:c>
      <x:c r="R528" t="n">
        <x:f>ROUND(O528*P528,0)</x:f>
        <x:v>1657</x:v>
      </x:c>
      <x:c r="S528" t="n">
        <x:f>ROUND(O528*IFERROR(INDEX(Assumptions!$C$9:$C$13,MATCH(F528,Assumptions!$A$9:$A$13,0)),0.55),0)</x:f>
        <x:v>12841</x:v>
      </x:c>
      <x:c r="T528" t="n">
        <x:f>ROUND(O528*IFERROR(INDEX(Assumptions!$D$9:$D$13,MATCH(F528,Assumptions!$A$9:$A$13,0)),0.06),0)</x:f>
        <x:v>1657</x:v>
      </x:c>
      <x:c r="U528" t="n">
        <x:f>ROUND(O528*IFERROR(INDEX(Assumptions!$E$9:$E$13,MATCH(F528,Assumptions!$A$9:$A$13,0)),0.15),0)</x:f>
        <x:v>3728</x:v>
      </x:c>
      <x:c r="V528" t="n">
        <x:f>MAX(0,O528-SUM(R528:U528))</x:f>
        <x:v>828.3499999999985</x:v>
      </x:c>
      <x:c r="W528" t="n">
        <x:f>MIN(100,40+IF(O528&gt;0,20,0)+IF(M528&lt;&gt;"",20,0)+IF(AF528&lt;&gt;"",20,0))</x:f>
        <x:v>100</x:v>
      </x:c>
      <x:c r="X528" t="str">
        <x:v>Placed on exact national road host link</x:v>
      </x:c>
      <x:c r="Y528" t="str">
        <x:v>Paved</x:v>
      </x:c>
      <x:c r="Z528" t="str">
        <x:v>M</x:v>
      </x:c>
      <x:c r="AA528" t="str">
        <x:v>Not available in governed source</x:v>
      </x:c>
      <x:c r="AB528" t="str">
        <x:v>Not available in governed source</x:v>
      </x:c>
      <x:c r="AC528" t="str">
        <x:v>FY2025/26</x:v>
      </x:c>
      <x:c r="AD528" t="str">
        <x:v>Modelled</x:v>
      </x:c>
      <x:c r="AE528" t="str">
        <x:v>2026 bridge AADT rebuilt from host-link traffic history, annual collection-link history, same-road corridor history and spatial count-station influence. Vehicle-class values are assigned from functional-class shares.</x:v>
      </x:c>
      <x:c r="AF528" t="str">
        <x:v>Placed on exact national road host link</x:v>
      </x:c>
    </x:row>
    <x:row r="529" ht="15" hidden="0" customHeight="1">
      <x:c r="A529" t="str">
        <x:v>bridge-528</x:v>
      </x:c>
      <x:c r="B529" t="str">
        <x:v>B351</x:v>
      </x:c>
      <x:c r="C529" t="str">
        <x:v>KEE B1</x:v>
      </x:c>
      <x:c r="D529" t="str">
        <x:v>M3_Link01</x:v>
      </x:c>
      <x:c r="E529" t="str">
        <x:v>Kampala - Entebbe Expressway</x:v>
      </x:c>
      <x:c r="F529" t="str">
        <x:v>M</x:v>
      </x:c>
      <x:c r="G529" t="str">
        <x:v>Central</x:v>
      </x:c>
      <x:c r="H529" t="str">
        <x:v>Kampala</x:v>
      </x:c>
      <x:c r="I529" t="str">
        <x:v>Road Over Road</x:v>
      </x:c>
      <x:c r="J529" t="str">
        <x:v>Satisfactory</x:v>
      </x:c>
      <x:c r="K529" t="n">
        <x:v>32.5126</x:v>
      </x:c>
      <x:c r="L529" t="n">
        <x:v>0.3033</x:v>
      </x:c>
      <x:c r="M529" t="n">
        <x:v>32.512642</x:v>
      </x:c>
      <x:c r="N529" t="n">
        <x:v>0.303293</x:v>
      </x:c>
      <x:c r="O529" t="n">
        <x:v>20711.35</x:v>
      </x:c>
      <x:c r="P529" t="n">
        <x:f>IFERROR(INDEX(Assumptions!$B$9:$B$13,MATCH(F529,Assumptions!$A$9:$A$13,0)),0.15)</x:f>
        <x:v>0.08</x:v>
      </x:c>
      <x:c r="Q529" t="n">
        <x:f>ROUND(O529*(1-P529),0)</x:f>
        <x:v>19054</x:v>
      </x:c>
      <x:c r="R529" t="n">
        <x:f>ROUND(O529*P529,0)</x:f>
        <x:v>1657</x:v>
      </x:c>
      <x:c r="S529" t="n">
        <x:f>ROUND(O529*IFERROR(INDEX(Assumptions!$C$9:$C$13,MATCH(F529,Assumptions!$A$9:$A$13,0)),0.55),0)</x:f>
        <x:v>12841</x:v>
      </x:c>
      <x:c r="T529" t="n">
        <x:f>ROUND(O529*IFERROR(INDEX(Assumptions!$D$9:$D$13,MATCH(F529,Assumptions!$A$9:$A$13,0)),0.06),0)</x:f>
        <x:v>1657</x:v>
      </x:c>
      <x:c r="U529" t="n">
        <x:f>ROUND(O529*IFERROR(INDEX(Assumptions!$E$9:$E$13,MATCH(F529,Assumptions!$A$9:$A$13,0)),0.15),0)</x:f>
        <x:v>3728</x:v>
      </x:c>
      <x:c r="V529" t="n">
        <x:f>MAX(0,O529-SUM(R529:U529))</x:f>
        <x:v>828.3499999999985</x:v>
      </x:c>
      <x:c r="W529" t="n">
        <x:f>MIN(100,40+IF(O529&gt;0,20,0)+IF(M529&lt;&gt;"",20,0)+IF(AF529&lt;&gt;"",20,0))</x:f>
        <x:v>100</x:v>
      </x:c>
      <x:c r="X529" t="str">
        <x:v>Placed on exact national road host link</x:v>
      </x:c>
      <x:c r="Y529" t="str">
        <x:v>Paved</x:v>
      </x:c>
      <x:c r="Z529" t="str">
        <x:v>M</x:v>
      </x:c>
      <x:c r="AA529" t="str">
        <x:v>Not available in governed source</x:v>
      </x:c>
      <x:c r="AB529" t="str">
        <x:v>Not available in governed source</x:v>
      </x:c>
      <x:c r="AC529" t="str">
        <x:v>FY2025/26</x:v>
      </x:c>
      <x:c r="AD529" t="str">
        <x:v>Modelled</x:v>
      </x:c>
      <x:c r="AE529" t="str">
        <x:v>2026 bridge AADT rebuilt from host-link traffic history, annual collection-link history, same-road corridor history and spatial count-station influence. Vehicle-class values are assigned from functional-class shares.</x:v>
      </x:c>
      <x:c r="AF529" t="str">
        <x:v>Placed on exact national road host link</x:v>
      </x:c>
    </x:row>
    <x:row r="530" ht="15" hidden="0" customHeight="1">
      <x:c r="A530" t="str">
        <x:v>bridge-529</x:v>
      </x:c>
      <x:c r="B530" t="str">
        <x:v>B353</x:v>
      </x:c>
      <x:c r="C530" t="str">
        <x:v>KEE B12</x:v>
      </x:c>
      <x:c r="D530" t="str">
        <x:v>M3_Link01</x:v>
      </x:c>
      <x:c r="E530" t="str">
        <x:v>Kampala - Entebbe Expressway</x:v>
      </x:c>
      <x:c r="F530" t="str">
        <x:v>M</x:v>
      </x:c>
      <x:c r="G530" t="str">
        <x:v>Central</x:v>
      </x:c>
      <x:c r="H530" t="str">
        <x:v>Kampala</x:v>
      </x:c>
      <x:c r="I530" t="str">
        <x:v>Road Over Road</x:v>
      </x:c>
      <x:c r="J530" t="str">
        <x:v>Satisfactory</x:v>
      </x:c>
      <x:c r="K530" t="n">
        <x:v>32.5126</x:v>
      </x:c>
      <x:c r="L530" t="n">
        <x:v>0.3033</x:v>
      </x:c>
      <x:c r="M530" t="n">
        <x:v>32.512642</x:v>
      </x:c>
      <x:c r="N530" t="n">
        <x:v>0.303293</x:v>
      </x:c>
      <x:c r="O530" t="n">
        <x:v>20711.35</x:v>
      </x:c>
      <x:c r="P530" t="n">
        <x:f>IFERROR(INDEX(Assumptions!$B$9:$B$13,MATCH(F530,Assumptions!$A$9:$A$13,0)),0.15)</x:f>
        <x:v>0.08</x:v>
      </x:c>
      <x:c r="Q530" t="n">
        <x:f>ROUND(O530*(1-P530),0)</x:f>
        <x:v>19054</x:v>
      </x:c>
      <x:c r="R530" t="n">
        <x:f>ROUND(O530*P530,0)</x:f>
        <x:v>1657</x:v>
      </x:c>
      <x:c r="S530" t="n">
        <x:f>ROUND(O530*IFERROR(INDEX(Assumptions!$C$9:$C$13,MATCH(F530,Assumptions!$A$9:$A$13,0)),0.55),0)</x:f>
        <x:v>12841</x:v>
      </x:c>
      <x:c r="T530" t="n">
        <x:f>ROUND(O530*IFERROR(INDEX(Assumptions!$D$9:$D$13,MATCH(F530,Assumptions!$A$9:$A$13,0)),0.06),0)</x:f>
        <x:v>1657</x:v>
      </x:c>
      <x:c r="U530" t="n">
        <x:f>ROUND(O530*IFERROR(INDEX(Assumptions!$E$9:$E$13,MATCH(F530,Assumptions!$A$9:$A$13,0)),0.15),0)</x:f>
        <x:v>3728</x:v>
      </x:c>
      <x:c r="V530" t="n">
        <x:f>MAX(0,O530-SUM(R530:U530))</x:f>
        <x:v>828.3499999999985</x:v>
      </x:c>
      <x:c r="W530" t="n">
        <x:f>MIN(100,40+IF(O530&gt;0,20,0)+IF(M530&lt;&gt;"",20,0)+IF(AF530&lt;&gt;"",20,0))</x:f>
        <x:v>100</x:v>
      </x:c>
      <x:c r="X530" t="str">
        <x:v>Placed on exact national road host link</x:v>
      </x:c>
      <x:c r="Y530" t="str">
        <x:v>Paved</x:v>
      </x:c>
      <x:c r="Z530" t="str">
        <x:v>M</x:v>
      </x:c>
      <x:c r="AA530" t="str">
        <x:v>Not available in governed source</x:v>
      </x:c>
      <x:c r="AB530" t="str">
        <x:v>Not available in governed source</x:v>
      </x:c>
      <x:c r="AC530" t="str">
        <x:v>FY2025/26</x:v>
      </x:c>
      <x:c r="AD530" t="str">
        <x:v>Modelled</x:v>
      </x:c>
      <x:c r="AE530" t="str">
        <x:v>2026 bridge AADT rebuilt from host-link traffic history, annual collection-link history, same-road corridor history and spatial count-station influence. Vehicle-class values are assigned from functional-class shares.</x:v>
      </x:c>
      <x:c r="AF530" t="str">
        <x:v>Placed on exact national road host link</x:v>
      </x:c>
    </x:row>
    <x:row r="531" ht="15" hidden="0" customHeight="1">
      <x:c r="A531" t="str">
        <x:v>bridge-530</x:v>
      </x:c>
      <x:c r="B531" t="str">
        <x:v>B358</x:v>
      </x:c>
      <x:c r="C531" t="str">
        <x:v>KEE B2</x:v>
      </x:c>
      <x:c r="D531" t="str">
        <x:v>M3_Link01</x:v>
      </x:c>
      <x:c r="E531" t="str">
        <x:v>Kampala - Entebbe Expressway</x:v>
      </x:c>
      <x:c r="F531" t="str">
        <x:v>M</x:v>
      </x:c>
      <x:c r="G531" t="str">
        <x:v>Central</x:v>
      </x:c>
      <x:c r="H531" t="str">
        <x:v>Kampala</x:v>
      </x:c>
      <x:c r="I531" t="str">
        <x:v>Road Over Road</x:v>
      </x:c>
      <x:c r="J531" t="str">
        <x:v>Satisfactory</x:v>
      </x:c>
      <x:c r="K531" t="n">
        <x:v>32.5126</x:v>
      </x:c>
      <x:c r="L531" t="n">
        <x:v>0.2999</x:v>
      </x:c>
      <x:c r="M531" t="n">
        <x:v>32.512358</x:v>
      </x:c>
      <x:c r="N531" t="n">
        <x:v>0.299916</x:v>
      </x:c>
      <x:c r="O531" t="n">
        <x:v>20711.35</x:v>
      </x:c>
      <x:c r="P531" t="n">
        <x:f>IFERROR(INDEX(Assumptions!$B$9:$B$13,MATCH(F531,Assumptions!$A$9:$A$13,0)),0.15)</x:f>
        <x:v>0.08</x:v>
      </x:c>
      <x:c r="Q531" t="n">
        <x:f>ROUND(O531*(1-P531),0)</x:f>
        <x:v>19054</x:v>
      </x:c>
      <x:c r="R531" t="n">
        <x:f>ROUND(O531*P531,0)</x:f>
        <x:v>1657</x:v>
      </x:c>
      <x:c r="S531" t="n">
        <x:f>ROUND(O531*IFERROR(INDEX(Assumptions!$C$9:$C$13,MATCH(F531,Assumptions!$A$9:$A$13,0)),0.55),0)</x:f>
        <x:v>12841</x:v>
      </x:c>
      <x:c r="T531" t="n">
        <x:f>ROUND(O531*IFERROR(INDEX(Assumptions!$D$9:$D$13,MATCH(F531,Assumptions!$A$9:$A$13,0)),0.06),0)</x:f>
        <x:v>1657</x:v>
      </x:c>
      <x:c r="U531" t="n">
        <x:f>ROUND(O531*IFERROR(INDEX(Assumptions!$E$9:$E$13,MATCH(F531,Assumptions!$A$9:$A$13,0)),0.15),0)</x:f>
        <x:v>3728</x:v>
      </x:c>
      <x:c r="V531" t="n">
        <x:f>MAX(0,O531-SUM(R531:U531))</x:f>
        <x:v>828.3499999999985</x:v>
      </x:c>
      <x:c r="W531" t="n">
        <x:f>MIN(100,40+IF(O531&gt;0,20,0)+IF(M531&lt;&gt;"",20,0)+IF(AF531&lt;&gt;"",20,0))</x:f>
        <x:v>100</x:v>
      </x:c>
      <x:c r="X531" t="str">
        <x:v>Placed on exact national road host link</x:v>
      </x:c>
      <x:c r="Y531" t="str">
        <x:v>Paved</x:v>
      </x:c>
      <x:c r="Z531" t="str">
        <x:v>M</x:v>
      </x:c>
      <x:c r="AA531" t="str">
        <x:v>Not available in governed source</x:v>
      </x:c>
      <x:c r="AB531" t="str">
        <x:v>Not available in governed source</x:v>
      </x:c>
      <x:c r="AC531" t="str">
        <x:v>FY2025/26</x:v>
      </x:c>
      <x:c r="AD531" t="str">
        <x:v>Modelled</x:v>
      </x:c>
      <x:c r="AE531" t="str">
        <x:v>2026 bridge AADT rebuilt from host-link traffic history, annual collection-link history, same-road corridor history and spatial count-station influence. Vehicle-class values are assigned from functional-class shares.</x:v>
      </x:c>
      <x:c r="AF531" t="str">
        <x:v>Placed on exact national road host link</x:v>
      </x:c>
    </x:row>
    <x:row r="532" ht="15" hidden="0" customHeight="1">
      <x:c r="A532" t="str">
        <x:v>bridge-531</x:v>
      </x:c>
      <x:c r="B532" t="str">
        <x:v>B356</x:v>
      </x:c>
      <x:c r="C532" t="str">
        <x:v>KEE B22</x:v>
      </x:c>
      <x:c r="D532" t="str">
        <x:v>M3_Link01</x:v>
      </x:c>
      <x:c r="E532" t="str">
        <x:v>Kampala - Entebbe Expressway</x:v>
      </x:c>
      <x:c r="F532" t="str">
        <x:v>M</x:v>
      </x:c>
      <x:c r="G532" t="str">
        <x:v>Central</x:v>
      </x:c>
      <x:c r="H532" t="str">
        <x:v>Kampala</x:v>
      </x:c>
      <x:c r="I532" t="str">
        <x:v>Road Over Road</x:v>
      </x:c>
      <x:c r="J532" t="str">
        <x:v>Satisfactory</x:v>
      </x:c>
      <x:c r="K532" t="n">
        <x:v>32.5126</x:v>
      </x:c>
      <x:c r="L532" t="n">
        <x:v>0.2999</x:v>
      </x:c>
      <x:c r="M532" t="n">
        <x:v>32.512358</x:v>
      </x:c>
      <x:c r="N532" t="n">
        <x:v>0.299916</x:v>
      </x:c>
      <x:c r="O532" t="n">
        <x:v>20711.35</x:v>
      </x:c>
      <x:c r="P532" t="n">
        <x:f>IFERROR(INDEX(Assumptions!$B$9:$B$13,MATCH(F532,Assumptions!$A$9:$A$13,0)),0.15)</x:f>
        <x:v>0.08</x:v>
      </x:c>
      <x:c r="Q532" t="n">
        <x:f>ROUND(O532*(1-P532),0)</x:f>
        <x:v>19054</x:v>
      </x:c>
      <x:c r="R532" t="n">
        <x:f>ROUND(O532*P532,0)</x:f>
        <x:v>1657</x:v>
      </x:c>
      <x:c r="S532" t="n">
        <x:f>ROUND(O532*IFERROR(INDEX(Assumptions!$C$9:$C$13,MATCH(F532,Assumptions!$A$9:$A$13,0)),0.55),0)</x:f>
        <x:v>12841</x:v>
      </x:c>
      <x:c r="T532" t="n">
        <x:f>ROUND(O532*IFERROR(INDEX(Assumptions!$D$9:$D$13,MATCH(F532,Assumptions!$A$9:$A$13,0)),0.06),0)</x:f>
        <x:v>1657</x:v>
      </x:c>
      <x:c r="U532" t="n">
        <x:f>ROUND(O532*IFERROR(INDEX(Assumptions!$E$9:$E$13,MATCH(F532,Assumptions!$A$9:$A$13,0)),0.15),0)</x:f>
        <x:v>3728</x:v>
      </x:c>
      <x:c r="V532" t="n">
        <x:f>MAX(0,O532-SUM(R532:U532))</x:f>
        <x:v>828.3499999999985</x:v>
      </x:c>
      <x:c r="W532" t="n">
        <x:f>MIN(100,40+IF(O532&gt;0,20,0)+IF(M532&lt;&gt;"",20,0)+IF(AF532&lt;&gt;"",20,0))</x:f>
        <x:v>100</x:v>
      </x:c>
      <x:c r="X532" t="str">
        <x:v>Placed on exact national road host link</x:v>
      </x:c>
      <x:c r="Y532" t="str">
        <x:v>Paved</x:v>
      </x:c>
      <x:c r="Z532" t="str">
        <x:v>M</x:v>
      </x:c>
      <x:c r="AA532" t="str">
        <x:v>Not available in governed source</x:v>
      </x:c>
      <x:c r="AB532" t="str">
        <x:v>Not available in governed source</x:v>
      </x:c>
      <x:c r="AC532" t="str">
        <x:v>FY2025/26</x:v>
      </x:c>
      <x:c r="AD532" t="str">
        <x:v>Modelled</x:v>
      </x:c>
      <x:c r="AE532" t="str">
        <x:v>2026 bridge AADT rebuilt from host-link traffic history, annual collection-link history, same-road corridor history and spatial count-station influence. Vehicle-class values are assigned from functional-class shares.</x:v>
      </x:c>
      <x:c r="AF532" t="str">
        <x:v>Placed on exact national road host link</x:v>
      </x:c>
    </x:row>
    <x:row r="533" ht="15" hidden="0" customHeight="1">
      <x:c r="A533" t="str">
        <x:v>bridge-532</x:v>
      </x:c>
      <x:c r="B533" t="str">
        <x:v>B371</x:v>
      </x:c>
      <x:c r="C533" t="str">
        <x:v>KEE B3 overpass</x:v>
      </x:c>
      <x:c r="D533" t="str">
        <x:v>M3_Link01</x:v>
      </x:c>
      <x:c r="E533" t="str">
        <x:v>Kampala - Entebbe Expressway</x:v>
      </x:c>
      <x:c r="F533" t="str">
        <x:v>M</x:v>
      </x:c>
      <x:c r="G533" t="str">
        <x:v>Central</x:v>
      </x:c>
      <x:c r="H533" t="str">
        <x:v>Kampala</x:v>
      </x:c>
      <x:c r="I533" t="str">
        <x:v>Road Over Road</x:v>
      </x:c>
      <x:c r="J533" t="str">
        <x:v>Satisfactory</x:v>
      </x:c>
      <x:c r="K533" t="n">
        <x:v>32.5131</x:v>
      </x:c>
      <x:c r="L533" t="n">
        <x:v>0.2817</x:v>
      </x:c>
      <x:c r="M533" t="n">
        <x:v>32.513887</x:v>
      </x:c>
      <x:c r="N533" t="n">
        <x:v>0.282134</x:v>
      </x:c>
      <x:c r="O533" t="n">
        <x:v>20711.35</x:v>
      </x:c>
      <x:c r="P533" t="n">
        <x:f>IFERROR(INDEX(Assumptions!$B$9:$B$13,MATCH(F533,Assumptions!$A$9:$A$13,0)),0.15)</x:f>
        <x:v>0.08</x:v>
      </x:c>
      <x:c r="Q533" t="n">
        <x:f>ROUND(O533*(1-P533),0)</x:f>
        <x:v>19054</x:v>
      </x:c>
      <x:c r="R533" t="n">
        <x:f>ROUND(O533*P533,0)</x:f>
        <x:v>1657</x:v>
      </x:c>
      <x:c r="S533" t="n">
        <x:f>ROUND(O533*IFERROR(INDEX(Assumptions!$C$9:$C$13,MATCH(F533,Assumptions!$A$9:$A$13,0)),0.55),0)</x:f>
        <x:v>12841</x:v>
      </x:c>
      <x:c r="T533" t="n">
        <x:f>ROUND(O533*IFERROR(INDEX(Assumptions!$D$9:$D$13,MATCH(F533,Assumptions!$A$9:$A$13,0)),0.06),0)</x:f>
        <x:v>1657</x:v>
      </x:c>
      <x:c r="U533" t="n">
        <x:f>ROUND(O533*IFERROR(INDEX(Assumptions!$E$9:$E$13,MATCH(F533,Assumptions!$A$9:$A$13,0)),0.15),0)</x:f>
        <x:v>3728</x:v>
      </x:c>
      <x:c r="V533" t="n">
        <x:f>MAX(0,O533-SUM(R533:U533))</x:f>
        <x:v>828.3499999999985</x:v>
      </x:c>
      <x:c r="W533" t="n">
        <x:f>MIN(100,40+IF(O533&gt;0,20,0)+IF(M533&lt;&gt;"",20,0)+IF(AF533&lt;&gt;"",20,0))</x:f>
        <x:v>100</x:v>
      </x:c>
      <x:c r="X533" t="str">
        <x:v>Placed on exact national road host link</x:v>
      </x:c>
      <x:c r="Y533" t="str">
        <x:v>Paved</x:v>
      </x:c>
      <x:c r="Z533" t="str">
        <x:v>M</x:v>
      </x:c>
      <x:c r="AA533" t="str">
        <x:v>Not available in governed source</x:v>
      </x:c>
      <x:c r="AB533" t="str">
        <x:v>Not available in governed source</x:v>
      </x:c>
      <x:c r="AC533" t="str">
        <x:v>FY2025/26</x:v>
      </x:c>
      <x:c r="AD533" t="str">
        <x:v>Modelled</x:v>
      </x:c>
      <x:c r="AE533" t="str">
        <x:v>2026 bridge AADT rebuilt from host-link traffic history, annual collection-link history, same-road corridor history and spatial count-station influence. Vehicle-class values are assigned from functional-class shares.</x:v>
      </x:c>
      <x:c r="AF533" t="str">
        <x:v>Placed on exact national road host link</x:v>
      </x:c>
    </x:row>
    <x:row r="534" ht="15" hidden="0" customHeight="1">
      <x:c r="A534" t="str">
        <x:v>bridge-533</x:v>
      </x:c>
      <x:c r="B534" t="str">
        <x:v>B374</x:v>
      </x:c>
      <x:c r="C534" t="str">
        <x:v>KEE B4 overpass</x:v>
      </x:c>
      <x:c r="D534" t="str">
        <x:v>M3_Link01</x:v>
      </x:c>
      <x:c r="E534" t="str">
        <x:v>Kampala - Entebbe Expressway</x:v>
      </x:c>
      <x:c r="F534" t="str">
        <x:v>M</x:v>
      </x:c>
      <x:c r="G534" t="str">
        <x:v>Central</x:v>
      </x:c>
      <x:c r="H534" t="str">
        <x:v>Kampala</x:v>
      </x:c>
      <x:c r="I534" t="str">
        <x:v>Road Over Road</x:v>
      </x:c>
      <x:c r="J534" t="str">
        <x:v>Satisfactory</x:v>
      </x:c>
      <x:c r="K534" t="n">
        <x:v>32.5157</x:v>
      </x:c>
      <x:c r="L534" t="n">
        <x:v>0.2781</x:v>
      </x:c>
      <x:c r="M534" t="n">
        <x:v>32.516033</x:v>
      </x:c>
      <x:c r="N534" t="n">
        <x:v>0.278281</x:v>
      </x:c>
      <x:c r="O534" t="n">
        <x:v>20711.35</x:v>
      </x:c>
      <x:c r="P534" t="n">
        <x:f>IFERROR(INDEX(Assumptions!$B$9:$B$13,MATCH(F534,Assumptions!$A$9:$A$13,0)),0.15)</x:f>
        <x:v>0.08</x:v>
      </x:c>
      <x:c r="Q534" t="n">
        <x:f>ROUND(O534*(1-P534),0)</x:f>
        <x:v>19054</x:v>
      </x:c>
      <x:c r="R534" t="n">
        <x:f>ROUND(O534*P534,0)</x:f>
        <x:v>1657</x:v>
      </x:c>
      <x:c r="S534" t="n">
        <x:f>ROUND(O534*IFERROR(INDEX(Assumptions!$C$9:$C$13,MATCH(F534,Assumptions!$A$9:$A$13,0)),0.55),0)</x:f>
        <x:v>12841</x:v>
      </x:c>
      <x:c r="T534" t="n">
        <x:f>ROUND(O534*IFERROR(INDEX(Assumptions!$D$9:$D$13,MATCH(F534,Assumptions!$A$9:$A$13,0)),0.06),0)</x:f>
        <x:v>1657</x:v>
      </x:c>
      <x:c r="U534" t="n">
        <x:f>ROUND(O534*IFERROR(INDEX(Assumptions!$E$9:$E$13,MATCH(F534,Assumptions!$A$9:$A$13,0)),0.15),0)</x:f>
        <x:v>3728</x:v>
      </x:c>
      <x:c r="V534" t="n">
        <x:f>MAX(0,O534-SUM(R534:U534))</x:f>
        <x:v>828.3499999999985</x:v>
      </x:c>
      <x:c r="W534" t="n">
        <x:f>MIN(100,40+IF(O534&gt;0,20,0)+IF(M534&lt;&gt;"",20,0)+IF(AF534&lt;&gt;"",20,0))</x:f>
        <x:v>100</x:v>
      </x:c>
      <x:c r="X534" t="str">
        <x:v>Placed on exact national road host link</x:v>
      </x:c>
      <x:c r="Y534" t="str">
        <x:v>Paved</x:v>
      </x:c>
      <x:c r="Z534" t="str">
        <x:v>M</x:v>
      </x:c>
      <x:c r="AA534" t="str">
        <x:v>Not available in governed source</x:v>
      </x:c>
      <x:c r="AB534" t="str">
        <x:v>Not available in governed source</x:v>
      </x:c>
      <x:c r="AC534" t="str">
        <x:v>FY2025/26</x:v>
      </x:c>
      <x:c r="AD534" t="str">
        <x:v>Modelled</x:v>
      </x:c>
      <x:c r="AE534" t="str">
        <x:v>2026 bridge AADT rebuilt from host-link traffic history, annual collection-link history, same-road corridor history and spatial count-station influence. Vehicle-class values are assigned from functional-class shares.</x:v>
      </x:c>
      <x:c r="AF534" t="str">
        <x:v>Placed on exact national road host link</x:v>
      </x:c>
    </x:row>
    <x:row r="535" ht="15" hidden="0" customHeight="1">
      <x:c r="A535" t="str">
        <x:v>bridge-534</x:v>
      </x:c>
      <x:c r="B535" t="str">
        <x:v>B377</x:v>
      </x:c>
      <x:c r="C535" t="str">
        <x:v>KEE B5</x:v>
      </x:c>
      <x:c r="D535" t="str">
        <x:v>M3_Link01</x:v>
      </x:c>
      <x:c r="E535" t="str">
        <x:v>Kampala - Entebbe Expressway</x:v>
      </x:c>
      <x:c r="F535" t="str">
        <x:v>M</x:v>
      </x:c>
      <x:c r="G535" t="str">
        <x:v>Central</x:v>
      </x:c>
      <x:c r="H535" t="str">
        <x:v>Kampala</x:v>
      </x:c>
      <x:c r="I535" t="str">
        <x:v>Road Over Road</x:v>
      </x:c>
      <x:c r="J535" t="str">
        <x:v>Satisfactory</x:v>
      </x:c>
      <x:c r="K535" t="n">
        <x:v>32.52</x:v>
      </x:c>
      <x:c r="L535" t="n">
        <x:v>0.271</x:v>
      </x:c>
      <x:c r="M535" t="n">
        <x:v>32.520068</x:v>
      </x:c>
      <x:c r="N535" t="n">
        <x:v>0.271037</x:v>
      </x:c>
      <x:c r="O535" t="n">
        <x:v>20711.35</x:v>
      </x:c>
      <x:c r="P535" t="n">
        <x:f>IFERROR(INDEX(Assumptions!$B$9:$B$13,MATCH(F535,Assumptions!$A$9:$A$13,0)),0.15)</x:f>
        <x:v>0.08</x:v>
      </x:c>
      <x:c r="Q535" t="n">
        <x:f>ROUND(O535*(1-P535),0)</x:f>
        <x:v>19054</x:v>
      </x:c>
      <x:c r="R535" t="n">
        <x:f>ROUND(O535*P535,0)</x:f>
        <x:v>1657</x:v>
      </x:c>
      <x:c r="S535" t="n">
        <x:f>ROUND(O535*IFERROR(INDEX(Assumptions!$C$9:$C$13,MATCH(F535,Assumptions!$A$9:$A$13,0)),0.55),0)</x:f>
        <x:v>12841</x:v>
      </x:c>
      <x:c r="T535" t="n">
        <x:f>ROUND(O535*IFERROR(INDEX(Assumptions!$D$9:$D$13,MATCH(F535,Assumptions!$A$9:$A$13,0)),0.06),0)</x:f>
        <x:v>1657</x:v>
      </x:c>
      <x:c r="U535" t="n">
        <x:f>ROUND(O535*IFERROR(INDEX(Assumptions!$E$9:$E$13,MATCH(F535,Assumptions!$A$9:$A$13,0)),0.15),0)</x:f>
        <x:v>3728</x:v>
      </x:c>
      <x:c r="V535" t="n">
        <x:f>MAX(0,O535-SUM(R535:U535))</x:f>
        <x:v>828.3499999999985</x:v>
      </x:c>
      <x:c r="W535" t="n">
        <x:f>MIN(100,40+IF(O535&gt;0,20,0)+IF(M535&lt;&gt;"",20,0)+IF(AF535&lt;&gt;"",20,0))</x:f>
        <x:v>100</x:v>
      </x:c>
      <x:c r="X535" t="str">
        <x:v>Placed on exact national road host link</x:v>
      </x:c>
      <x:c r="Y535" t="str">
        <x:v>Paved</x:v>
      </x:c>
      <x:c r="Z535" t="str">
        <x:v>M</x:v>
      </x:c>
      <x:c r="AA535" t="str">
        <x:v>Not available in governed source</x:v>
      </x:c>
      <x:c r="AB535" t="str">
        <x:v>Not available in governed source</x:v>
      </x:c>
      <x:c r="AC535" t="str">
        <x:v>FY2025/26</x:v>
      </x:c>
      <x:c r="AD535" t="str">
        <x:v>Modelled</x:v>
      </x:c>
      <x:c r="AE535" t="str">
        <x:v>2026 bridge AADT rebuilt from host-link traffic history, annual collection-link history, same-road corridor history and spatial count-station influence. Vehicle-class values are assigned from functional-class shares.</x:v>
      </x:c>
      <x:c r="AF535" t="str">
        <x:v>Placed on exact national road host link</x:v>
      </x:c>
    </x:row>
    <x:row r="536" ht="15" hidden="0" customHeight="1">
      <x:c r="A536" t="str">
        <x:v>bridge-535</x:v>
      </x:c>
      <x:c r="B536" t="str">
        <x:v>B226</x:v>
      </x:c>
      <x:c r="C536" t="str">
        <x:v>KEE B6 underpass</x:v>
      </x:c>
      <x:c r="D536" t="str">
        <x:v>M3_Link01</x:v>
      </x:c>
      <x:c r="E536" t="str">
        <x:v>Kampala - Entebbe Expressway</x:v>
      </x:c>
      <x:c r="F536" t="str">
        <x:v>M</x:v>
      </x:c>
      <x:c r="G536" t="str">
        <x:v>Central</x:v>
      </x:c>
      <x:c r="H536" t="str">
        <x:v>Kampala</x:v>
      </x:c>
      <x:c r="I536" t="str">
        <x:v>Road Underpass</x:v>
      </x:c>
      <x:c r="J536" t="str">
        <x:v>Satisfactory</x:v>
      </x:c>
      <x:c r="K536" t="n">
        <x:v>32.5208</x:v>
      </x:c>
      <x:c r="L536" t="n">
        <x:v>0.2664</x:v>
      </x:c>
      <x:c r="M536" t="n">
        <x:v>32.520594</x:v>
      </x:c>
      <x:c r="N536" t="n">
        <x:v>0.266383</x:v>
      </x:c>
      <x:c r="O536" t="n">
        <x:v>20711.35</x:v>
      </x:c>
      <x:c r="P536" t="n">
        <x:f>IFERROR(INDEX(Assumptions!$B$9:$B$13,MATCH(F536,Assumptions!$A$9:$A$13,0)),0.15)</x:f>
        <x:v>0.08</x:v>
      </x:c>
      <x:c r="Q536" t="n">
        <x:f>ROUND(O536*(1-P536),0)</x:f>
        <x:v>19054</x:v>
      </x:c>
      <x:c r="R536" t="n">
        <x:f>ROUND(O536*P536,0)</x:f>
        <x:v>1657</x:v>
      </x:c>
      <x:c r="S536" t="n">
        <x:f>ROUND(O536*IFERROR(INDEX(Assumptions!$C$9:$C$13,MATCH(F536,Assumptions!$A$9:$A$13,0)),0.55),0)</x:f>
        <x:v>12841</x:v>
      </x:c>
      <x:c r="T536" t="n">
        <x:f>ROUND(O536*IFERROR(INDEX(Assumptions!$D$9:$D$13,MATCH(F536,Assumptions!$A$9:$A$13,0)),0.06),0)</x:f>
        <x:v>1657</x:v>
      </x:c>
      <x:c r="U536" t="n">
        <x:f>ROUND(O536*IFERROR(INDEX(Assumptions!$E$9:$E$13,MATCH(F536,Assumptions!$A$9:$A$13,0)),0.15),0)</x:f>
        <x:v>3728</x:v>
      </x:c>
      <x:c r="V536" t="n">
        <x:f>MAX(0,O536-SUM(R536:U536))</x:f>
        <x:v>828.3499999999985</x:v>
      </x:c>
      <x:c r="W536" t="n">
        <x:f>MIN(100,40+IF(O536&gt;0,20,0)+IF(M536&lt;&gt;"",20,0)+IF(AF536&lt;&gt;"",20,0))</x:f>
        <x:v>100</x:v>
      </x:c>
      <x:c r="X536" t="str">
        <x:v>Placed on exact national road host link</x:v>
      </x:c>
      <x:c r="Y536" t="str">
        <x:v>Paved</x:v>
      </x:c>
      <x:c r="Z536" t="str">
        <x:v>M</x:v>
      </x:c>
      <x:c r="AA536" t="str">
        <x:v>Not available in governed source</x:v>
      </x:c>
      <x:c r="AB536" t="str">
        <x:v>Not available in governed source</x:v>
      </x:c>
      <x:c r="AC536" t="str">
        <x:v>FY2025/26</x:v>
      </x:c>
      <x:c r="AD536" t="str">
        <x:v>Modelled</x:v>
      </x:c>
      <x:c r="AE536" t="str">
        <x:v>2026 bridge AADT rebuilt from host-link traffic history, annual collection-link history, same-road corridor history and spatial count-station influence. Vehicle-class values are assigned from functional-class shares.</x:v>
      </x:c>
      <x:c r="AF536" t="str">
        <x:v>Placed on exact national road host link</x:v>
      </x:c>
    </x:row>
    <x:row r="537" ht="15" hidden="0" customHeight="1">
      <x:c r="A537" t="str">
        <x:v>bridge-536</x:v>
      </x:c>
      <x:c r="B537" t="str">
        <x:v>B636</x:v>
      </x:c>
      <x:c r="C537" t="str">
        <x:v>Paraa Bridge</x:v>
      </x:c>
      <x:c r="D537" t="str">
        <x:v>C626_Link01</x:v>
      </x:c>
      <x:c r="E537" t="str">
        <x:v>Park junction - Paraa</x:v>
      </x:c>
      <x:c r="F537" t="str">
        <x:v>C</x:v>
      </x:c>
      <x:c r="G537" t="str">
        <x:v>Western</x:v>
      </x:c>
      <x:c r="H537" t="str">
        <x:v>Masindi</x:v>
      </x:c>
      <x:c r="I537" t="str">
        <x:v>Park Junction Waterway</x:v>
      </x:c>
      <x:c r="J537" t="str">
        <x:v>Good</x:v>
      </x:c>
      <x:c r="K537" t="n">
        <x:v>31.5648</x:v>
      </x:c>
      <x:c r="L537" t="n">
        <x:v>2.2849</x:v>
      </x:c>
      <x:c r="M537" t="n">
        <x:v>31.56416</x:v>
      </x:c>
      <x:c r="N537" t="n">
        <x:v>2.28311</x:v>
      </x:c>
      <x:c r="O537" t="n">
        <x:v>722.92</x:v>
      </x:c>
      <x:c r="P537" t="n">
        <x:f>IFERROR(INDEX(Assumptions!$B$9:$B$13,MATCH(F537,Assumptions!$A$9:$A$13,0)),0.15)</x:f>
        <x:v>0.28</x:v>
      </x:c>
      <x:c r="Q537" t="n">
        <x:f>ROUND(O537*(1-P537),0)</x:f>
        <x:v>521</x:v>
      </x:c>
      <x:c r="R537" t="n">
        <x:f>ROUND(O537*P537,0)</x:f>
        <x:v>202</x:v>
      </x:c>
      <x:c r="S537" t="n">
        <x:f>ROUND(O537*IFERROR(INDEX(Assumptions!$C$9:$C$13,MATCH(F537,Assumptions!$A$9:$A$13,0)),0.55),0)</x:f>
        <x:v>361</x:v>
      </x:c>
      <x:c r="T537" t="n">
        <x:f>ROUND(O537*IFERROR(INDEX(Assumptions!$D$9:$D$13,MATCH(F537,Assumptions!$A$9:$A$13,0)),0.06),0)</x:f>
        <x:v>36</x:v>
      </x:c>
      <x:c r="U537" t="n">
        <x:f>ROUND(O537*IFERROR(INDEX(Assumptions!$E$9:$E$13,MATCH(F537,Assumptions!$A$9:$A$13,0)),0.15),0)</x:f>
        <x:v>80</x:v>
      </x:c>
      <x:c r="V537" t="n">
        <x:f>MAX(0,O537-SUM(R537:U537))</x:f>
        <x:v>43.91999999999996</x:v>
      </x:c>
      <x:c r="W537" t="n">
        <x:f>MIN(100,40+IF(O537&gt;0,20,0)+IF(M537&lt;&gt;"",20,0)+IF(AF537&lt;&gt;"",20,0))</x:f>
        <x:v>100</x:v>
      </x:c>
      <x:c r="X537" t="str">
        <x:v>Placed on exact national road host link</x:v>
      </x:c>
      <x:c r="Y537" t="str">
        <x:v>Paved</x:v>
      </x:c>
      <x:c r="Z537" t="str">
        <x:v>C</x:v>
      </x:c>
      <x:c r="AA537" t="str">
        <x:v>Not available in governed source</x:v>
      </x:c>
      <x:c r="AB537" t="str">
        <x:v>Not available in governed source</x:v>
      </x:c>
      <x:c r="AC537" t="str">
        <x:v>FY2025/26</x:v>
      </x:c>
      <x:c r="AD537" t="str">
        <x:v>Modelled</x:v>
      </x:c>
      <x:c r="AE537" t="str">
        <x:v>2026 bridge AADT rebuilt from host-link traffic history, annual collection-link history, same-road corridor history and spatial count-station influence. Vehicle-class values are assigned from functional-class shares.</x:v>
      </x:c>
      <x:c r="AF537" t="str">
        <x:v>Placed on exact national road host link</x:v>
      </x:c>
    </x:row>
    <x:row r="538" ht="15" hidden="0" customHeight="1">
      <x:c r="A538" t="str">
        <x:v>bridge-537</x:v>
      </x:c>
      <x:c r="B538" t="str">
        <x:v>B719</x:v>
      </x:c>
      <x:c r="C538" t="str">
        <x:v>Paraa Bridge 2</x:v>
      </x:c>
      <x:c r="D538" t="str">
        <x:v>C626_Link02</x:v>
      </x:c>
      <x:c r="E538" t="str">
        <x:v>Paraa - Packwach</x:v>
      </x:c>
      <x:c r="F538" t="str">
        <x:v>C</x:v>
      </x:c>
      <x:c r="G538" t="str">
        <x:v>Western</x:v>
      </x:c>
      <x:c r="H538" t="str">
        <x:v>Masindi</x:v>
      </x:c>
      <x:c r="I538" t="str">
        <x:v>Park Junction Waterway</x:v>
      </x:c>
      <x:c r="J538" t="str">
        <x:v>Good</x:v>
      </x:c>
      <x:c r="K538" t="n">
        <x:v>31.5648</x:v>
      </x:c>
      <x:c r="L538" t="n">
        <x:v>2.2849</x:v>
      </x:c>
      <x:c r="M538" t="n">
        <x:v>31.564473</x:v>
      </x:c>
      <x:c r="N538" t="n">
        <x:v>2.284958</x:v>
      </x:c>
      <x:c r="O538" t="n">
        <x:v>722.92</x:v>
      </x:c>
      <x:c r="P538" t="n">
        <x:f>IFERROR(INDEX(Assumptions!$B$9:$B$13,MATCH(F538,Assumptions!$A$9:$A$13,0)),0.15)</x:f>
        <x:v>0.28</x:v>
      </x:c>
      <x:c r="Q538" t="n">
        <x:f>ROUND(O538*(1-P538),0)</x:f>
        <x:v>521</x:v>
      </x:c>
      <x:c r="R538" t="n">
        <x:f>ROUND(O538*P538,0)</x:f>
        <x:v>202</x:v>
      </x:c>
      <x:c r="S538" t="n">
        <x:f>ROUND(O538*IFERROR(INDEX(Assumptions!$C$9:$C$13,MATCH(F538,Assumptions!$A$9:$A$13,0)),0.55),0)</x:f>
        <x:v>361</x:v>
      </x:c>
      <x:c r="T538" t="n">
        <x:f>ROUND(O538*IFERROR(INDEX(Assumptions!$D$9:$D$13,MATCH(F538,Assumptions!$A$9:$A$13,0)),0.06),0)</x:f>
        <x:v>36</x:v>
      </x:c>
      <x:c r="U538" t="n">
        <x:f>ROUND(O538*IFERROR(INDEX(Assumptions!$E$9:$E$13,MATCH(F538,Assumptions!$A$9:$A$13,0)),0.15),0)</x:f>
        <x:v>80</x:v>
      </x:c>
      <x:c r="V538" t="n">
        <x:f>MAX(0,O538-SUM(R538:U538))</x:f>
        <x:v>43.91999999999996</x:v>
      </x:c>
      <x:c r="W538" t="n">
        <x:f>MIN(100,40+IF(O538&gt;0,20,0)+IF(M538&lt;&gt;"",20,0)+IF(AF538&lt;&gt;"",20,0))</x:f>
        <x:v>100</x:v>
      </x:c>
      <x:c r="X538" t="str">
        <x:v>Placed on exact national road host link</x:v>
      </x:c>
      <x:c r="Y538" t="str">
        <x:v>Paved</x:v>
      </x:c>
      <x:c r="Z538" t="str">
        <x:v>C</x:v>
      </x:c>
      <x:c r="AA538" t="str">
        <x:v>Not available in governed source</x:v>
      </x:c>
      <x:c r="AB538" t="str">
        <x:v>Not available in governed source</x:v>
      </x:c>
      <x:c r="AC538" t="str">
        <x:v>FY2025/26</x:v>
      </x:c>
      <x:c r="AD538" t="str">
        <x:v>Modelled</x:v>
      </x:c>
      <x:c r="AE538" t="str">
        <x:v>2026 bridge AADT rebuilt from host-link traffic history, annual collection-link history, same-road corridor history and spatial count-station influence. Vehicle-class values are assigned from functional-class shares.</x:v>
      </x:c>
      <x:c r="AF538" t="str">
        <x:v>Placed on exact national road host link</x:v>
      </x:c>
    </x:row>
    <x:row r="539" ht="15" hidden="0" customHeight="1">
      <x:c r="A539" t="str">
        <x:v>bridge-538</x:v>
      </x:c>
      <x:c r="B539" t="str">
        <x:v>B640</x:v>
      </x:c>
      <x:c r="C539" t="str">
        <x:v>Sambia Bridge</x:v>
      </x:c>
      <x:c r="D539" t="str">
        <x:v>C626_Link02</x:v>
      </x:c>
      <x:c r="E539" t="str">
        <x:v>Paraa - Packwach</x:v>
      </x:c>
      <x:c r="F539" t="str">
        <x:v>C</x:v>
      </x:c>
      <x:c r="G539" t="str">
        <x:v>Western</x:v>
      </x:c>
      <x:c r="H539" t="str">
        <x:v>Masindi</x:v>
      </x:c>
      <x:c r="I539" t="str">
        <x:v>Masindi Waterway</x:v>
      </x:c>
      <x:c r="J539" t="str">
        <x:v>Good</x:v>
      </x:c>
      <x:c r="K539" t="n">
        <x:v>31.5648</x:v>
      </x:c>
      <x:c r="L539" t="n">
        <x:v>2.2849</x:v>
      </x:c>
      <x:c r="M539" t="n">
        <x:v>31.564473</x:v>
      </x:c>
      <x:c r="N539" t="n">
        <x:v>2.284958</x:v>
      </x:c>
      <x:c r="O539" t="n">
        <x:v>722.92</x:v>
      </x:c>
      <x:c r="P539" t="n">
        <x:f>IFERROR(INDEX(Assumptions!$B$9:$B$13,MATCH(F539,Assumptions!$A$9:$A$13,0)),0.15)</x:f>
        <x:v>0.28</x:v>
      </x:c>
      <x:c r="Q539" t="n">
        <x:f>ROUND(O539*(1-P539),0)</x:f>
        <x:v>521</x:v>
      </x:c>
      <x:c r="R539" t="n">
        <x:f>ROUND(O539*P539,0)</x:f>
        <x:v>202</x:v>
      </x:c>
      <x:c r="S539" t="n">
        <x:f>ROUND(O539*IFERROR(INDEX(Assumptions!$C$9:$C$13,MATCH(F539,Assumptions!$A$9:$A$13,0)),0.55),0)</x:f>
        <x:v>361</x:v>
      </x:c>
      <x:c r="T539" t="n">
        <x:f>ROUND(O539*IFERROR(INDEX(Assumptions!$D$9:$D$13,MATCH(F539,Assumptions!$A$9:$A$13,0)),0.06),0)</x:f>
        <x:v>36</x:v>
      </x:c>
      <x:c r="U539" t="n">
        <x:f>ROUND(O539*IFERROR(INDEX(Assumptions!$E$9:$E$13,MATCH(F539,Assumptions!$A$9:$A$13,0)),0.15),0)</x:f>
        <x:v>80</x:v>
      </x:c>
      <x:c r="V539" t="n">
        <x:f>MAX(0,O539-SUM(R539:U539))</x:f>
        <x:v>43.91999999999996</x:v>
      </x:c>
      <x:c r="W539" t="n">
        <x:f>MIN(100,40+IF(O539&gt;0,20,0)+IF(M539&lt;&gt;"",20,0)+IF(AF539&lt;&gt;"",20,0))</x:f>
        <x:v>100</x:v>
      </x:c>
      <x:c r="X539" t="str">
        <x:v>Placed on exact national road host link</x:v>
      </x:c>
      <x:c r="Y539" t="str">
        <x:v>Paved</x:v>
      </x:c>
      <x:c r="Z539" t="str">
        <x:v>C</x:v>
      </x:c>
      <x:c r="AA539" t="str">
        <x:v>Not available in governed source</x:v>
      </x:c>
      <x:c r="AB539" t="str">
        <x:v>Not available in governed source</x:v>
      </x:c>
      <x:c r="AC539" t="str">
        <x:v>FY2025/26</x:v>
      </x:c>
      <x:c r="AD539" t="str">
        <x:v>Modelled</x:v>
      </x:c>
      <x:c r="AE539" t="str">
        <x:v>2026 bridge AADT rebuilt from host-link traffic history, annual collection-link history, same-road corridor history and spatial count-station influence. Vehicle-class values are assigned from functional-class shares.</x:v>
      </x:c>
      <x:c r="AF539" t="str">
        <x:v>Placed on exact national road host link</x:v>
      </x:c>
    </x:row>
    <x:row r="540" ht="15" hidden="0" customHeight="1">
      <x:c r="A540" t="str">
        <x:v>bridge-539</x:v>
      </x:c>
      <x:c r="B540" t="str">
        <x:v>B641</x:v>
      </x:c>
      <x:c r="C540" t="str">
        <x:v>B3(K-P5)</x:v>
      </x:c>
      <x:c r="D540" t="str">
        <x:v>C626_Link02</x:v>
      </x:c>
      <x:c r="E540" t="str">
        <x:v>Paraa - Packwach</x:v>
      </x:c>
      <x:c r="F540" t="str">
        <x:v>C</x:v>
      </x:c>
      <x:c r="G540" t="str">
        <x:v>Western</x:v>
      </x:c>
      <x:c r="H540" t="str">
        <x:v>Masindi</x:v>
      </x:c>
      <x:c r="I540" t="str">
        <x:v>B3(K-P5) River</x:v>
      </x:c>
      <x:c r="J540" t="str">
        <x:v>Good</x:v>
      </x:c>
      <x:c r="K540" t="n">
        <x:v>31.5648</x:v>
      </x:c>
      <x:c r="L540" t="n">
        <x:v>2.2849</x:v>
      </x:c>
      <x:c r="M540" t="n">
        <x:v>31.564473</x:v>
      </x:c>
      <x:c r="N540" t="n">
        <x:v>2.284958</x:v>
      </x:c>
      <x:c r="O540" t="n">
        <x:v>722.92</x:v>
      </x:c>
      <x:c r="P540" t="n">
        <x:f>IFERROR(INDEX(Assumptions!$B$9:$B$13,MATCH(F540,Assumptions!$A$9:$A$13,0)),0.15)</x:f>
        <x:v>0.28</x:v>
      </x:c>
      <x:c r="Q540" t="n">
        <x:f>ROUND(O540*(1-P540),0)</x:f>
        <x:v>521</x:v>
      </x:c>
      <x:c r="R540" t="n">
        <x:f>ROUND(O540*P540,0)</x:f>
        <x:v>202</x:v>
      </x:c>
      <x:c r="S540" t="n">
        <x:f>ROUND(O540*IFERROR(INDEX(Assumptions!$C$9:$C$13,MATCH(F540,Assumptions!$A$9:$A$13,0)),0.55),0)</x:f>
        <x:v>361</x:v>
      </x:c>
      <x:c r="T540" t="n">
        <x:f>ROUND(O540*IFERROR(INDEX(Assumptions!$D$9:$D$13,MATCH(F540,Assumptions!$A$9:$A$13,0)),0.06),0)</x:f>
        <x:v>36</x:v>
      </x:c>
      <x:c r="U540" t="n">
        <x:f>ROUND(O540*IFERROR(INDEX(Assumptions!$E$9:$E$13,MATCH(F540,Assumptions!$A$9:$A$13,0)),0.15),0)</x:f>
        <x:v>80</x:v>
      </x:c>
      <x:c r="V540" t="n">
        <x:f>MAX(0,O540-SUM(R540:U540))</x:f>
        <x:v>43.91999999999996</x:v>
      </x:c>
      <x:c r="W540" t="n">
        <x:f>MIN(100,40+IF(O540&gt;0,20,0)+IF(M540&lt;&gt;"",20,0)+IF(AF540&lt;&gt;"",20,0))</x:f>
        <x:v>100</x:v>
      </x:c>
      <x:c r="X540" t="str">
        <x:v>Placed on exact national road host link</x:v>
      </x:c>
      <x:c r="Y540" t="str">
        <x:v>Paved</x:v>
      </x:c>
      <x:c r="Z540" t="str">
        <x:v>C</x:v>
      </x:c>
      <x:c r="AA540" t="str">
        <x:v>Not available in governed source</x:v>
      </x:c>
      <x:c r="AB540" t="str">
        <x:v>Not available in governed source</x:v>
      </x:c>
      <x:c r="AC540" t="str">
        <x:v>FY2025/26</x:v>
      </x:c>
      <x:c r="AD540" t="str">
        <x:v>Modelled</x:v>
      </x:c>
      <x:c r="AE540" t="str">
        <x:v>2026 bridge AADT rebuilt from host-link traffic history, annual collection-link history, same-road corridor history and spatial count-station influence. Vehicle-class values are assigned from functional-class shares.</x:v>
      </x:c>
      <x:c r="AF540" t="str">
        <x:v>Placed on exact national road host link</x:v>
      </x:c>
    </x:row>
    <x:row r="541" ht="15" hidden="0" customHeight="1">
      <x:c r="A541" t="str">
        <x:v>bridge-540</x:v>
      </x:c>
      <x:c r="B541" t="str">
        <x:v>B642</x:v>
      </x:c>
      <x:c r="C541" t="str">
        <x:v>B2(K-P5)</x:v>
      </x:c>
      <x:c r="D541" t="str">
        <x:v>C626_Link02</x:v>
      </x:c>
      <x:c r="E541" t="str">
        <x:v>Paraa - Packwach</x:v>
      </x:c>
      <x:c r="F541" t="str">
        <x:v>C</x:v>
      </x:c>
      <x:c r="G541" t="str">
        <x:v>Western</x:v>
      </x:c>
      <x:c r="H541" t="str">
        <x:v>Masindi</x:v>
      </x:c>
      <x:c r="I541" t="str">
        <x:v>B2(K-P5) River</x:v>
      </x:c>
      <x:c r="J541" t="str">
        <x:v>Good</x:v>
      </x:c>
      <x:c r="K541" t="n">
        <x:v>31.5648</x:v>
      </x:c>
      <x:c r="L541" t="n">
        <x:v>2.2849</x:v>
      </x:c>
      <x:c r="M541" t="n">
        <x:v>31.564473</x:v>
      </x:c>
      <x:c r="N541" t="n">
        <x:v>2.284958</x:v>
      </x:c>
      <x:c r="O541" t="n">
        <x:v>722.92</x:v>
      </x:c>
      <x:c r="P541" t="n">
        <x:f>IFERROR(INDEX(Assumptions!$B$9:$B$13,MATCH(F541,Assumptions!$A$9:$A$13,0)),0.15)</x:f>
        <x:v>0.28</x:v>
      </x:c>
      <x:c r="Q541" t="n">
        <x:f>ROUND(O541*(1-P541),0)</x:f>
        <x:v>521</x:v>
      </x:c>
      <x:c r="R541" t="n">
        <x:f>ROUND(O541*P541,0)</x:f>
        <x:v>202</x:v>
      </x:c>
      <x:c r="S541" t="n">
        <x:f>ROUND(O541*IFERROR(INDEX(Assumptions!$C$9:$C$13,MATCH(F541,Assumptions!$A$9:$A$13,0)),0.55),0)</x:f>
        <x:v>361</x:v>
      </x:c>
      <x:c r="T541" t="n">
        <x:f>ROUND(O541*IFERROR(INDEX(Assumptions!$D$9:$D$13,MATCH(F541,Assumptions!$A$9:$A$13,0)),0.06),0)</x:f>
        <x:v>36</x:v>
      </x:c>
      <x:c r="U541" t="n">
        <x:f>ROUND(O541*IFERROR(INDEX(Assumptions!$E$9:$E$13,MATCH(F541,Assumptions!$A$9:$A$13,0)),0.15),0)</x:f>
        <x:v>80</x:v>
      </x:c>
      <x:c r="V541" t="n">
        <x:f>MAX(0,O541-SUM(R541:U541))</x:f>
        <x:v>43.91999999999996</x:v>
      </x:c>
      <x:c r="W541" t="n">
        <x:f>MIN(100,40+IF(O541&gt;0,20,0)+IF(M541&lt;&gt;"",20,0)+IF(AF541&lt;&gt;"",20,0))</x:f>
        <x:v>100</x:v>
      </x:c>
      <x:c r="X541" t="str">
        <x:v>Placed on exact national road host link</x:v>
      </x:c>
      <x:c r="Y541" t="str">
        <x:v>Paved</x:v>
      </x:c>
      <x:c r="Z541" t="str">
        <x:v>C</x:v>
      </x:c>
      <x:c r="AA541" t="str">
        <x:v>Not available in governed source</x:v>
      </x:c>
      <x:c r="AB541" t="str">
        <x:v>Not available in governed source</x:v>
      </x:c>
      <x:c r="AC541" t="str">
        <x:v>FY2025/26</x:v>
      </x:c>
      <x:c r="AD541" t="str">
        <x:v>Modelled</x:v>
      </x:c>
      <x:c r="AE541" t="str">
        <x:v>2026 bridge AADT rebuilt from host-link traffic history, annual collection-link history, same-road corridor history and spatial count-station influence. Vehicle-class values are assigned from functional-class shares.</x:v>
      </x:c>
      <x:c r="AF541" t="str">
        <x:v>Placed on exact national road host link</x:v>
      </x:c>
    </x:row>
    <x:row r="542" ht="15" hidden="0" customHeight="1">
      <x:c r="A542" t="str">
        <x:v>bridge-541</x:v>
      </x:c>
      <x:c r="B542" t="str">
        <x:v>B643</x:v>
      </x:c>
      <x:c r="C542" t="str">
        <x:v>B1(K-P5)</x:v>
      </x:c>
      <x:c r="D542" t="str">
        <x:v>C626_Link02</x:v>
      </x:c>
      <x:c r="E542" t="str">
        <x:v>Paraa - Packwach</x:v>
      </x:c>
      <x:c r="F542" t="str">
        <x:v>C</x:v>
      </x:c>
      <x:c r="G542" t="str">
        <x:v>Western</x:v>
      </x:c>
      <x:c r="H542" t="str">
        <x:v>Masindi</x:v>
      </x:c>
      <x:c r="I542" t="str">
        <x:v>B1(K-P5) River</x:v>
      </x:c>
      <x:c r="J542" t="str">
        <x:v>Good</x:v>
      </x:c>
      <x:c r="K542" t="n">
        <x:v>31.5648</x:v>
      </x:c>
      <x:c r="L542" t="n">
        <x:v>2.2849</x:v>
      </x:c>
      <x:c r="M542" t="n">
        <x:v>31.564473</x:v>
      </x:c>
      <x:c r="N542" t="n">
        <x:v>2.284958</x:v>
      </x:c>
      <x:c r="O542" t="n">
        <x:v>722.92</x:v>
      </x:c>
      <x:c r="P542" t="n">
        <x:f>IFERROR(INDEX(Assumptions!$B$9:$B$13,MATCH(F542,Assumptions!$A$9:$A$13,0)),0.15)</x:f>
        <x:v>0.28</x:v>
      </x:c>
      <x:c r="Q542" t="n">
        <x:f>ROUND(O542*(1-P542),0)</x:f>
        <x:v>521</x:v>
      </x:c>
      <x:c r="R542" t="n">
        <x:f>ROUND(O542*P542,0)</x:f>
        <x:v>202</x:v>
      </x:c>
      <x:c r="S542" t="n">
        <x:f>ROUND(O542*IFERROR(INDEX(Assumptions!$C$9:$C$13,MATCH(F542,Assumptions!$A$9:$A$13,0)),0.55),0)</x:f>
        <x:v>361</x:v>
      </x:c>
      <x:c r="T542" t="n">
        <x:f>ROUND(O542*IFERROR(INDEX(Assumptions!$D$9:$D$13,MATCH(F542,Assumptions!$A$9:$A$13,0)),0.06),0)</x:f>
        <x:v>36</x:v>
      </x:c>
      <x:c r="U542" t="n">
        <x:f>ROUND(O542*IFERROR(INDEX(Assumptions!$E$9:$E$13,MATCH(F542,Assumptions!$A$9:$A$13,0)),0.15),0)</x:f>
        <x:v>80</x:v>
      </x:c>
      <x:c r="V542" t="n">
        <x:f>MAX(0,O542-SUM(R542:U542))</x:f>
        <x:v>43.91999999999996</x:v>
      </x:c>
      <x:c r="W542" t="n">
        <x:f>MIN(100,40+IF(O542&gt;0,20,0)+IF(M542&lt;&gt;"",20,0)+IF(AF542&lt;&gt;"",20,0))</x:f>
        <x:v>100</x:v>
      </x:c>
      <x:c r="X542" t="str">
        <x:v>Placed on exact national road host link</x:v>
      </x:c>
      <x:c r="Y542" t="str">
        <x:v>Paved</x:v>
      </x:c>
      <x:c r="Z542" t="str">
        <x:v>C</x:v>
      </x:c>
      <x:c r="AA542" t="str">
        <x:v>Not available in governed source</x:v>
      </x:c>
      <x:c r="AB542" t="str">
        <x:v>Not available in governed source</x:v>
      </x:c>
      <x:c r="AC542" t="str">
        <x:v>FY2025/26</x:v>
      </x:c>
      <x:c r="AD542" t="str">
        <x:v>Modelled</x:v>
      </x:c>
      <x:c r="AE542" t="str">
        <x:v>2026 bridge AADT rebuilt from host-link traffic history, annual collection-link history, same-road corridor history and spatial count-station influence. Vehicle-class values are assigned from functional-class shares.</x:v>
      </x:c>
      <x:c r="AF542" t="str">
        <x:v>Placed on exact national road host link</x:v>
      </x:c>
    </x:row>
    <x:row r="543" ht="15" hidden="0" customHeight="1">
      <x:c r="A543" t="str">
        <x:v>bridge-542</x:v>
      </x:c>
      <x:c r="B543" t="str">
        <x:v>B019</x:v>
      </x:c>
      <x:c r="C543" t="str">
        <x:v>Lopei Irish Crossing</x:v>
      </x:c>
      <x:c r="D543" t="str">
        <x:v>B301_Link01</x:v>
      </x:c>
      <x:c r="E543" t="str">
        <x:v>Ariamoi - Kaladonapal - Kaperimoru</x:v>
      </x:c>
      <x:c r="F543" t="str">
        <x:v>B</x:v>
      </x:c>
      <x:c r="G543" t="str">
        <x:v>North Eastern</x:v>
      </x:c>
      <x:c r="H543" t="str">
        <x:v>Kotido</x:v>
      </x:c>
      <x:c r="I543" t="str">
        <x:v>RIVER MUBUKU</x:v>
      </x:c>
      <x:c r="J543" t="str">
        <x:v>Marginal</x:v>
      </x:c>
      <x:c r="K543" t="n">
        <x:v>34.333321</x:v>
      </x:c>
      <x:c r="L543" t="n">
        <x:v>2.57954</x:v>
      </x:c>
      <x:c r="M543" t="n">
        <x:v>34.333296</x:v>
      </x:c>
      <x:c r="N543" t="n">
        <x:v>2.579508</x:v>
      </x:c>
      <x:c r="O543" t="n">
        <x:v>1147.52</x:v>
      </x:c>
      <x:c r="P543" t="n">
        <x:f>IFERROR(INDEX(Assumptions!$B$9:$B$13,MATCH(F543,Assumptions!$A$9:$A$13,0)),0.15)</x:f>
        <x:v>0.16</x:v>
      </x:c>
      <x:c r="Q543" t="n">
        <x:f>ROUND(O543*(1-P543),0)</x:f>
        <x:v>964</x:v>
      </x:c>
      <x:c r="R543" t="n">
        <x:f>ROUND(O543*P543,0)</x:f>
        <x:v>184</x:v>
      </x:c>
      <x:c r="S543" t="n">
        <x:f>ROUND(O543*IFERROR(INDEX(Assumptions!$C$9:$C$13,MATCH(F543,Assumptions!$A$9:$A$13,0)),0.55),0)</x:f>
        <x:v>643</x:v>
      </x:c>
      <x:c r="T543" t="n">
        <x:f>ROUND(O543*IFERROR(INDEX(Assumptions!$D$9:$D$13,MATCH(F543,Assumptions!$A$9:$A$13,0)),0.06),0)</x:f>
        <x:v>80</x:v>
      </x:c>
      <x:c r="U543" t="n">
        <x:f>ROUND(O543*IFERROR(INDEX(Assumptions!$E$9:$E$13,MATCH(F543,Assumptions!$A$9:$A$13,0)),0.15),0)</x:f>
        <x:v>184</x:v>
      </x:c>
      <x:c r="V543" t="n">
        <x:f>MAX(0,O543-SUM(R543:U543))</x:f>
        <x:v>56.51999999999998</x:v>
      </x:c>
      <x:c r="W543" t="n">
        <x:f>MIN(100,40+IF(O543&gt;0,20,0)+IF(M543&lt;&gt;"",20,0)+IF(AF543&lt;&gt;"",20,0))</x:f>
        <x:v>100</x:v>
      </x:c>
      <x:c r="X543" t="str">
        <x:v>Placed on exact national road host link</x:v>
      </x:c>
      <x:c r="Y543" t="str">
        <x:v>Unpaved</x:v>
      </x:c>
      <x:c r="Z543" t="str">
        <x:v>B</x:v>
      </x:c>
      <x:c r="AA543" t="str">
        <x:v>Not available in governed source</x:v>
      </x:c>
      <x:c r="AB543" t="str">
        <x:v>Not available in governed source</x:v>
      </x:c>
      <x:c r="AC543" t="str">
        <x:v>FY2025/26</x:v>
      </x:c>
      <x:c r="AD543" t="str">
        <x:v>Modelled</x:v>
      </x:c>
      <x:c r="AE543" t="str">
        <x:v>2026 bridge AADT rebuilt from host-link traffic history, annual collection-link history, same-road corridor history and spatial count-station influence. Vehicle-class values are assigned from functional-class shares.</x:v>
      </x:c>
      <x:c r="AF543" t="str">
        <x:v>Placed on exact national road host link</x:v>
      </x:c>
    </x:row>
    <x:row r="544" ht="15" hidden="0" customHeight="1">
      <x:c r="A544" t="str">
        <x:v>bridge-543</x:v>
      </x:c>
      <x:c r="B544" t="str">
        <x:v>B020</x:v>
      </x:c>
      <x:c r="C544" t="str">
        <x:v>Lopei Irish Crossing</x:v>
      </x:c>
      <x:c r="D544" t="str">
        <x:v>B301_Link01</x:v>
      </x:c>
      <x:c r="E544" t="str">
        <x:v>Ariamoi - Kaladonapal - Kaperimoru</x:v>
      </x:c>
      <x:c r="F544" t="str">
        <x:v>B</x:v>
      </x:c>
      <x:c r="G544" t="str">
        <x:v>North Eastern</x:v>
      </x:c>
      <x:c r="H544" t="str">
        <x:v>Kotido</x:v>
      </x:c>
      <x:c r="I544" t="str">
        <x:v>Lopei Irish Crossing Waterway</x:v>
      </x:c>
      <x:c r="J544" t="str">
        <x:v>Good</x:v>
      </x:c>
      <x:c r="K544" t="n">
        <x:v>34.3410835266113</x:v>
      </x:c>
      <x:c r="L544" t="n">
        <x:v>2.57268404960632</x:v>
      </x:c>
      <x:c r="M544" t="n">
        <x:v>34.3410835266113</x:v>
      </x:c>
      <x:c r="N544" t="n">
        <x:v>2.57268404960632</x:v>
      </x:c>
      <x:c r="O544" t="n">
        <x:v>0</x:v>
      </x:c>
      <x:c r="P544" t="n">
        <x:f>IFERROR(INDEX(Assumptions!$B$9:$B$13,MATCH(F544,Assumptions!$A$9:$A$13,0)),0.15)</x:f>
        <x:v>0.16</x:v>
      </x:c>
      <x:c r="Q544" t="n">
        <x:f>ROUND(O544*(1-P544),0)</x:f>
        <x:v>0</x:v>
      </x:c>
      <x:c r="R544" t="n">
        <x:f>ROUND(O544*P544,0)</x:f>
        <x:v>0</x:v>
      </x:c>
      <x:c r="S544" t="n">
        <x:f>ROUND(O544*IFERROR(INDEX(Assumptions!$C$9:$C$13,MATCH(F544,Assumptions!$A$9:$A$13,0)),0.55),0)</x:f>
        <x:v>0</x:v>
      </x:c>
      <x:c r="T544" t="n">
        <x:f>ROUND(O544*IFERROR(INDEX(Assumptions!$D$9:$D$13,MATCH(F544,Assumptions!$A$9:$A$13,0)),0.06),0)</x:f>
        <x:v>0</x:v>
      </x:c>
      <x:c r="U544" t="n">
        <x:f>ROUND(O544*IFERROR(INDEX(Assumptions!$E$9:$E$13,MATCH(F544,Assumptions!$A$9:$A$13,0)),0.15),0)</x:f>
        <x:v>0</x:v>
      </x:c>
      <x:c r="V544" t="n">
        <x:f>MAX(0,O544-SUM(R544:U544))</x:f>
        <x:v>0</x:v>
      </x:c>
      <x:c r="W544" t="n">
        <x:f>MIN(100,40+IF(O544&gt;0,20,0)+IF(M544&lt;&gt;"",20,0)+IF(AF544&lt;&gt;"",20,0))</x:f>
        <x:v>80</x:v>
      </x:c>
      <x:c r="X544" t="str">
        <x:v>manual</x:v>
      </x:c>
      <x:c r="Y544" t="str">
        <x:v>Unpaved</x:v>
      </x:c>
      <x:c r="Z544" t="str">
        <x:v>B</x:v>
      </x:c>
      <x:c r="AA544" t="str">
        <x:v>Not available in governed source</x:v>
      </x:c>
      <x:c r="AB544" t="str">
        <x:v>Not available in governed source</x:v>
      </x:c>
      <x:c r="AC544" t="str">
        <x:v>FY2025/26</x:v>
      </x:c>
      <x:c r="AD544" t="str">
        <x:v>Modelled</x:v>
      </x:c>
      <x:c r="AE544" t="str">
        <x:v>2026 bridge AADT rebuilt from host-link traffic history, annual collection-link history, same-road corridor history and spatial count-station influence. Vehicle-class values are assigned from functional-class shares.</x:v>
      </x:c>
      <x:c r="AF544" t="str">
        <x:v>manual</x:v>
      </x:c>
    </x:row>
    <x:row r="545" ht="15" hidden="0" customHeight="1">
      <x:c r="A545" t="str">
        <x:v>bridge-544</x:v>
      </x:c>
      <x:c r="B545" t="str">
        <x:v>B388</x:v>
      </x:c>
      <x:c r="C545" t="str">
        <x:v>Bunamubi Bridge</x:v>
      </x:c>
      <x:c r="D545" t="str">
        <x:v>C867_Link02</x:v>
      </x:c>
      <x:c r="E545" t="str">
        <x:v>Bubulo-Bududa Circle road</x:v>
      </x:c>
      <x:c r="F545" t="str">
        <x:v>C</x:v>
      </x:c>
      <x:c r="G545" t="str">
        <x:v>Eastern</x:v>
      </x:c>
      <x:c r="H545" t="str">
        <x:v>Mbale</x:v>
      </x:c>
      <x:c r="I545" t="str">
        <x:v>SEZIBWA</x:v>
      </x:c>
      <x:c r="J545" t="str">
        <x:v>Good</x:v>
      </x:c>
      <x:c r="K545" t="n">
        <x:v>34.371941</x:v>
      </x:c>
      <x:c r="L545" t="n">
        <x:v>1.0276</x:v>
      </x:c>
      <x:c r="M545" t="n">
        <x:v>34.339568</x:v>
      </x:c>
      <x:c r="N545" t="n">
        <x:v>1.002206</x:v>
      </x:c>
      <x:c r="O545" t="n">
        <x:v>1588.56</x:v>
      </x:c>
      <x:c r="P545" t="n">
        <x:f>IFERROR(INDEX(Assumptions!$B$9:$B$13,MATCH(F545,Assumptions!$A$9:$A$13,0)),0.15)</x:f>
        <x:v>0.28</x:v>
      </x:c>
      <x:c r="Q545" t="n">
        <x:f>ROUND(O545*(1-P545),0)</x:f>
        <x:v>1144</x:v>
      </x:c>
      <x:c r="R545" t="n">
        <x:f>ROUND(O545*P545,0)</x:f>
        <x:v>445</x:v>
      </x:c>
      <x:c r="S545" t="n">
        <x:f>ROUND(O545*IFERROR(INDEX(Assumptions!$C$9:$C$13,MATCH(F545,Assumptions!$A$9:$A$13,0)),0.55),0)</x:f>
        <x:v>794</x:v>
      </x:c>
      <x:c r="T545" t="n">
        <x:f>ROUND(O545*IFERROR(INDEX(Assumptions!$D$9:$D$13,MATCH(F545,Assumptions!$A$9:$A$13,0)),0.06),0)</x:f>
        <x:v>79</x:v>
      </x:c>
      <x:c r="U545" t="n">
        <x:f>ROUND(O545*IFERROR(INDEX(Assumptions!$E$9:$E$13,MATCH(F545,Assumptions!$A$9:$A$13,0)),0.15),0)</x:f>
        <x:v>175</x:v>
      </x:c>
      <x:c r="V545" t="n">
        <x:f>MAX(0,O545-SUM(R545:U545))</x:f>
        <x:v>95.55999999999995</x:v>
      </x:c>
      <x:c r="W545" t="n">
        <x:f>MIN(100,40+IF(O545&gt;0,20,0)+IF(M545&lt;&gt;"",20,0)+IF(AF545&lt;&gt;"",20,0))</x:f>
        <x:v>100</x:v>
      </x:c>
      <x:c r="X545" t="str">
        <x:v>Placed on exact national road host link</x:v>
      </x:c>
      <x:c r="Y545" t="str">
        <x:v>Unpaved</x:v>
      </x:c>
      <x:c r="Z545" t="str">
        <x:v>C</x:v>
      </x:c>
      <x:c r="AA545" t="str">
        <x:v>Not available in governed source</x:v>
      </x:c>
      <x:c r="AB545" t="str">
        <x:v>Not available in governed source</x:v>
      </x:c>
      <x:c r="AC545" t="str">
        <x:v>FY2025/26</x:v>
      </x:c>
      <x:c r="AD545" t="str">
        <x:v>Modelled</x:v>
      </x:c>
      <x:c r="AE545" t="str">
        <x:v>2026 bridge AADT rebuilt from host-link traffic history, annual collection-link history, same-road corridor history and spatial count-station influence. Vehicle-class values are assigned from functional-class shares.</x:v>
      </x:c>
      <x:c r="AF545" t="str">
        <x:v>Placed on exact national road host link</x:v>
      </x:c>
    </x:row>
    <x:row r="546" ht="15" hidden="0" customHeight="1">
      <x:c r="A546" t="str">
        <x:v>bridge-545</x:v>
      </x:c>
      <x:c r="B546" t="str">
        <x:v>B389</x:v>
      </x:c>
      <x:c r="C546" t="str">
        <x:v>Dopeth Irish Crossing</x:v>
      </x:c>
      <x:c r="D546" t="str">
        <x:v>C575_Link01</x:v>
      </x:c>
      <x:c r="E546" t="str">
        <x:v>Kibuku - Nyabushozi</x:v>
      </x:c>
      <x:c r="F546" t="str">
        <x:v>C</x:v>
      </x:c>
      <x:c r="G546" t="str">
        <x:v>Western</x:v>
      </x:c>
      <x:c r="H546" t="str">
        <x:v>Fort Portal</x:v>
      </x:c>
      <x:c r="I546" t="str">
        <x:v>Nile</x:v>
      </x:c>
      <x:c r="J546" t="str">
        <x:v>Good</x:v>
      </x:c>
      <x:c r="K546" t="n">
        <x:v>34.02877</x:v>
      </x:c>
      <x:c r="L546" t="n">
        <x:v>3.01139</x:v>
      </x:c>
      <x:c r="M546" t="n">
        <x:v>33.1855</x:v>
      </x:c>
      <x:c r="N546" t="n">
        <x:v>0.4439</x:v>
      </x:c>
      <x:c r="O546" t="n">
        <x:v>4005.53</x:v>
      </x:c>
      <x:c r="P546" t="n">
        <x:f>IFERROR(INDEX(Assumptions!$B$9:$B$13,MATCH(F546,Assumptions!$A$9:$A$13,0)),0.15)</x:f>
        <x:v>0.28</x:v>
      </x:c>
      <x:c r="Q546" t="n">
        <x:f>ROUND(O546*(1-P546),0)</x:f>
        <x:v>2884</x:v>
      </x:c>
      <x:c r="R546" t="n">
        <x:f>ROUND(O546*P546,0)</x:f>
        <x:v>1122</x:v>
      </x:c>
      <x:c r="S546" t="n">
        <x:f>ROUND(O546*IFERROR(INDEX(Assumptions!$C$9:$C$13,MATCH(F546,Assumptions!$A$9:$A$13,0)),0.55),0)</x:f>
        <x:v>2003</x:v>
      </x:c>
      <x:c r="T546" t="n">
        <x:f>ROUND(O546*IFERROR(INDEX(Assumptions!$D$9:$D$13,MATCH(F546,Assumptions!$A$9:$A$13,0)),0.06),0)</x:f>
        <x:v>200</x:v>
      </x:c>
      <x:c r="U546" t="n">
        <x:f>ROUND(O546*IFERROR(INDEX(Assumptions!$E$9:$E$13,MATCH(F546,Assumptions!$A$9:$A$13,0)),0.15),0)</x:f>
        <x:v>441</x:v>
      </x:c>
      <x:c r="V546" t="n">
        <x:f>MAX(0,O546-SUM(R546:U546))</x:f>
        <x:v>239.5300000000002</x:v>
      </x:c>
      <x:c r="W546" t="n">
        <x:f>MIN(100,40+IF(O546&gt;0,20,0)+IF(M546&lt;&gt;"",20,0)+IF(AF546&lt;&gt;"",20,0))</x:f>
        <x:v>100</x:v>
      </x:c>
      <x:c r="X546" t="str">
        <x:v>Placed on exact national road host link</x:v>
      </x:c>
      <x:c r="Y546" t="str">
        <x:v>Unpaved</x:v>
      </x:c>
      <x:c r="Z546" t="str">
        <x:v>C</x:v>
      </x:c>
      <x:c r="AA546" t="str">
        <x:v>Not available in governed source</x:v>
      </x:c>
      <x:c r="AB546" t="str">
        <x:v>Not available in governed source</x:v>
      </x:c>
      <x:c r="AC546" t="str">
        <x:v>FY2025/26</x:v>
      </x:c>
      <x:c r="AD546" t="str">
        <x:v>Modelled</x:v>
      </x:c>
      <x:c r="AE546" t="str">
        <x:v>2026 bridge AADT rebuilt from host-link traffic history, annual collection-link history, same-road corridor history and spatial count-station influence. Vehicle-class values are assigned from functional-class shares.</x:v>
      </x:c>
      <x:c r="AF546" t="str">
        <x:v>Placed on exact national road host link</x:v>
      </x:c>
    </x:row>
    <x:row r="547" ht="15" hidden="0" customHeight="1">
      <x:c r="A547" t="str">
        <x:v>bridge-546</x:v>
      </x:c>
      <x:c r="B547" t="str">
        <x:v>B753</x:v>
      </x:c>
      <x:c r="C547" t="str">
        <x:v>Agago Irish Crossing</x:v>
      </x:c>
      <x:c r="D547" t="str">
        <x:v>C677_Link02</x:v>
      </x:c>
      <x:c r="E547" t="str">
        <x:v>Kalongo - Kitgum Matidi</x:v>
      </x:c>
      <x:c r="F547" t="str">
        <x:v>C</x:v>
      </x:c>
      <x:c r="G547" t="str">
        <x:v>Northern</x:v>
      </x:c>
      <x:c r="H547" t="str">
        <x:v>Kitgum</x:v>
      </x:c>
      <x:c r="I547" t="str">
        <x:v>Agago Irish Crossing Waterway</x:v>
      </x:c>
      <x:c r="J547" t="str">
        <x:v>Good</x:v>
      </x:c>
      <x:c r="K547" t="n">
        <x:v>33.5476608276367</x:v>
      </x:c>
      <x:c r="L547" t="n">
        <x:v>2.72238993644714</x:v>
      </x:c>
      <x:c r="M547" t="n">
        <x:v>33.5476608276367</x:v>
      </x:c>
      <x:c r="N547" t="n">
        <x:v>2.72238993644714</x:v>
      </x:c>
      <x:c r="O547" t="n">
        <x:v>0</x:v>
      </x:c>
      <x:c r="P547" t="n">
        <x:f>IFERROR(INDEX(Assumptions!$B$9:$B$13,MATCH(F547,Assumptions!$A$9:$A$13,0)),0.15)</x:f>
        <x:v>0.28</x:v>
      </x:c>
      <x:c r="Q547" t="n">
        <x:f>ROUND(O547*(1-P547),0)</x:f>
        <x:v>0</x:v>
      </x:c>
      <x:c r="R547" t="n">
        <x:f>ROUND(O547*P547,0)</x:f>
        <x:v>0</x:v>
      </x:c>
      <x:c r="S547" t="n">
        <x:f>ROUND(O547*IFERROR(INDEX(Assumptions!$C$9:$C$13,MATCH(F547,Assumptions!$A$9:$A$13,0)),0.55),0)</x:f>
        <x:v>0</x:v>
      </x:c>
      <x:c r="T547" t="n">
        <x:f>ROUND(O547*IFERROR(INDEX(Assumptions!$D$9:$D$13,MATCH(F547,Assumptions!$A$9:$A$13,0)),0.06),0)</x:f>
        <x:v>0</x:v>
      </x:c>
      <x:c r="U547" t="n">
        <x:f>ROUND(O547*IFERROR(INDEX(Assumptions!$E$9:$E$13,MATCH(F547,Assumptions!$A$9:$A$13,0)),0.15),0)</x:f>
        <x:v>0</x:v>
      </x:c>
      <x:c r="V547" t="n">
        <x:f>MAX(0,O547-SUM(R547:U547))</x:f>
        <x:v>0</x:v>
      </x:c>
      <x:c r="W547" t="n">
        <x:f>MIN(100,40+IF(O547&gt;0,20,0)+IF(M547&lt;&gt;"",20,0)+IF(AF547&lt;&gt;"",20,0))</x:f>
        <x:v>80</x:v>
      </x:c>
      <x:c r="X547" t="str">
        <x:v>manual</x:v>
      </x:c>
      <x:c r="Y547" t="str">
        <x:v>Unpaved</x:v>
      </x:c>
      <x:c r="Z547" t="str">
        <x:v>C</x:v>
      </x:c>
      <x:c r="AA547" t="str">
        <x:v>Not available in governed source</x:v>
      </x:c>
      <x:c r="AB547" t="str">
        <x:v>Not available in governed source</x:v>
      </x:c>
      <x:c r="AC547" t="str">
        <x:v>FY2025/26</x:v>
      </x:c>
      <x:c r="AD547" t="str">
        <x:v>Modelled</x:v>
      </x:c>
      <x:c r="AE547" t="str">
        <x:v>2026 bridge AADT rebuilt from host-link traffic history, annual collection-link history, same-road corridor history and spatial count-station influence. Vehicle-class values are assigned from functional-class shares.</x:v>
      </x:c>
      <x:c r="AF547" t="str">
        <x:v>manual</x:v>
      </x:c>
    </x:row>
  </x:sheetData>
  <x:conditionalFormatting sqref="J2:J547">
    <x:cfRule type="containsText" dxfId="0" priority="1" operator="containsText" text="Critical"/>
    <x:cfRule type="containsText" dxfId="1" priority="2" operator="containsText" text="Poor"/>
    <x:cfRule type="containsText" dxfId="2" priority="3" operator="containsText" text="Marginal"/>
    <x:cfRule type="containsText" dxfId="3" priority="4" operator="containsText" text="Satisfactory"/>
    <x:cfRule type="containsText" dxfId="4" priority="5" operator="containsText" text="Good"/>
  </x:conditionalFormatting>
  <x:conditionalFormatting sqref="O2:O547">
    <x:cfRule type="dataBar" priority="6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7b8e7552-25ec-4bac-b128-d5feb137d8d6</x14:id>
        </x:ext>
      </x:extLst>
    </x:cfRule>
  </x:conditionalFormatting>
  <x:conditionalFormatting sqref="Q2:Q547">
    <x:cfRule type="dataBar" priority="7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f8ab7bca-db44-4870-b1cc-088609d57b99</x14:id>
        </x:ext>
      </x:extLst>
    </x:cfRule>
  </x:conditionalFormatting>
  <x:conditionalFormatting sqref="R2:R547">
    <x:cfRule type="dataBar" priority="8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3f689ed8-c98d-40ce-948c-c3f4595a2cec</x14:id>
        </x:ext>
      </x:extLst>
    </x:cfRule>
  </x:conditionalFormatting>
  <x:conditionalFormatting sqref="S2:S547">
    <x:cfRule type="dataBar" priority="9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049125cc-fd0f-4aa0-bc85-a5169ced02ed</x14:id>
        </x:ext>
      </x:extLst>
    </x:cfRule>
  </x:conditionalFormatting>
  <x:conditionalFormatting sqref="T2:T547">
    <x:cfRule type="dataBar" priority="10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87836491-c580-4d0f-ae50-f9907ea76943</x14:id>
        </x:ext>
      </x:extLst>
    </x:cfRule>
  </x:conditionalFormatting>
  <x:conditionalFormatting sqref="U2:U547">
    <x:cfRule type="dataBar" priority="1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cb932557-40b0-4226-ac1d-7794ad8539c3</x14:id>
        </x:ext>
      </x:extLst>
    </x:cfRule>
  </x:conditionalFormatting>
  <x:conditionalFormatting sqref="V2:V547">
    <x:cfRule type="dataBar" priority="1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0fc7204f-9305-4e71-8d2c-96c73efd81c2</x14:id>
        </x:ext>
      </x:extLst>
    </x:cfRule>
  </x:conditionalFormatting>
  <x:conditionalFormatting sqref="P2:P547">
    <x:cfRule type="dataBar" priority="13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4e27302e-11c3-4256-914c-d472160e545d</x14:id>
        </x:ext>
      </x:extLst>
    </x:cfRule>
  </x:conditionalFormatting>
  <x:conditionalFormatting sqref="W2:W547">
    <x:cfRule type="colorScale" priority="1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X2:X547">
    <x:cfRule type="containsText" dxfId="5" priority="15" operator="containsText" text="exact national road"/>
    <x:cfRule type="containsText" dxfId="6" priority="16" operator="containsText" text="review"/>
  </x:conditionalFormatting>
  <x:conditionalFormatting sqref="Y2:Y547">
    <x:cfRule type="containsText" dxfId="7" priority="17" operator="containsText" text="Paved"/>
    <x:cfRule type="containsText" dxfId="8" priority="18" operator="containsText" text="Unpaved"/>
  </x:conditionalFormatting>
  <x:conditionalFormatting sqref="AD2:AD547">
    <x:cfRule type="containsText" dxfId="9" priority="19" operator="containsText" text="Modelled"/>
  </x:conditionalFormatting>
  <x:conditionalFormatting sqref="A2:AF547">
    <x:cfRule type="containsErrors" dxfId="10" priority="20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7b8e7552-25ec-4bac-b128-d5feb137d8d6">
            <x14:dataBar gradient="1">
              <x14:cfvo type="min"/>
              <x14:cfvo type="max"/>
              <x14:fillColor rgb="FF2563EB"/>
            </x14:dataBar>
          </x14:cfRule>
          <xm:sqref>O2:O547</xm:sqref>
        </x14:conditionalFormatting>
        <x14:conditionalFormatting>
          <x14:cfRule type="dataBar" priority="7" id="f8ab7bca-db44-4870-b1cc-088609d57b99">
            <x14:dataBar gradient="1">
              <x14:cfvo type="min"/>
              <x14:cfvo type="max"/>
              <x14:fillColor rgb="FF2563EB"/>
            </x14:dataBar>
          </x14:cfRule>
          <xm:sqref>Q2:Q547</xm:sqref>
        </x14:conditionalFormatting>
        <x14:conditionalFormatting>
          <x14:cfRule type="dataBar" priority="8" id="3f689ed8-c98d-40ce-948c-c3f4595a2cec">
            <x14:dataBar gradient="1">
              <x14:cfvo type="min"/>
              <x14:cfvo type="max"/>
              <x14:fillColor rgb="FF2563EB"/>
            </x14:dataBar>
          </x14:cfRule>
          <xm:sqref>R2:R547</xm:sqref>
        </x14:conditionalFormatting>
        <x14:conditionalFormatting>
          <x14:cfRule type="dataBar" priority="9" id="049125cc-fd0f-4aa0-bc85-a5169ced02ed">
            <x14:dataBar gradient="1">
              <x14:cfvo type="min"/>
              <x14:cfvo type="max"/>
              <x14:fillColor rgb="FF2563EB"/>
            </x14:dataBar>
          </x14:cfRule>
          <xm:sqref>S2:S547</xm:sqref>
        </x14:conditionalFormatting>
        <x14:conditionalFormatting>
          <x14:cfRule type="dataBar" priority="10" id="87836491-c580-4d0f-ae50-f9907ea76943">
            <x14:dataBar gradient="1">
              <x14:cfvo type="min"/>
              <x14:cfvo type="max"/>
              <x14:fillColor rgb="FF2563EB"/>
            </x14:dataBar>
          </x14:cfRule>
          <xm:sqref>T2:T547</xm:sqref>
        </x14:conditionalFormatting>
        <x14:conditionalFormatting>
          <x14:cfRule type="dataBar" priority="11" id="cb932557-40b0-4226-ac1d-7794ad8539c3">
            <x14:dataBar gradient="1">
              <x14:cfvo type="min"/>
              <x14:cfvo type="max"/>
              <x14:fillColor rgb="FF2563EB"/>
            </x14:dataBar>
          </x14:cfRule>
          <xm:sqref>U2:U547</xm:sqref>
        </x14:conditionalFormatting>
        <x14:conditionalFormatting>
          <x14:cfRule type="dataBar" priority="12" id="0fc7204f-9305-4e71-8d2c-96c73efd81c2">
            <x14:dataBar gradient="1">
              <x14:cfvo type="min"/>
              <x14:cfvo type="max"/>
              <x14:fillColor rgb="FF2563EB"/>
            </x14:dataBar>
          </x14:cfRule>
          <xm:sqref>V2:V547</xm:sqref>
        </x14:conditionalFormatting>
        <x14:conditionalFormatting>
          <x14:cfRule type="dataBar" priority="13" id="4e27302e-11c3-4256-914c-d472160e545d">
            <x14:dataBar gradient="1">
              <x14:cfvo type="min"/>
              <x14:cfvo type="max"/>
              <x14:fillColor rgb="FF7C3AED"/>
            </x14:dataBar>
          </x14:cfRule>
          <xm:sqref>P2:P547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14.630000114440918" hidden="0" customWidth="1"/>
    <x:col min="4" max="4" width="7.880000114440918" hidden="0" customWidth="1"/>
    <x:col min="5" max="5" width="15" hidden="0" customWidth="1"/>
    <x:col min="6" max="6" width="9.5" hidden="0" customWidth="1"/>
  </x:cols>
  <x:sheetData>
    <x:row r="1" ht="15" hidden="0" customHeight="1">
      <x:c r="A1" t="str">
        <x:v>Formula assumptions</x:v>
      </x:c>
      <x:c r="B1" t="str"/>
      <x:c r="C1" t="str"/>
      <x:c r="D1" t="str"/>
      <x:c r="E1" t="str"/>
      <x:c r="F1" t="str"/>
    </x:row>
    <x:row r="2" ht="15" hidden="0" customHeight="1">
      <x:c r="A2" t="str"/>
      <x:c r="B2" t="str"/>
      <x:c r="C2" t="str"/>
      <x:c r="D2" t="str"/>
      <x:c r="E2" t="str"/>
      <x:c r="F2" t="str"/>
    </x:row>
    <x:row r="3" ht="15" hidden="0" customHeight="1">
      <x:c r="A3" t="str">
        <x:v>Default seasonal factor</x:v>
      </x:c>
      <x:c r="B3" t="n">
        <x:v>1</x:v>
      </x:c>
      <x:c r="C3" t="str"/>
      <x:c r="D3" t="str"/>
      <x:c r="E3" t="str"/>
      <x:c r="F3" t="str"/>
    </x:row>
    <x:row r="4" ht="15" hidden="0" customHeight="1">
      <x:c r="A4" t="str">
        <x:v>Default annual growth factor</x:v>
      </x:c>
      <x:c r="B4" t="n">
        <x:v>1</x:v>
      </x:c>
      <x:c r="C4" t="str"/>
      <x:c r="D4" t="str"/>
      <x:c r="E4" t="str"/>
      <x:c r="F4" t="str"/>
    </x:row>
    <x:row r="5" ht="15" hidden="0" customHeight="1">
      <x:c r="A5" t="str">
        <x:v>AADT status</x:v>
      </x:c>
      <x:c r="B5" t="str">
        <x:v>Modelled</x:v>
      </x:c>
      <x:c r="C5" t="str"/>
      <x:c r="D5" t="str"/>
      <x:c r="E5" t="str"/>
      <x:c r="F5" t="str"/>
    </x:row>
    <x:row r="6" ht="15" hidden="0" customHeight="1">
      <x:c r="A6" t="str">
        <x:v>AADT methodology</x:v>
      </x:c>
      <x:c r="B6" t="str">
        <x:v>2026 bridge AADT rebuilt from host-link traffic history, annual collection-link history, same-road corridor history and spatial count-station influence.</x:v>
      </x:c>
      <x:c r="C6" t="str"/>
      <x:c r="D6" t="str"/>
      <x:c r="E6" t="str"/>
      <x:c r="F6" t="str"/>
    </x:row>
    <x:row r="7" ht="15" hidden="0" customHeight="1">
      <x:c r="A7" t="str">
        <x:v>Vehicle-class status</x:v>
      </x:c>
      <x:c r="B7" t="str">
        <x:v>Assigned</x:v>
      </x:c>
      <x:c r="C7" t="str"/>
      <x:c r="D7" t="str"/>
      <x:c r="E7" t="str"/>
      <x:c r="F7" t="str"/>
    </x:row>
    <x:row r="8" ht="15" hidden="0" customHeight="1">
      <x:c r="A8" t="str">
        <x:v>Vehicle-class methodology</x:v>
      </x:c>
      <x:c r="B8" t="str">
        <x:v>Functional-class shares below are applied to each bridge AADT. Results are not direct counts at every bridge.</x:v>
      </x:c>
      <x:c r="C8" t="str"/>
      <x:c r="D8" t="str"/>
      <x:c r="E8" t="str"/>
      <x:c r="F8" t="str"/>
    </x:row>
    <x:row r="9" ht="15" hidden="0" customHeight="1">
      <x:c r="A9" t="str">
        <x:v>Road Class</x:v>
      </x:c>
      <x:c r="B9" t="str">
        <x:v>Motorcycle Share</x:v>
      </x:c>
      <x:c r="C9" t="str">
        <x:v>Light Vehicle Share</x:v>
      </x:c>
      <x:c r="D9" t="str">
        <x:v>Bus Share</x:v>
      </x:c>
      <x:c r="E9" t="str">
        <x:v>Heavy Goods Share</x:v>
      </x:c>
      <x:c r="F9" t="str">
        <x:v>Other Share</x:v>
      </x:c>
    </x:row>
    <x:row r="10" ht="15" hidden="0" customHeight="1">
      <x:c r="A10" t="str">
        <x:v>A</x:v>
      </x:c>
      <x:c r="B10" t="n">
        <x:v>0.12</x:v>
      </x:c>
      <x:c r="C10" t="n">
        <x:v>0.58</x:v>
      </x:c>
      <x:c r="D10" t="n">
        <x:v>0.08</x:v>
      </x:c>
      <x:c r="E10" t="n">
        <x:v>0.18</x:v>
      </x:c>
      <x:c r="F10" t="n">
        <x:v>0.04</x:v>
      </x:c>
    </x:row>
    <x:row r="11" ht="15" hidden="0" customHeight="1">
      <x:c r="A11" t="str">
        <x:v>B</x:v>
      </x:c>
      <x:c r="B11" t="n">
        <x:v>0.16</x:v>
      </x:c>
      <x:c r="C11" t="n">
        <x:v>0.56</x:v>
      </x:c>
      <x:c r="D11" t="n">
        <x:v>0.07</x:v>
      </x:c>
      <x:c r="E11" t="n">
        <x:v>0.16</x:v>
      </x:c>
      <x:c r="F11" t="n">
        <x:v>0.05</x:v>
      </x:c>
    </x:row>
    <x:row r="12" ht="15" hidden="0" customHeight="1">
      <x:c r="A12" t="str">
        <x:v>C</x:v>
      </x:c>
      <x:c r="B12" t="n">
        <x:v>0.28</x:v>
      </x:c>
      <x:c r="C12" t="n">
        <x:v>0.5</x:v>
      </x:c>
      <x:c r="D12" t="n">
        <x:v>0.05</x:v>
      </x:c>
      <x:c r="E12" t="n">
        <x:v>0.11</x:v>
      </x:c>
      <x:c r="F12" t="n">
        <x:v>0.06</x:v>
      </x:c>
    </x:row>
    <x:row r="13" ht="15" hidden="0" customHeight="1">
      <x:c r="A13" t="str">
        <x:v>M</x:v>
      </x:c>
      <x:c r="B13" t="n">
        <x:v>0.08</x:v>
      </x:c>
      <x:c r="C13" t="n">
        <x:v>0.62</x:v>
      </x:c>
      <x:c r="D13" t="n">
        <x:v>0.08</x:v>
      </x:c>
      <x:c r="E13" t="n">
        <x:v>0.18</x:v>
      </x:c>
      <x:c r="F13" t="n">
        <x:v>0.04</x:v>
      </x:c>
    </x:row>
  </x:sheetData>
  <x:conditionalFormatting sqref="B10:F13">
    <x:cfRule type="colorScale" priority="1">
      <x:colorScale>
        <x:cfvo type="min"/>
        <x:cfvo type="percentile" val="50"/>
        <x:cfvo type="max"/>
        <x:color rgb="FFDBEAFE"/>
        <x:color rgb="FFFEF3C7"/>
        <x:color rgb="FFDCFCE7"/>
      </x:colorScale>
    </x:cfRule>
  </x:conditionalFormatting>
  <x:conditionalFormatting sqref="A1:F13">
    <x:cfRule type="containsErrors" dxfId="12" priority="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.25" hidden="0" customWidth="1"/>
    <x:col min="2" max="2" width="14" hidden="0" customWidth="1"/>
    <x:col min="3" max="3" width="5.630000114440918" hidden="0" customWidth="1"/>
    <x:col min="4" max="4" width="22" hidden="0" customWidth="1"/>
    <x:col min="5" max="5" width="10.380000114440918" hidden="0" customWidth="1"/>
    <x:col min="6" max="6" width="21.6299991607666" hidden="0" customWidth="1"/>
    <x:col min="7" max="7" width="12" hidden="0" customWidth="1"/>
    <x:col min="8" max="8" width="25" hidden="0" customWidth="1"/>
    <x:col min="9" max="9" width="12.5" hidden="0" customWidth="1"/>
    <x:col min="10" max="10" width="19.3799991607666" hidden="0" customWidth="1"/>
  </x:cols>
  <x:sheetData>
    <x:row r="1">
      <x:c r="A1" s="3" t="str">
        <x:v>Year</x:v>
      </x:c>
      <x:c r="B1" s="3" t="str">
        <x:v>Projection Month</x:v>
      </x:c>
      <x:c r="C1" s="3" t="str">
        <x:v>Period</x:v>
      </x:c>
      <x:c r="D1" s="3" t="str">
        <x:v>Vehicle Class</x:v>
      </x:c>
      <x:c r="E1" s="3" t="str">
        <x:v>Bridge Count</x:v>
      </x:c>
      <x:c r="F1" s="3" t="str">
        <x:v>Bridges With Class Evidence</x:v>
      </x:c>
      <x:c r="G1" s="3" t="str">
        <x:v>Base Daily ADT</x:v>
      </x:c>
      <x:c r="H1" s="3" t="str">
        <x:v>Annual Weighted Growth Factor</x:v>
      </x:c>
      <x:c r="I1" s="3" t="str">
        <x:v>Seasonal Factor</x:v>
      </x:c>
      <x:c r="J1" s="3" t="str">
        <x:v>Projected Period Volume</x:v>
      </x:c>
    </x:row>
    <x:row r="2">
      <x:c r="A2" t="n">
        <x:v>2016</x:v>
      </x:c>
      <x:c r="B2" t="str">
        <x:v>May</x:v>
      </x:c>
      <x:c r="C2" t="str">
        <x:v>Hour</x:v>
      </x:c>
      <x:c r="D2" t="str">
        <x:v>Motorcycles</x:v>
      </x:c>
      <x:c r="E2" t="n">
        <x:v>546</x:v>
      </x:c>
      <x:c r="F2" t="n">
        <x:v>546</x:v>
      </x:c>
      <x:c r="G2" t="n">
        <x:v>8823394.52</x:v>
      </x:c>
      <x:c r="H2" t="n">
        <x:v>0.981928</x:v>
      </x:c>
      <x:c r="I2" t="n">
        <x:v>0.984658</x:v>
      </x:c>
      <x:c r="J2" t="n">
        <x:v>355420.66</x:v>
      </x:c>
    </x:row>
    <x:row r="3">
      <x:c r="A3" t="n">
        <x:v>2016</x:v>
      </x:c>
      <x:c r="B3" t="str">
        <x:v>May</x:v>
      </x:c>
      <x:c r="C3" t="str">
        <x:v>Hour</x:v>
      </x:c>
      <x:c r="D3" t="str">
        <x:v>Light Vehicles</x:v>
      </x:c>
      <x:c r="E3" t="n">
        <x:v>546</x:v>
      </x:c>
      <x:c r="F3" t="n">
        <x:v>546</x:v>
      </x:c>
      <x:c r="G3" t="n">
        <x:v>3709230.11</x:v>
      </x:c>
      <x:c r="H3" t="n">
        <x:v>0.984448</x:v>
      </x:c>
      <x:c r="I3" t="n">
        <x:v>0.988701</x:v>
      </x:c>
      <x:c r="J3" t="n">
        <x:v>150421.8</x:v>
      </x:c>
    </x:row>
    <x:row r="4">
      <x:c r="A4" t="n">
        <x:v>2016</x:v>
      </x:c>
      <x:c r="B4" t="str">
        <x:v>May</x:v>
      </x:c>
      <x:c r="C4" t="str">
        <x:v>Hour</x:v>
      </x:c>
      <x:c r="D4" t="str">
        <x:v>Buses</x:v>
      </x:c>
      <x:c r="E4" t="n">
        <x:v>546</x:v>
      </x:c>
      <x:c r="F4" t="n">
        <x:v>546</x:v>
      </x:c>
      <x:c r="G4" t="n">
        <x:v>1011756.15</x:v>
      </x:c>
      <x:c r="H4" t="n">
        <x:v>0.982988</x:v>
      </x:c>
      <x:c r="I4" t="n">
        <x:v>0.982438</x:v>
      </x:c>
      <x:c r="J4" t="n">
        <x:v>40707.43</x:v>
      </x:c>
    </x:row>
    <x:row r="5">
      <x:c r="A5" t="n">
        <x:v>2016</x:v>
      </x:c>
      <x:c r="B5" t="str">
        <x:v>May</x:v>
      </x:c>
      <x:c r="C5" t="str">
        <x:v>Hour</x:v>
      </x:c>
      <x:c r="D5" t="str">
        <x:v>Heavy Goods</x:v>
      </x:c>
      <x:c r="E5" t="n">
        <x:v>546</x:v>
      </x:c>
      <x:c r="F5" t="n">
        <x:v>546</x:v>
      </x:c>
      <x:c r="G5" t="n">
        <x:v>500033.09</x:v>
      </x:c>
      <x:c r="H5" t="n">
        <x:v>0.983742</x:v>
      </x:c>
      <x:c r="I5" t="n">
        <x:v>0.973323</x:v>
      </x:c>
      <x:c r="J5" t="n">
        <x:v>19946.34</x:v>
      </x:c>
    </x:row>
    <x:row r="6">
      <x:c r="A6" t="n">
        <x:v>2016</x:v>
      </x:c>
      <x:c r="B6" t="str">
        <x:v>May</x:v>
      </x:c>
      <x:c r="C6" t="str">
        <x:v>Hour</x:v>
      </x:c>
      <x:c r="D6" t="str">
        <x:v>Other</x:v>
      </x:c>
      <x:c r="E6" t="n">
        <x:v>546</x:v>
      </x:c>
      <x:c r="F6" t="n">
        <x:v>36</x:v>
      </x:c>
      <x:c r="G6" t="n">
        <x:v>20285.72</x:v>
      </x:c>
      <x:c r="H6" t="n">
        <x:v>0.712976</x:v>
      </x:c>
      <x:c r="I6" t="n">
        <x:v>1</x:v>
      </x:c>
      <x:c r="J6" t="n">
        <x:v>602.63</x:v>
      </x:c>
    </x:row>
    <x:row r="7">
      <x:c r="A7" t="n">
        <x:v>2016</x:v>
      </x:c>
      <x:c r="B7" t="str">
        <x:v>May</x:v>
      </x:c>
      <x:c r="C7" t="str">
        <x:v>Day</x:v>
      </x:c>
      <x:c r="D7" t="str">
        <x:v>Motorcycles</x:v>
      </x:c>
      <x:c r="E7" t="n">
        <x:v>546</x:v>
      </x:c>
      <x:c r="F7" t="n">
        <x:v>546</x:v>
      </x:c>
      <x:c r="G7" t="n">
        <x:v>8823394.52</x:v>
      </x:c>
      <x:c r="H7" t="n">
        <x:v>0.981928</x:v>
      </x:c>
      <x:c r="I7" t="n">
        <x:v>0.984658</x:v>
      </x:c>
      <x:c r="J7" t="n">
        <x:v>8530095.74</x:v>
      </x:c>
    </x:row>
    <x:row r="8">
      <x:c r="A8" t="n">
        <x:v>2016</x:v>
      </x:c>
      <x:c r="B8" t="str">
        <x:v>May</x:v>
      </x:c>
      <x:c r="C8" t="str">
        <x:v>Day</x:v>
      </x:c>
      <x:c r="D8" t="str">
        <x:v>Light Vehicles</x:v>
      </x:c>
      <x:c r="E8" t="n">
        <x:v>546</x:v>
      </x:c>
      <x:c r="F8" t="n">
        <x:v>546</x:v>
      </x:c>
      <x:c r="G8" t="n">
        <x:v>3709230.11</x:v>
      </x:c>
      <x:c r="H8" t="n">
        <x:v>0.984448</x:v>
      </x:c>
      <x:c r="I8" t="n">
        <x:v>0.988701</x:v>
      </x:c>
      <x:c r="J8" t="n">
        <x:v>3610123.26</x:v>
      </x:c>
    </x:row>
    <x:row r="9">
      <x:c r="A9" t="n">
        <x:v>2016</x:v>
      </x:c>
      <x:c r="B9" t="str">
        <x:v>May</x:v>
      </x:c>
      <x:c r="C9" t="str">
        <x:v>Day</x:v>
      </x:c>
      <x:c r="D9" t="str">
        <x:v>Buses</x:v>
      </x:c>
      <x:c r="E9" t="n">
        <x:v>546</x:v>
      </x:c>
      <x:c r="F9" t="n">
        <x:v>546</x:v>
      </x:c>
      <x:c r="G9" t="n">
        <x:v>1011756.15</x:v>
      </x:c>
      <x:c r="H9" t="n">
        <x:v>0.982988</x:v>
      </x:c>
      <x:c r="I9" t="n">
        <x:v>0.982438</x:v>
      </x:c>
      <x:c r="J9" t="n">
        <x:v>976978.37</x:v>
      </x:c>
    </x:row>
    <x:row r="10">
      <x:c r="A10" t="n">
        <x:v>2016</x:v>
      </x:c>
      <x:c r="B10" t="str">
        <x:v>May</x:v>
      </x:c>
      <x:c r="C10" t="str">
        <x:v>Day</x:v>
      </x:c>
      <x:c r="D10" t="str">
        <x:v>Heavy Goods</x:v>
      </x:c>
      <x:c r="E10" t="n">
        <x:v>546</x:v>
      </x:c>
      <x:c r="F10" t="n">
        <x:v>546</x:v>
      </x:c>
      <x:c r="G10" t="n">
        <x:v>500033.09</x:v>
      </x:c>
      <x:c r="H10" t="n">
        <x:v>0.983742</x:v>
      </x:c>
      <x:c r="I10" t="n">
        <x:v>0.973323</x:v>
      </x:c>
      <x:c r="J10" t="n">
        <x:v>478712.04</x:v>
      </x:c>
    </x:row>
    <x:row r="11">
      <x:c r="A11" t="n">
        <x:v>2016</x:v>
      </x:c>
      <x:c r="B11" t="str">
        <x:v>May</x:v>
      </x:c>
      <x:c r="C11" t="str">
        <x:v>Day</x:v>
      </x:c>
      <x:c r="D11" t="str">
        <x:v>Other</x:v>
      </x:c>
      <x:c r="E11" t="n">
        <x:v>546</x:v>
      </x:c>
      <x:c r="F11" t="n">
        <x:v>36</x:v>
      </x:c>
      <x:c r="G11" t="n">
        <x:v>20285.72</x:v>
      </x:c>
      <x:c r="H11" t="n">
        <x:v>0.712976</x:v>
      </x:c>
      <x:c r="I11" t="n">
        <x:v>1</x:v>
      </x:c>
      <x:c r="J11" t="n">
        <x:v>14463.22</x:v>
      </x:c>
    </x:row>
    <x:row r="12">
      <x:c r="A12" t="n">
        <x:v>2016</x:v>
      </x:c>
      <x:c r="B12" t="str">
        <x:v>May</x:v>
      </x:c>
      <x:c r="C12" t="str">
        <x:v>Week</x:v>
      </x:c>
      <x:c r="D12" t="str">
        <x:v>Motorcycles</x:v>
      </x:c>
      <x:c r="E12" t="n">
        <x:v>546</x:v>
      </x:c>
      <x:c r="F12" t="n">
        <x:v>546</x:v>
      </x:c>
      <x:c r="G12" t="n">
        <x:v>8823394.52</x:v>
      </x:c>
      <x:c r="H12" t="n">
        <x:v>0.981928</x:v>
      </x:c>
      <x:c r="I12" t="n">
        <x:v>0.984658</x:v>
      </x:c>
      <x:c r="J12" t="n">
        <x:v>59710670.18</x:v>
      </x:c>
    </x:row>
    <x:row r="13">
      <x:c r="A13" t="n">
        <x:v>2016</x:v>
      </x:c>
      <x:c r="B13" t="str">
        <x:v>May</x:v>
      </x:c>
      <x:c r="C13" t="str">
        <x:v>Week</x:v>
      </x:c>
      <x:c r="D13" t="str">
        <x:v>Light Vehicles</x:v>
      </x:c>
      <x:c r="E13" t="n">
        <x:v>546</x:v>
      </x:c>
      <x:c r="F13" t="n">
        <x:v>546</x:v>
      </x:c>
      <x:c r="G13" t="n">
        <x:v>3709230.11</x:v>
      </x:c>
      <x:c r="H13" t="n">
        <x:v>0.984448</x:v>
      </x:c>
      <x:c r="I13" t="n">
        <x:v>0.988701</x:v>
      </x:c>
      <x:c r="J13" t="n">
        <x:v>25270862.83</x:v>
      </x:c>
    </x:row>
    <x:row r="14">
      <x:c r="A14" t="n">
        <x:v>2016</x:v>
      </x:c>
      <x:c r="B14" t="str">
        <x:v>May</x:v>
      </x:c>
      <x:c r="C14" t="str">
        <x:v>Week</x:v>
      </x:c>
      <x:c r="D14" t="str">
        <x:v>Buses</x:v>
      </x:c>
      <x:c r="E14" t="n">
        <x:v>546</x:v>
      </x:c>
      <x:c r="F14" t="n">
        <x:v>546</x:v>
      </x:c>
      <x:c r="G14" t="n">
        <x:v>1011756.15</x:v>
      </x:c>
      <x:c r="H14" t="n">
        <x:v>0.982988</x:v>
      </x:c>
      <x:c r="I14" t="n">
        <x:v>0.982438</x:v>
      </x:c>
      <x:c r="J14" t="n">
        <x:v>6838848.59</x:v>
      </x:c>
    </x:row>
    <x:row r="15">
      <x:c r="A15" t="n">
        <x:v>2016</x:v>
      </x:c>
      <x:c r="B15" t="str">
        <x:v>May</x:v>
      </x:c>
      <x:c r="C15" t="str">
        <x:v>Week</x:v>
      </x:c>
      <x:c r="D15" t="str">
        <x:v>Heavy Goods</x:v>
      </x:c>
      <x:c r="E15" t="n">
        <x:v>546</x:v>
      </x:c>
      <x:c r="F15" t="n">
        <x:v>546</x:v>
      </x:c>
      <x:c r="G15" t="n">
        <x:v>500033.09</x:v>
      </x:c>
      <x:c r="H15" t="n">
        <x:v>0.983742</x:v>
      </x:c>
      <x:c r="I15" t="n">
        <x:v>0.973323</x:v>
      </x:c>
      <x:c r="J15" t="n">
        <x:v>3350984.28</x:v>
      </x:c>
    </x:row>
    <x:row r="16">
      <x:c r="A16" t="n">
        <x:v>2016</x:v>
      </x:c>
      <x:c r="B16" t="str">
        <x:v>May</x:v>
      </x:c>
      <x:c r="C16" t="str">
        <x:v>Week</x:v>
      </x:c>
      <x:c r="D16" t="str">
        <x:v>Other</x:v>
      </x:c>
      <x:c r="E16" t="n">
        <x:v>546</x:v>
      </x:c>
      <x:c r="F16" t="n">
        <x:v>36</x:v>
      </x:c>
      <x:c r="G16" t="n">
        <x:v>20285.72</x:v>
      </x:c>
      <x:c r="H16" t="n">
        <x:v>0.712976</x:v>
      </x:c>
      <x:c r="I16" t="n">
        <x:v>1</x:v>
      </x:c>
      <x:c r="J16" t="n">
        <x:v>101242.56</x:v>
      </x:c>
    </x:row>
    <x:row r="17">
      <x:c r="A17" t="n">
        <x:v>2016</x:v>
      </x:c>
      <x:c r="B17" t="str">
        <x:v>May</x:v>
      </x:c>
      <x:c r="C17" t="str">
        <x:v>Month</x:v>
      </x:c>
      <x:c r="D17" t="str">
        <x:v>Motorcycles</x:v>
      </x:c>
      <x:c r="E17" t="n">
        <x:v>546</x:v>
      </x:c>
      <x:c r="F17" t="n">
        <x:v>546</x:v>
      </x:c>
      <x:c r="G17" t="n">
        <x:v>8823394.52</x:v>
      </x:c>
      <x:c r="H17" t="n">
        <x:v>0.981928</x:v>
      </x:c>
      <x:c r="I17" t="n">
        <x:v>0.984658</x:v>
      </x:c>
      <x:c r="J17" t="n">
        <x:v>264432967.92</x:v>
      </x:c>
    </x:row>
    <x:row r="18">
      <x:c r="A18" t="n">
        <x:v>2016</x:v>
      </x:c>
      <x:c r="B18" t="str">
        <x:v>May</x:v>
      </x:c>
      <x:c r="C18" t="str">
        <x:v>Month</x:v>
      </x:c>
      <x:c r="D18" t="str">
        <x:v>Light Vehicles</x:v>
      </x:c>
      <x:c r="E18" t="n">
        <x:v>546</x:v>
      </x:c>
      <x:c r="F18" t="n">
        <x:v>546</x:v>
      </x:c>
      <x:c r="G18" t="n">
        <x:v>3709230.11</x:v>
      </x:c>
      <x:c r="H18" t="n">
        <x:v>0.984448</x:v>
      </x:c>
      <x:c r="I18" t="n">
        <x:v>0.988701</x:v>
      </x:c>
      <x:c r="J18" t="n">
        <x:v>111913821.1</x:v>
      </x:c>
    </x:row>
    <x:row r="19">
      <x:c r="A19" t="n">
        <x:v>2016</x:v>
      </x:c>
      <x:c r="B19" t="str">
        <x:v>May</x:v>
      </x:c>
      <x:c r="C19" t="str">
        <x:v>Month</x:v>
      </x:c>
      <x:c r="D19" t="str">
        <x:v>Buses</x:v>
      </x:c>
      <x:c r="E19" t="n">
        <x:v>546</x:v>
      </x:c>
      <x:c r="F19" t="n">
        <x:v>546</x:v>
      </x:c>
      <x:c r="G19" t="n">
        <x:v>1011756.15</x:v>
      </x:c>
      <x:c r="H19" t="n">
        <x:v>0.982988</x:v>
      </x:c>
      <x:c r="I19" t="n">
        <x:v>0.982438</x:v>
      </x:c>
      <x:c r="J19" t="n">
        <x:v>30286329.47</x:v>
      </x:c>
    </x:row>
    <x:row r="20">
      <x:c r="A20" t="n">
        <x:v>2016</x:v>
      </x:c>
      <x:c r="B20" t="str">
        <x:v>May</x:v>
      </x:c>
      <x:c r="C20" t="str">
        <x:v>Month</x:v>
      </x:c>
      <x:c r="D20" t="str">
        <x:v>Heavy Goods</x:v>
      </x:c>
      <x:c r="E20" t="n">
        <x:v>546</x:v>
      </x:c>
      <x:c r="F20" t="n">
        <x:v>546</x:v>
      </x:c>
      <x:c r="G20" t="n">
        <x:v>500033.09</x:v>
      </x:c>
      <x:c r="H20" t="n">
        <x:v>0.983742</x:v>
      </x:c>
      <x:c r="I20" t="n">
        <x:v>0.973323</x:v>
      </x:c>
      <x:c r="J20" t="n">
        <x:v>14840073.26</x:v>
      </x:c>
    </x:row>
    <x:row r="21">
      <x:c r="A21" t="n">
        <x:v>2016</x:v>
      </x:c>
      <x:c r="B21" t="str">
        <x:v>May</x:v>
      </x:c>
      <x:c r="C21" t="str">
        <x:v>Month</x:v>
      </x:c>
      <x:c r="D21" t="str">
        <x:v>Other</x:v>
      </x:c>
      <x:c r="E21" t="n">
        <x:v>546</x:v>
      </x:c>
      <x:c r="F21" t="n">
        <x:v>36</x:v>
      </x:c>
      <x:c r="G21" t="n">
        <x:v>20285.72</x:v>
      </x:c>
      <x:c r="H21" t="n">
        <x:v>0.712976</x:v>
      </x:c>
      <x:c r="I21" t="n">
        <x:v>1</x:v>
      </x:c>
      <x:c r="J21" t="n">
        <x:v>448359.9</x:v>
      </x:c>
    </x:row>
    <x:row r="22">
      <x:c r="A22" t="n">
        <x:v>2016</x:v>
      </x:c>
      <x:c r="B22" t="str">
        <x:v>May</x:v>
      </x:c>
      <x:c r="C22" t="str">
        <x:v>Year</x:v>
      </x:c>
      <x:c r="D22" t="str">
        <x:v>Motorcycles</x:v>
      </x:c>
      <x:c r="E22" t="n">
        <x:v>546</x:v>
      </x:c>
      <x:c r="F22" t="n">
        <x:v>546</x:v>
      </x:c>
      <x:c r="G22" t="n">
        <x:v>8823394.52</x:v>
      </x:c>
      <x:c r="H22" t="n">
        <x:v>0.981928</x:v>
      </x:c>
      <x:c r="I22" t="n">
        <x:v>0.984658</x:v>
      </x:c>
      <x:c r="J22" t="n">
        <x:v>3122015040.63</x:v>
      </x:c>
    </x:row>
    <x:row r="23">
      <x:c r="A23" t="n">
        <x:v>2016</x:v>
      </x:c>
      <x:c r="B23" t="str">
        <x:v>May</x:v>
      </x:c>
      <x:c r="C23" t="str">
        <x:v>Year</x:v>
      </x:c>
      <x:c r="D23" t="str">
        <x:v>Light Vehicles</x:v>
      </x:c>
      <x:c r="E23" t="n">
        <x:v>546</x:v>
      </x:c>
      <x:c r="F23" t="n">
        <x:v>546</x:v>
      </x:c>
      <x:c r="G23" t="n">
        <x:v>3709230.11</x:v>
      </x:c>
      <x:c r="H23" t="n">
        <x:v>0.984448</x:v>
      </x:c>
      <x:c r="I23" t="n">
        <x:v>0.988701</x:v>
      </x:c>
      <x:c r="J23" t="n">
        <x:v>1321305113.66</x:v>
      </x:c>
    </x:row>
    <x:row r="24">
      <x:c r="A24" t="n">
        <x:v>2016</x:v>
      </x:c>
      <x:c r="B24" t="str">
        <x:v>May</x:v>
      </x:c>
      <x:c r="C24" t="str">
        <x:v>Year</x:v>
      </x:c>
      <x:c r="D24" t="str">
        <x:v>Buses</x:v>
      </x:c>
      <x:c r="E24" t="n">
        <x:v>546</x:v>
      </x:c>
      <x:c r="F24" t="n">
        <x:v>546</x:v>
      </x:c>
      <x:c r="G24" t="n">
        <x:v>1011756.15</x:v>
      </x:c>
      <x:c r="H24" t="n">
        <x:v>0.982988</x:v>
      </x:c>
      <x:c r="I24" t="n">
        <x:v>0.982438</x:v>
      </x:c>
      <x:c r="J24" t="n">
        <x:v>357574083.43</x:v>
      </x:c>
    </x:row>
    <x:row r="25">
      <x:c r="A25" t="n">
        <x:v>2016</x:v>
      </x:c>
      <x:c r="B25" t="str">
        <x:v>May</x:v>
      </x:c>
      <x:c r="C25" t="str">
        <x:v>Year</x:v>
      </x:c>
      <x:c r="D25" t="str">
        <x:v>Heavy Goods</x:v>
      </x:c>
      <x:c r="E25" t="n">
        <x:v>546</x:v>
      </x:c>
      <x:c r="F25" t="n">
        <x:v>546</x:v>
      </x:c>
      <x:c r="G25" t="n">
        <x:v>500033.09</x:v>
      </x:c>
      <x:c r="H25" t="n">
        <x:v>0.983742</x:v>
      </x:c>
      <x:c r="I25" t="n">
        <x:v>0.973323</x:v>
      </x:c>
      <x:c r="J25" t="n">
        <x:v>175208606.82</x:v>
      </x:c>
    </x:row>
    <x:row r="26">
      <x:c r="A26" t="n">
        <x:v>2016</x:v>
      </x:c>
      <x:c r="B26" t="str">
        <x:v>May</x:v>
      </x:c>
      <x:c r="C26" t="str">
        <x:v>Year</x:v>
      </x:c>
      <x:c r="D26" t="str">
        <x:v>Other</x:v>
      </x:c>
      <x:c r="E26" t="n">
        <x:v>546</x:v>
      </x:c>
      <x:c r="F26" t="n">
        <x:v>36</x:v>
      </x:c>
      <x:c r="G26" t="n">
        <x:v>20285.72</x:v>
      </x:c>
      <x:c r="H26" t="n">
        <x:v>0.712976</x:v>
      </x:c>
      <x:c r="I26" t="n">
        <x:v>1</x:v>
      </x:c>
      <x:c r="J26" t="n">
        <x:v>5293539.43</x:v>
      </x:c>
    </x:row>
    <x:row r="27">
      <x:c r="A27" t="n">
        <x:v>2017</x:v>
      </x:c>
      <x:c r="B27" t="str">
        <x:v>May</x:v>
      </x:c>
      <x:c r="C27" t="str">
        <x:v>Hour</x:v>
      </x:c>
      <x:c r="D27" t="str">
        <x:v>Motorcycles</x:v>
      </x:c>
      <x:c r="E27" t="n">
        <x:v>546</x:v>
      </x:c>
      <x:c r="F27" t="n">
        <x:v>546</x:v>
      </x:c>
      <x:c r="G27" t="n">
        <x:v>8823394.52</x:v>
      </x:c>
      <x:c r="H27" t="n">
        <x:v>0.983996</x:v>
      </x:c>
      <x:c r="I27" t="n">
        <x:v>0.984658</x:v>
      </x:c>
      <x:c r="J27" t="n">
        <x:v>356174.76</x:v>
      </x:c>
    </x:row>
    <x:row r="28">
      <x:c r="A28" t="n">
        <x:v>2017</x:v>
      </x:c>
      <x:c r="B28" t="str">
        <x:v>May</x:v>
      </x:c>
      <x:c r="C28" t="str">
        <x:v>Hour</x:v>
      </x:c>
      <x:c r="D28" t="str">
        <x:v>Light Vehicles</x:v>
      </x:c>
      <x:c r="E28" t="n">
        <x:v>546</x:v>
      </x:c>
      <x:c r="F28" t="n">
        <x:v>546</x:v>
      </x:c>
      <x:c r="G28" t="n">
        <x:v>3709230.11</x:v>
      </x:c>
      <x:c r="H28" t="n">
        <x:v>0.986257</x:v>
      </x:c>
      <x:c r="I28" t="n">
        <x:v>0.988701</x:v>
      </x:c>
      <x:c r="J28" t="n">
        <x:v>150699.43</x:v>
      </x:c>
    </x:row>
    <x:row r="29">
      <x:c r="A29" t="n">
        <x:v>2017</x:v>
      </x:c>
      <x:c r="B29" t="str">
        <x:v>May</x:v>
      </x:c>
      <x:c r="C29" t="str">
        <x:v>Hour</x:v>
      </x:c>
      <x:c r="D29" t="str">
        <x:v>Buses</x:v>
      </x:c>
      <x:c r="E29" t="n">
        <x:v>546</x:v>
      </x:c>
      <x:c r="F29" t="n">
        <x:v>546</x:v>
      </x:c>
      <x:c r="G29" t="n">
        <x:v>1011756.15</x:v>
      </x:c>
      <x:c r="H29" t="n">
        <x:v>0.984916</x:v>
      </x:c>
      <x:c r="I29" t="n">
        <x:v>0.982438</x:v>
      </x:c>
      <x:c r="J29" t="n">
        <x:v>40787.88</x:v>
      </x:c>
    </x:row>
    <x:row r="30">
      <x:c r="A30" t="n">
        <x:v>2017</x:v>
      </x:c>
      <x:c r="B30" t="str">
        <x:v>May</x:v>
      </x:c>
      <x:c r="C30" t="str">
        <x:v>Hour</x:v>
      </x:c>
      <x:c r="D30" t="str">
        <x:v>Heavy Goods</x:v>
      </x:c>
      <x:c r="E30" t="n">
        <x:v>546</x:v>
      </x:c>
      <x:c r="F30" t="n">
        <x:v>546</x:v>
      </x:c>
      <x:c r="G30" t="n">
        <x:v>500033.09</x:v>
      </x:c>
      <x:c r="H30" t="n">
        <x:v>0.985531</x:v>
      </x:c>
      <x:c r="I30" t="n">
        <x:v>0.973323</x:v>
      </x:c>
      <x:c r="J30" t="n">
        <x:v>19983</x:v>
      </x:c>
    </x:row>
    <x:row r="31">
      <x:c r="A31" t="n">
        <x:v>2017</x:v>
      </x:c>
      <x:c r="B31" t="str">
        <x:v>May</x:v>
      </x:c>
      <x:c r="C31" t="str">
        <x:v>Hour</x:v>
      </x:c>
      <x:c r="D31" t="str">
        <x:v>Other</x:v>
      </x:c>
      <x:c r="E31" t="n">
        <x:v>546</x:v>
      </x:c>
      <x:c r="F31" t="n">
        <x:v>36</x:v>
      </x:c>
      <x:c r="G31" t="n">
        <x:v>20285.72</x:v>
      </x:c>
      <x:c r="H31" t="n">
        <x:v>0.745112</x:v>
      </x:c>
      <x:c r="I31" t="n">
        <x:v>1</x:v>
      </x:c>
      <x:c r="J31" t="n">
        <x:v>629.8</x:v>
      </x:c>
    </x:row>
    <x:row r="32">
      <x:c r="A32" t="n">
        <x:v>2017</x:v>
      </x:c>
      <x:c r="B32" t="str">
        <x:v>May</x:v>
      </x:c>
      <x:c r="C32" t="str">
        <x:v>Day</x:v>
      </x:c>
      <x:c r="D32" t="str">
        <x:v>Motorcycles</x:v>
      </x:c>
      <x:c r="E32" t="n">
        <x:v>546</x:v>
      </x:c>
      <x:c r="F32" t="n">
        <x:v>546</x:v>
      </x:c>
      <x:c r="G32" t="n">
        <x:v>8823394.52</x:v>
      </x:c>
      <x:c r="H32" t="n">
        <x:v>0.983996</x:v>
      </x:c>
      <x:c r="I32" t="n">
        <x:v>0.984658</x:v>
      </x:c>
      <x:c r="J32" t="n">
        <x:v>8548194.26</x:v>
      </x:c>
    </x:row>
    <x:row r="33">
      <x:c r="A33" t="n">
        <x:v>2017</x:v>
      </x:c>
      <x:c r="B33" t="str">
        <x:v>May</x:v>
      </x:c>
      <x:c r="C33" t="str">
        <x:v>Day</x:v>
      </x:c>
      <x:c r="D33" t="str">
        <x:v>Light Vehicles</x:v>
      </x:c>
      <x:c r="E33" t="n">
        <x:v>546</x:v>
      </x:c>
      <x:c r="F33" t="n">
        <x:v>546</x:v>
      </x:c>
      <x:c r="G33" t="n">
        <x:v>3709230.11</x:v>
      </x:c>
      <x:c r="H33" t="n">
        <x:v>0.986257</x:v>
      </x:c>
      <x:c r="I33" t="n">
        <x:v>0.988701</x:v>
      </x:c>
      <x:c r="J33" t="n">
        <x:v>3616786.3</x:v>
      </x:c>
    </x:row>
    <x:row r="34">
      <x:c r="A34" t="n">
        <x:v>2017</x:v>
      </x:c>
      <x:c r="B34" t="str">
        <x:v>May</x:v>
      </x:c>
      <x:c r="C34" t="str">
        <x:v>Day</x:v>
      </x:c>
      <x:c r="D34" t="str">
        <x:v>Buses</x:v>
      </x:c>
      <x:c r="E34" t="n">
        <x:v>546</x:v>
      </x:c>
      <x:c r="F34" t="n">
        <x:v>546</x:v>
      </x:c>
      <x:c r="G34" t="n">
        <x:v>1011756.15</x:v>
      </x:c>
      <x:c r="H34" t="n">
        <x:v>0.984916</x:v>
      </x:c>
      <x:c r="I34" t="n">
        <x:v>0.982438</x:v>
      </x:c>
      <x:c r="J34" t="n">
        <x:v>978909.04</x:v>
      </x:c>
    </x:row>
    <x:row r="35">
      <x:c r="A35" t="n">
        <x:v>2017</x:v>
      </x:c>
      <x:c r="B35" t="str">
        <x:v>May</x:v>
      </x:c>
      <x:c r="C35" t="str">
        <x:v>Day</x:v>
      </x:c>
      <x:c r="D35" t="str">
        <x:v>Heavy Goods</x:v>
      </x:c>
      <x:c r="E35" t="n">
        <x:v>546</x:v>
      </x:c>
      <x:c r="F35" t="n">
        <x:v>546</x:v>
      </x:c>
      <x:c r="G35" t="n">
        <x:v>500033.09</x:v>
      </x:c>
      <x:c r="H35" t="n">
        <x:v>0.985531</x:v>
      </x:c>
      <x:c r="I35" t="n">
        <x:v>0.973323</x:v>
      </x:c>
      <x:c r="J35" t="n">
        <x:v>479591.94</x:v>
      </x:c>
    </x:row>
    <x:row r="36">
      <x:c r="A36" t="n">
        <x:v>2017</x:v>
      </x:c>
      <x:c r="B36" t="str">
        <x:v>May</x:v>
      </x:c>
      <x:c r="C36" t="str">
        <x:v>Day</x:v>
      </x:c>
      <x:c r="D36" t="str">
        <x:v>Other</x:v>
      </x:c>
      <x:c r="E36" t="n">
        <x:v>546</x:v>
      </x:c>
      <x:c r="F36" t="n">
        <x:v>36</x:v>
      </x:c>
      <x:c r="G36" t="n">
        <x:v>20285.72</x:v>
      </x:c>
      <x:c r="H36" t="n">
        <x:v>0.745112</x:v>
      </x:c>
      <x:c r="I36" t="n">
        <x:v>1</x:v>
      </x:c>
      <x:c r="J36" t="n">
        <x:v>15115.14</x:v>
      </x:c>
    </x:row>
    <x:row r="37">
      <x:c r="A37" t="n">
        <x:v>2017</x:v>
      </x:c>
      <x:c r="B37" t="str">
        <x:v>May</x:v>
      </x:c>
      <x:c r="C37" t="str">
        <x:v>Week</x:v>
      </x:c>
      <x:c r="D37" t="str">
        <x:v>Motorcycles</x:v>
      </x:c>
      <x:c r="E37" t="n">
        <x:v>546</x:v>
      </x:c>
      <x:c r="F37" t="n">
        <x:v>546</x:v>
      </x:c>
      <x:c r="G37" t="n">
        <x:v>8823394.52</x:v>
      </x:c>
      <x:c r="H37" t="n">
        <x:v>0.983996</x:v>
      </x:c>
      <x:c r="I37" t="n">
        <x:v>0.984658</x:v>
      </x:c>
      <x:c r="J37" t="n">
        <x:v>59837359.81</x:v>
      </x:c>
    </x:row>
    <x:row r="38">
      <x:c r="A38" t="n">
        <x:v>2017</x:v>
      </x:c>
      <x:c r="B38" t="str">
        <x:v>May</x:v>
      </x:c>
      <x:c r="C38" t="str">
        <x:v>Week</x:v>
      </x:c>
      <x:c r="D38" t="str">
        <x:v>Light Vehicles</x:v>
      </x:c>
      <x:c r="E38" t="n">
        <x:v>546</x:v>
      </x:c>
      <x:c r="F38" t="n">
        <x:v>546</x:v>
      </x:c>
      <x:c r="G38" t="n">
        <x:v>3709230.11</x:v>
      </x:c>
      <x:c r="H38" t="n">
        <x:v>0.986257</x:v>
      </x:c>
      <x:c r="I38" t="n">
        <x:v>0.988701</x:v>
      </x:c>
      <x:c r="J38" t="n">
        <x:v>25317504.12</x:v>
      </x:c>
    </x:row>
    <x:row r="39">
      <x:c r="A39" t="n">
        <x:v>2017</x:v>
      </x:c>
      <x:c r="B39" t="str">
        <x:v>May</x:v>
      </x:c>
      <x:c r="C39" t="str">
        <x:v>Week</x:v>
      </x:c>
      <x:c r="D39" t="str">
        <x:v>Buses</x:v>
      </x:c>
      <x:c r="E39" t="n">
        <x:v>546</x:v>
      </x:c>
      <x:c r="F39" t="n">
        <x:v>546</x:v>
      </x:c>
      <x:c r="G39" t="n">
        <x:v>1011756.15</x:v>
      </x:c>
      <x:c r="H39" t="n">
        <x:v>0.984916</x:v>
      </x:c>
      <x:c r="I39" t="n">
        <x:v>0.982438</x:v>
      </x:c>
      <x:c r="J39" t="n">
        <x:v>6852363.26</x:v>
      </x:c>
    </x:row>
    <x:row r="40">
      <x:c r="A40" t="n">
        <x:v>2017</x:v>
      </x:c>
      <x:c r="B40" t="str">
        <x:v>May</x:v>
      </x:c>
      <x:c r="C40" t="str">
        <x:v>Week</x:v>
      </x:c>
      <x:c r="D40" t="str">
        <x:v>Heavy Goods</x:v>
      </x:c>
      <x:c r="E40" t="n">
        <x:v>546</x:v>
      </x:c>
      <x:c r="F40" t="n">
        <x:v>546</x:v>
      </x:c>
      <x:c r="G40" t="n">
        <x:v>500033.09</x:v>
      </x:c>
      <x:c r="H40" t="n">
        <x:v>0.985531</x:v>
      </x:c>
      <x:c r="I40" t="n">
        <x:v>0.973323</x:v>
      </x:c>
      <x:c r="J40" t="n">
        <x:v>3357143.59</x:v>
      </x:c>
    </x:row>
    <x:row r="41">
      <x:c r="A41" t="n">
        <x:v>2017</x:v>
      </x:c>
      <x:c r="B41" t="str">
        <x:v>May</x:v>
      </x:c>
      <x:c r="C41" t="str">
        <x:v>Week</x:v>
      </x:c>
      <x:c r="D41" t="str">
        <x:v>Other</x:v>
      </x:c>
      <x:c r="E41" t="n">
        <x:v>546</x:v>
      </x:c>
      <x:c r="F41" t="n">
        <x:v>36</x:v>
      </x:c>
      <x:c r="G41" t="n">
        <x:v>20285.72</x:v>
      </x:c>
      <x:c r="H41" t="n">
        <x:v>0.745112</x:v>
      </x:c>
      <x:c r="I41" t="n">
        <x:v>1</x:v>
      </x:c>
      <x:c r="J41" t="n">
        <x:v>105805.99</x:v>
      </x:c>
    </x:row>
    <x:row r="42">
      <x:c r="A42" t="n">
        <x:v>2017</x:v>
      </x:c>
      <x:c r="B42" t="str">
        <x:v>May</x:v>
      </x:c>
      <x:c r="C42" t="str">
        <x:v>Month</x:v>
      </x:c>
      <x:c r="D42" t="str">
        <x:v>Motorcycles</x:v>
      </x:c>
      <x:c r="E42" t="n">
        <x:v>546</x:v>
      </x:c>
      <x:c r="F42" t="n">
        <x:v>546</x:v>
      </x:c>
      <x:c r="G42" t="n">
        <x:v>8823394.52</x:v>
      </x:c>
      <x:c r="H42" t="n">
        <x:v>0.983996</x:v>
      </x:c>
      <x:c r="I42" t="n">
        <x:v>0.984658</x:v>
      </x:c>
      <x:c r="J42" t="n">
        <x:v>264994021.99</x:v>
      </x:c>
    </x:row>
    <x:row r="43">
      <x:c r="A43" t="n">
        <x:v>2017</x:v>
      </x:c>
      <x:c r="B43" t="str">
        <x:v>May</x:v>
      </x:c>
      <x:c r="C43" t="str">
        <x:v>Month</x:v>
      </x:c>
      <x:c r="D43" t="str">
        <x:v>Light Vehicles</x:v>
      </x:c>
      <x:c r="E43" t="n">
        <x:v>546</x:v>
      </x:c>
      <x:c r="F43" t="n">
        <x:v>546</x:v>
      </x:c>
      <x:c r="G43" t="n">
        <x:v>3709230.11</x:v>
      </x:c>
      <x:c r="H43" t="n">
        <x:v>0.986257</x:v>
      </x:c>
      <x:c r="I43" t="n">
        <x:v>0.988701</x:v>
      </x:c>
      <x:c r="J43" t="n">
        <x:v>112120375.37</x:v>
      </x:c>
    </x:row>
    <x:row r="44">
      <x:c r="A44" t="n">
        <x:v>2017</x:v>
      </x:c>
      <x:c r="B44" t="str">
        <x:v>May</x:v>
      </x:c>
      <x:c r="C44" t="str">
        <x:v>Month</x:v>
      </x:c>
      <x:c r="D44" t="str">
        <x:v>Buses</x:v>
      </x:c>
      <x:c r="E44" t="n">
        <x:v>546</x:v>
      </x:c>
      <x:c r="F44" t="n">
        <x:v>546</x:v>
      </x:c>
      <x:c r="G44" t="n">
        <x:v>1011756.15</x:v>
      </x:c>
      <x:c r="H44" t="n">
        <x:v>0.984916</x:v>
      </x:c>
      <x:c r="I44" t="n">
        <x:v>0.982438</x:v>
      </x:c>
      <x:c r="J44" t="n">
        <x:v>30346180.17</x:v>
      </x:c>
    </x:row>
    <x:row r="45">
      <x:c r="A45" t="n">
        <x:v>2017</x:v>
      </x:c>
      <x:c r="B45" t="str">
        <x:v>May</x:v>
      </x:c>
      <x:c r="C45" t="str">
        <x:v>Month</x:v>
      </x:c>
      <x:c r="D45" t="str">
        <x:v>Heavy Goods</x:v>
      </x:c>
      <x:c r="E45" t="n">
        <x:v>546</x:v>
      </x:c>
      <x:c r="F45" t="n">
        <x:v>546</x:v>
      </x:c>
      <x:c r="G45" t="n">
        <x:v>500033.09</x:v>
      </x:c>
      <x:c r="H45" t="n">
        <x:v>0.985531</x:v>
      </x:c>
      <x:c r="I45" t="n">
        <x:v>0.973323</x:v>
      </x:c>
      <x:c r="J45" t="n">
        <x:v>14867350.2</x:v>
      </x:c>
    </x:row>
    <x:row r="46">
      <x:c r="A46" t="n">
        <x:v>2017</x:v>
      </x:c>
      <x:c r="B46" t="str">
        <x:v>May</x:v>
      </x:c>
      <x:c r="C46" t="str">
        <x:v>Month</x:v>
      </x:c>
      <x:c r="D46" t="str">
        <x:v>Other</x:v>
      </x:c>
      <x:c r="E46" t="n">
        <x:v>546</x:v>
      </x:c>
      <x:c r="F46" t="n">
        <x:v>36</x:v>
      </x:c>
      <x:c r="G46" t="n">
        <x:v>20285.72</x:v>
      </x:c>
      <x:c r="H46" t="n">
        <x:v>0.745112</x:v>
      </x:c>
      <x:c r="I46" t="n">
        <x:v>1</x:v>
      </x:c>
      <x:c r="J46" t="n">
        <x:v>468569.38</x:v>
      </x:c>
    </x:row>
    <x:row r="47">
      <x:c r="A47" t="n">
        <x:v>2017</x:v>
      </x:c>
      <x:c r="B47" t="str">
        <x:v>May</x:v>
      </x:c>
      <x:c r="C47" t="str">
        <x:v>Year</x:v>
      </x:c>
      <x:c r="D47" t="str">
        <x:v>Motorcycles</x:v>
      </x:c>
      <x:c r="E47" t="n">
        <x:v>546</x:v>
      </x:c>
      <x:c r="F47" t="n">
        <x:v>546</x:v>
      </x:c>
      <x:c r="G47" t="n">
        <x:v>8823394.52</x:v>
      </x:c>
      <x:c r="H47" t="n">
        <x:v>0.983996</x:v>
      </x:c>
      <x:c r="I47" t="n">
        <x:v>0.984658</x:v>
      </x:c>
      <x:c r="J47" t="n">
        <x:v>3120090904.13</x:v>
      </x:c>
    </x:row>
    <x:row r="48">
      <x:c r="A48" t="n">
        <x:v>2017</x:v>
      </x:c>
      <x:c r="B48" t="str">
        <x:v>May</x:v>
      </x:c>
      <x:c r="C48" t="str">
        <x:v>Year</x:v>
      </x:c>
      <x:c r="D48" t="str">
        <x:v>Light Vehicles</x:v>
      </x:c>
      <x:c r="E48" t="n">
        <x:v>546</x:v>
      </x:c>
      <x:c r="F48" t="n">
        <x:v>546</x:v>
      </x:c>
      <x:c r="G48" t="n">
        <x:v>3709230.11</x:v>
      </x:c>
      <x:c r="H48" t="n">
        <x:v>0.986257</x:v>
      </x:c>
      <x:c r="I48" t="n">
        <x:v>0.988701</x:v>
      </x:c>
      <x:c r="J48" t="n">
        <x:v>1320127000.34</x:v>
      </x:c>
    </x:row>
    <x:row r="49">
      <x:c r="A49" t="n">
        <x:v>2017</x:v>
      </x:c>
      <x:c r="B49" t="str">
        <x:v>May</x:v>
      </x:c>
      <x:c r="C49" t="str">
        <x:v>Year</x:v>
      </x:c>
      <x:c r="D49" t="str">
        <x:v>Buses</x:v>
      </x:c>
      <x:c r="E49" t="n">
        <x:v>546</x:v>
      </x:c>
      <x:c r="F49" t="n">
        <x:v>546</x:v>
      </x:c>
      <x:c r="G49" t="n">
        <x:v>1011756.15</x:v>
      </x:c>
      <x:c r="H49" t="n">
        <x:v>0.984916</x:v>
      </x:c>
      <x:c r="I49" t="n">
        <x:v>0.982438</x:v>
      </x:c>
      <x:c r="J49" t="n">
        <x:v>357301798.79</x:v>
      </x:c>
    </x:row>
    <x:row r="50">
      <x:c r="A50" t="n">
        <x:v>2017</x:v>
      </x:c>
      <x:c r="B50" t="str">
        <x:v>May</x:v>
      </x:c>
      <x:c r="C50" t="str">
        <x:v>Year</x:v>
      </x:c>
      <x:c r="D50" t="str">
        <x:v>Heavy Goods</x:v>
      </x:c>
      <x:c r="E50" t="n">
        <x:v>546</x:v>
      </x:c>
      <x:c r="F50" t="n">
        <x:v>546</x:v>
      </x:c>
      <x:c r="G50" t="n">
        <x:v>500033.09</x:v>
      </x:c>
      <x:c r="H50" t="n">
        <x:v>0.985531</x:v>
      </x:c>
      <x:c r="I50" t="n">
        <x:v>0.973323</x:v>
      </x:c>
      <x:c r="J50" t="n">
        <x:v>175051058.76</x:v>
      </x:c>
    </x:row>
    <x:row r="51">
      <x:c r="A51" t="n">
        <x:v>2017</x:v>
      </x:c>
      <x:c r="B51" t="str">
        <x:v>May</x:v>
      </x:c>
      <x:c r="C51" t="str">
        <x:v>Year</x:v>
      </x:c>
      <x:c r="D51" t="str">
        <x:v>Other</x:v>
      </x:c>
      <x:c r="E51" t="n">
        <x:v>546</x:v>
      </x:c>
      <x:c r="F51" t="n">
        <x:v>36</x:v>
      </x:c>
      <x:c r="G51" t="n">
        <x:v>20285.72</x:v>
      </x:c>
      <x:c r="H51" t="n">
        <x:v>0.745112</x:v>
      </x:c>
      <x:c r="I51" t="n">
        <x:v>1</x:v>
      </x:c>
      <x:c r="J51" t="n">
        <x:v>5517026.57</x:v>
      </x:c>
    </x:row>
    <x:row r="52">
      <x:c r="A52" t="n">
        <x:v>2018</x:v>
      </x:c>
      <x:c r="B52" t="str">
        <x:v>May</x:v>
      </x:c>
      <x:c r="C52" t="str">
        <x:v>Hour</x:v>
      </x:c>
      <x:c r="D52" t="str">
        <x:v>Motorcycles</x:v>
      </x:c>
      <x:c r="E52" t="n">
        <x:v>546</x:v>
      </x:c>
      <x:c r="F52" t="n">
        <x:v>546</x:v>
      </x:c>
      <x:c r="G52" t="n">
        <x:v>8823394.52</x:v>
      </x:c>
      <x:c r="H52" t="n">
        <x:v>0.986111</x:v>
      </x:c>
      <x:c r="I52" t="n">
        <x:v>0.984658</x:v>
      </x:c>
      <x:c r="J52" t="n">
        <x:v>356946.07</x:v>
      </x:c>
    </x:row>
    <x:row r="53">
      <x:c r="A53" t="n">
        <x:v>2018</x:v>
      </x:c>
      <x:c r="B53" t="str">
        <x:v>May</x:v>
      </x:c>
      <x:c r="C53" t="str">
        <x:v>Hour</x:v>
      </x:c>
      <x:c r="D53" t="str">
        <x:v>Light Vehicles</x:v>
      </x:c>
      <x:c r="E53" t="n">
        <x:v>546</x:v>
      </x:c>
      <x:c r="F53" t="n">
        <x:v>546</x:v>
      </x:c>
      <x:c r="G53" t="n">
        <x:v>3709230.11</x:v>
      </x:c>
      <x:c r="H53" t="n">
        <x:v>0.988088</x:v>
      </x:c>
      <x:c r="I53" t="n">
        <x:v>0.988701</x:v>
      </x:c>
      <x:c r="J53" t="n">
        <x:v>150980.33</x:v>
      </x:c>
    </x:row>
    <x:row r="54">
      <x:c r="A54" t="n">
        <x:v>2018</x:v>
      </x:c>
      <x:c r="B54" t="str">
        <x:v>May</x:v>
      </x:c>
      <x:c r="C54" t="str">
        <x:v>Hour</x:v>
      </x:c>
      <x:c r="D54" t="str">
        <x:v>Buses</x:v>
      </x:c>
      <x:c r="E54" t="n">
        <x:v>546</x:v>
      </x:c>
      <x:c r="F54" t="n">
        <x:v>546</x:v>
      </x:c>
      <x:c r="G54" t="n">
        <x:v>1011756.15</x:v>
      </x:c>
      <x:c r="H54" t="n">
        <x:v>0.986881</x:v>
      </x:c>
      <x:c r="I54" t="n">
        <x:v>0.982438</x:v>
      </x:c>
      <x:c r="J54" t="n">
        <x:v>40869.88</x:v>
      </x:c>
    </x:row>
    <x:row r="55">
      <x:c r="A55" t="n">
        <x:v>2018</x:v>
      </x:c>
      <x:c r="B55" t="str">
        <x:v>May</x:v>
      </x:c>
      <x:c r="C55" t="str">
        <x:v>Hour</x:v>
      </x:c>
      <x:c r="D55" t="str">
        <x:v>Heavy Goods</x:v>
      </x:c>
      <x:c r="E55" t="n">
        <x:v>546</x:v>
      </x:c>
      <x:c r="F55" t="n">
        <x:v>546</x:v>
      </x:c>
      <x:c r="G55" t="n">
        <x:v>500033.09</x:v>
      </x:c>
      <x:c r="H55" t="n">
        <x:v>0.987355</x:v>
      </x:c>
      <x:c r="I55" t="n">
        <x:v>0.973323</x:v>
      </x:c>
      <x:c r="J55" t="n">
        <x:v>20020.38</x:v>
      </x:c>
    </x:row>
    <x:row r="56">
      <x:c r="A56" t="n">
        <x:v>2018</x:v>
      </x:c>
      <x:c r="B56" t="str">
        <x:v>May</x:v>
      </x:c>
      <x:c r="C56" t="str">
        <x:v>Hour</x:v>
      </x:c>
      <x:c r="D56" t="str">
        <x:v>Other</x:v>
      </x:c>
      <x:c r="E56" t="n">
        <x:v>546</x:v>
      </x:c>
      <x:c r="F56" t="n">
        <x:v>36</x:v>
      </x:c>
      <x:c r="G56" t="n">
        <x:v>20285.72</x:v>
      </x:c>
      <x:c r="H56" t="n">
        <x:v>0.779806</x:v>
      </x:c>
      <x:c r="I56" t="n">
        <x:v>1</x:v>
      </x:c>
      <x:c r="J56" t="n">
        <x:v>659.12</x:v>
      </x:c>
    </x:row>
    <x:row r="57">
      <x:c r="A57" t="n">
        <x:v>2018</x:v>
      </x:c>
      <x:c r="B57" t="str">
        <x:v>May</x:v>
      </x:c>
      <x:c r="C57" t="str">
        <x:v>Day</x:v>
      </x:c>
      <x:c r="D57" t="str">
        <x:v>Motorcycles</x:v>
      </x:c>
      <x:c r="E57" t="n">
        <x:v>546</x:v>
      </x:c>
      <x:c r="F57" t="n">
        <x:v>546</x:v>
      </x:c>
      <x:c r="G57" t="n">
        <x:v>8823394.52</x:v>
      </x:c>
      <x:c r="H57" t="n">
        <x:v>0.986111</x:v>
      </x:c>
      <x:c r="I57" t="n">
        <x:v>0.984658</x:v>
      </x:c>
      <x:c r="J57" t="n">
        <x:v>8566705.77</x:v>
      </x:c>
    </x:row>
    <x:row r="58">
      <x:c r="A58" t="n">
        <x:v>2018</x:v>
      </x:c>
      <x:c r="B58" t="str">
        <x:v>May</x:v>
      </x:c>
      <x:c r="C58" t="str">
        <x:v>Day</x:v>
      </x:c>
      <x:c r="D58" t="str">
        <x:v>Light Vehicles</x:v>
      </x:c>
      <x:c r="E58" t="n">
        <x:v>546</x:v>
      </x:c>
      <x:c r="F58" t="n">
        <x:v>546</x:v>
      </x:c>
      <x:c r="G58" t="n">
        <x:v>3709230.11</x:v>
      </x:c>
      <x:c r="H58" t="n">
        <x:v>0.988088</x:v>
      </x:c>
      <x:c r="I58" t="n">
        <x:v>0.988701</x:v>
      </x:c>
      <x:c r="J58" t="n">
        <x:v>3623528.02</x:v>
      </x:c>
    </x:row>
    <x:row r="59">
      <x:c r="A59" t="n">
        <x:v>2018</x:v>
      </x:c>
      <x:c r="B59" t="str">
        <x:v>May</x:v>
      </x:c>
      <x:c r="C59" t="str">
        <x:v>Day</x:v>
      </x:c>
      <x:c r="D59" t="str">
        <x:v>Buses</x:v>
      </x:c>
      <x:c r="E59" t="n">
        <x:v>546</x:v>
      </x:c>
      <x:c r="F59" t="n">
        <x:v>546</x:v>
      </x:c>
      <x:c r="G59" t="n">
        <x:v>1011756.15</x:v>
      </x:c>
      <x:c r="H59" t="n">
        <x:v>0.986881</x:v>
      </x:c>
      <x:c r="I59" t="n">
        <x:v>0.982438</x:v>
      </x:c>
      <x:c r="J59" t="n">
        <x:v>980877.04</x:v>
      </x:c>
    </x:row>
    <x:row r="60">
      <x:c r="A60" t="n">
        <x:v>2018</x:v>
      </x:c>
      <x:c r="B60" t="str">
        <x:v>May</x:v>
      </x:c>
      <x:c r="C60" t="str">
        <x:v>Day</x:v>
      </x:c>
      <x:c r="D60" t="str">
        <x:v>Heavy Goods</x:v>
      </x:c>
      <x:c r="E60" t="n">
        <x:v>546</x:v>
      </x:c>
      <x:c r="F60" t="n">
        <x:v>546</x:v>
      </x:c>
      <x:c r="G60" t="n">
        <x:v>500033.09</x:v>
      </x:c>
      <x:c r="H60" t="n">
        <x:v>0.987355</x:v>
      </x:c>
      <x:c r="I60" t="n">
        <x:v>0.973323</x:v>
      </x:c>
      <x:c r="J60" t="n">
        <x:v>480489.15</x:v>
      </x:c>
    </x:row>
    <x:row r="61">
      <x:c r="A61" t="n">
        <x:v>2018</x:v>
      </x:c>
      <x:c r="B61" t="str">
        <x:v>May</x:v>
      </x:c>
      <x:c r="C61" t="str">
        <x:v>Day</x:v>
      </x:c>
      <x:c r="D61" t="str">
        <x:v>Other</x:v>
      </x:c>
      <x:c r="E61" t="n">
        <x:v>546</x:v>
      </x:c>
      <x:c r="F61" t="n">
        <x:v>36</x:v>
      </x:c>
      <x:c r="G61" t="n">
        <x:v>20285.72</x:v>
      </x:c>
      <x:c r="H61" t="n">
        <x:v>0.779806</x:v>
      </x:c>
      <x:c r="I61" t="n">
        <x:v>1</x:v>
      </x:c>
      <x:c r="J61" t="n">
        <x:v>15818.93</x:v>
      </x:c>
    </x:row>
    <x:row r="62">
      <x:c r="A62" t="n">
        <x:v>2018</x:v>
      </x:c>
      <x:c r="B62" t="str">
        <x:v>May</x:v>
      </x:c>
      <x:c r="C62" t="str">
        <x:v>Week</x:v>
      </x:c>
      <x:c r="D62" t="str">
        <x:v>Motorcycles</x:v>
      </x:c>
      <x:c r="E62" t="n">
        <x:v>546</x:v>
      </x:c>
      <x:c r="F62" t="n">
        <x:v>546</x:v>
      </x:c>
      <x:c r="G62" t="n">
        <x:v>8823394.52</x:v>
      </x:c>
      <x:c r="H62" t="n">
        <x:v>0.986111</x:v>
      </x:c>
      <x:c r="I62" t="n">
        <x:v>0.984658</x:v>
      </x:c>
      <x:c r="J62" t="n">
        <x:v>59966940.4</x:v>
      </x:c>
    </x:row>
    <x:row r="63">
      <x:c r="A63" t="n">
        <x:v>2018</x:v>
      </x:c>
      <x:c r="B63" t="str">
        <x:v>May</x:v>
      </x:c>
      <x:c r="C63" t="str">
        <x:v>Week</x:v>
      </x:c>
      <x:c r="D63" t="str">
        <x:v>Light Vehicles</x:v>
      </x:c>
      <x:c r="E63" t="n">
        <x:v>546</x:v>
      </x:c>
      <x:c r="F63" t="n">
        <x:v>546</x:v>
      </x:c>
      <x:c r="G63" t="n">
        <x:v>3709230.11</x:v>
      </x:c>
      <x:c r="H63" t="n">
        <x:v>0.988088</x:v>
      </x:c>
      <x:c r="I63" t="n">
        <x:v>0.988701</x:v>
      </x:c>
      <x:c r="J63" t="n">
        <x:v>25364696.11</x:v>
      </x:c>
    </x:row>
    <x:row r="64">
      <x:c r="A64" t="n">
        <x:v>2018</x:v>
      </x:c>
      <x:c r="B64" t="str">
        <x:v>May</x:v>
      </x:c>
      <x:c r="C64" t="str">
        <x:v>Week</x:v>
      </x:c>
      <x:c r="D64" t="str">
        <x:v>Buses</x:v>
      </x:c>
      <x:c r="E64" t="n">
        <x:v>546</x:v>
      </x:c>
      <x:c r="F64" t="n">
        <x:v>546</x:v>
      </x:c>
      <x:c r="G64" t="n">
        <x:v>1011756.15</x:v>
      </x:c>
      <x:c r="H64" t="n">
        <x:v>0.986881</x:v>
      </x:c>
      <x:c r="I64" t="n">
        <x:v>0.982438</x:v>
      </x:c>
      <x:c r="J64" t="n">
        <x:v>6866139.31</x:v>
      </x:c>
    </x:row>
    <x:row r="65">
      <x:c r="A65" t="n">
        <x:v>2018</x:v>
      </x:c>
      <x:c r="B65" t="str">
        <x:v>May</x:v>
      </x:c>
      <x:c r="C65" t="str">
        <x:v>Week</x:v>
      </x:c>
      <x:c r="D65" t="str">
        <x:v>Heavy Goods</x:v>
      </x:c>
      <x:c r="E65" t="n">
        <x:v>546</x:v>
      </x:c>
      <x:c r="F65" t="n">
        <x:v>546</x:v>
      </x:c>
      <x:c r="G65" t="n">
        <x:v>500033.09</x:v>
      </x:c>
      <x:c r="H65" t="n">
        <x:v>0.987355</x:v>
      </x:c>
      <x:c r="I65" t="n">
        <x:v>0.973323</x:v>
      </x:c>
      <x:c r="J65" t="n">
        <x:v>3363424.07</x:v>
      </x:c>
    </x:row>
    <x:row r="66">
      <x:c r="A66" t="n">
        <x:v>2018</x:v>
      </x:c>
      <x:c r="B66" t="str">
        <x:v>May</x:v>
      </x:c>
      <x:c r="C66" t="str">
        <x:v>Week</x:v>
      </x:c>
      <x:c r="D66" t="str">
        <x:v>Other</x:v>
      </x:c>
      <x:c r="E66" t="n">
        <x:v>546</x:v>
      </x:c>
      <x:c r="F66" t="n">
        <x:v>36</x:v>
      </x:c>
      <x:c r="G66" t="n">
        <x:v>20285.72</x:v>
      </x:c>
      <x:c r="H66" t="n">
        <x:v>0.779806</x:v>
      </x:c>
      <x:c r="I66" t="n">
        <x:v>1</x:v>
      </x:c>
      <x:c r="J66" t="n">
        <x:v>110732.53</x:v>
      </x:c>
    </x:row>
    <x:row r="67">
      <x:c r="A67" t="n">
        <x:v>2018</x:v>
      </x:c>
      <x:c r="B67" t="str">
        <x:v>May</x:v>
      </x:c>
      <x:c r="C67" t="str">
        <x:v>Month</x:v>
      </x:c>
      <x:c r="D67" t="str">
        <x:v>Motorcycles</x:v>
      </x:c>
      <x:c r="E67" t="n">
        <x:v>546</x:v>
      </x:c>
      <x:c r="F67" t="n">
        <x:v>546</x:v>
      </x:c>
      <x:c r="G67" t="n">
        <x:v>8823394.52</x:v>
      </x:c>
      <x:c r="H67" t="n">
        <x:v>0.986111</x:v>
      </x:c>
      <x:c r="I67" t="n">
        <x:v>0.984658</x:v>
      </x:c>
      <x:c r="J67" t="n">
        <x:v>265567878.92</x:v>
      </x:c>
    </x:row>
    <x:row r="68">
      <x:c r="A68" t="n">
        <x:v>2018</x:v>
      </x:c>
      <x:c r="B68" t="str">
        <x:v>May</x:v>
      </x:c>
      <x:c r="C68" t="str">
        <x:v>Month</x:v>
      </x:c>
      <x:c r="D68" t="str">
        <x:v>Light Vehicles</x:v>
      </x:c>
      <x:c r="E68" t="n">
        <x:v>546</x:v>
      </x:c>
      <x:c r="F68" t="n">
        <x:v>546</x:v>
      </x:c>
      <x:c r="G68" t="n">
        <x:v>3709230.11</x:v>
      </x:c>
      <x:c r="H68" t="n">
        <x:v>0.988088</x:v>
      </x:c>
      <x:c r="I68" t="n">
        <x:v>0.988701</x:v>
      </x:c>
      <x:c r="J68" t="n">
        <x:v>112329368.48</x:v>
      </x:c>
    </x:row>
    <x:row r="69">
      <x:c r="A69" t="n">
        <x:v>2018</x:v>
      </x:c>
      <x:c r="B69" t="str">
        <x:v>May</x:v>
      </x:c>
      <x:c r="C69" t="str">
        <x:v>Month</x:v>
      </x:c>
      <x:c r="D69" t="str">
        <x:v>Buses</x:v>
      </x:c>
      <x:c r="E69" t="n">
        <x:v>546</x:v>
      </x:c>
      <x:c r="F69" t="n">
        <x:v>546</x:v>
      </x:c>
      <x:c r="G69" t="n">
        <x:v>1011756.15</x:v>
      </x:c>
      <x:c r="H69" t="n">
        <x:v>0.986881</x:v>
      </x:c>
      <x:c r="I69" t="n">
        <x:v>0.982438</x:v>
      </x:c>
      <x:c r="J69" t="n">
        <x:v>30407188.39</x:v>
      </x:c>
    </x:row>
    <x:row r="70">
      <x:c r="A70" t="n">
        <x:v>2018</x:v>
      </x:c>
      <x:c r="B70" t="str">
        <x:v>May</x:v>
      </x:c>
      <x:c r="C70" t="str">
        <x:v>Month</x:v>
      </x:c>
      <x:c r="D70" t="str">
        <x:v>Heavy Goods</x:v>
      </x:c>
      <x:c r="E70" t="n">
        <x:v>546</x:v>
      </x:c>
      <x:c r="F70" t="n">
        <x:v>546</x:v>
      </x:c>
      <x:c r="G70" t="n">
        <x:v>500033.09</x:v>
      </x:c>
      <x:c r="H70" t="n">
        <x:v>0.987355</x:v>
      </x:c>
      <x:c r="I70" t="n">
        <x:v>0.973323</x:v>
      </x:c>
      <x:c r="J70" t="n">
        <x:v>14895163.72</x:v>
      </x:c>
    </x:row>
    <x:row r="71">
      <x:c r="A71" t="n">
        <x:v>2018</x:v>
      </x:c>
      <x:c r="B71" t="str">
        <x:v>May</x:v>
      </x:c>
      <x:c r="C71" t="str">
        <x:v>Month</x:v>
      </x:c>
      <x:c r="D71" t="str">
        <x:v>Other</x:v>
      </x:c>
      <x:c r="E71" t="n">
        <x:v>546</x:v>
      </x:c>
      <x:c r="F71" t="n">
        <x:v>36</x:v>
      </x:c>
      <x:c r="G71" t="n">
        <x:v>20285.72</x:v>
      </x:c>
      <x:c r="H71" t="n">
        <x:v>0.779806</x:v>
      </x:c>
      <x:c r="I71" t="n">
        <x:v>1</x:v>
      </x:c>
      <x:c r="J71" t="n">
        <x:v>490386.92</x:v>
      </x:c>
    </x:row>
    <x:row r="72">
      <x:c r="A72" t="n">
        <x:v>2018</x:v>
      </x:c>
      <x:c r="B72" t="str">
        <x:v>May</x:v>
      </x:c>
      <x:c r="C72" t="str">
        <x:v>Year</x:v>
      </x:c>
      <x:c r="D72" t="str">
        <x:v>Motorcycles</x:v>
      </x:c>
      <x:c r="E72" t="n">
        <x:v>546</x:v>
      </x:c>
      <x:c r="F72" t="n">
        <x:v>546</x:v>
      </x:c>
      <x:c r="G72" t="n">
        <x:v>8823394.52</x:v>
      </x:c>
      <x:c r="H72" t="n">
        <x:v>0.986111</x:v>
      </x:c>
      <x:c r="I72" t="n">
        <x:v>0.984658</x:v>
      </x:c>
      <x:c r="J72" t="n">
        <x:v>3126847606.63</x:v>
      </x:c>
    </x:row>
    <x:row r="73">
      <x:c r="A73" t="n">
        <x:v>2018</x:v>
      </x:c>
      <x:c r="B73" t="str">
        <x:v>May</x:v>
      </x:c>
      <x:c r="C73" t="str">
        <x:v>Year</x:v>
      </x:c>
      <x:c r="D73" t="str">
        <x:v>Light Vehicles</x:v>
      </x:c>
      <x:c r="E73" t="n">
        <x:v>546</x:v>
      </x:c>
      <x:c r="F73" t="n">
        <x:v>546</x:v>
      </x:c>
      <x:c r="G73" t="n">
        <x:v>3709230.11</x:v>
      </x:c>
      <x:c r="H73" t="n">
        <x:v>0.988088</x:v>
      </x:c>
      <x:c r="I73" t="n">
        <x:v>0.988701</x:v>
      </x:c>
      <x:c r="J73" t="n">
        <x:v>1322587725.71</x:v>
      </x:c>
    </x:row>
    <x:row r="74">
      <x:c r="A74" t="n">
        <x:v>2018</x:v>
      </x:c>
      <x:c r="B74" t="str">
        <x:v>May</x:v>
      </x:c>
      <x:c r="C74" t="str">
        <x:v>Year</x:v>
      </x:c>
      <x:c r="D74" t="str">
        <x:v>Buses</x:v>
      </x:c>
      <x:c r="E74" t="n">
        <x:v>546</x:v>
      </x:c>
      <x:c r="F74" t="n">
        <x:v>546</x:v>
      </x:c>
      <x:c r="G74" t="n">
        <x:v>1011756.15</x:v>
      </x:c>
      <x:c r="H74" t="n">
        <x:v>0.986881</x:v>
      </x:c>
      <x:c r="I74" t="n">
        <x:v>0.982438</x:v>
      </x:c>
      <x:c r="J74" t="n">
        <x:v>358020121.35</x:v>
      </x:c>
    </x:row>
    <x:row r="75">
      <x:c r="A75" t="n">
        <x:v>2018</x:v>
      </x:c>
      <x:c r="B75" t="str">
        <x:v>May</x:v>
      </x:c>
      <x:c r="C75" t="str">
        <x:v>Year</x:v>
      </x:c>
      <x:c r="D75" t="str">
        <x:v>Heavy Goods</x:v>
      </x:c>
      <x:c r="E75" t="n">
        <x:v>546</x:v>
      </x:c>
      <x:c r="F75" t="n">
        <x:v>546</x:v>
      </x:c>
      <x:c r="G75" t="n">
        <x:v>500033.09</x:v>
      </x:c>
      <x:c r="H75" t="n">
        <x:v>0.987355</x:v>
      </x:c>
      <x:c r="I75" t="n">
        <x:v>0.973323</x:v>
      </x:c>
      <x:c r="J75" t="n">
        <x:v>175378540.53</x:v>
      </x:c>
    </x:row>
    <x:row r="76">
      <x:c r="A76" t="n">
        <x:v>2018</x:v>
      </x:c>
      <x:c r="B76" t="str">
        <x:v>May</x:v>
      </x:c>
      <x:c r="C76" t="str">
        <x:v>Year</x:v>
      </x:c>
      <x:c r="D76" t="str">
        <x:v>Other</x:v>
      </x:c>
      <x:c r="E76" t="n">
        <x:v>546</x:v>
      </x:c>
      <x:c r="F76" t="n">
        <x:v>36</x:v>
      </x:c>
      <x:c r="G76" t="n">
        <x:v>20285.72</x:v>
      </x:c>
      <x:c r="H76" t="n">
        <x:v>0.779806</x:v>
      </x:c>
      <x:c r="I76" t="n">
        <x:v>1</x:v>
      </x:c>
      <x:c r="J76" t="n">
        <x:v>5773910.54</x:v>
      </x:c>
    </x:row>
    <x:row r="77">
      <x:c r="A77" t="n">
        <x:v>2019</x:v>
      </x:c>
      <x:c r="B77" t="str">
        <x:v>May</x:v>
      </x:c>
      <x:c r="C77" t="str">
        <x:v>Hour</x:v>
      </x:c>
      <x:c r="D77" t="str">
        <x:v>Motorcycles</x:v>
      </x:c>
      <x:c r="E77" t="n">
        <x:v>546</x:v>
      </x:c>
      <x:c r="F77" t="n">
        <x:v>546</x:v>
      </x:c>
      <x:c r="G77" t="n">
        <x:v>8823394.52</x:v>
      </x:c>
      <x:c r="H77" t="n">
        <x:v>0.988277</x:v>
      </x:c>
      <x:c r="I77" t="n">
        <x:v>0.984658</x:v>
      </x:c>
      <x:c r="J77" t="n">
        <x:v>357735.88</x:v>
      </x:c>
    </x:row>
    <x:row r="78">
      <x:c r="A78" t="n">
        <x:v>2019</x:v>
      </x:c>
      <x:c r="B78" t="str">
        <x:v>May</x:v>
      </x:c>
      <x:c r="C78" t="str">
        <x:v>Hour</x:v>
      </x:c>
      <x:c r="D78" t="str">
        <x:v>Light Vehicles</x:v>
      </x:c>
      <x:c r="E78" t="n">
        <x:v>546</x:v>
      </x:c>
      <x:c r="F78" t="n">
        <x:v>546</x:v>
      </x:c>
      <x:c r="G78" t="n">
        <x:v>3709230.11</x:v>
      </x:c>
      <x:c r="H78" t="n">
        <x:v>0.989942</x:v>
      </x:c>
      <x:c r="I78" t="n">
        <x:v>0.988701</x:v>
      </x:c>
      <x:c r="J78" t="n">
        <x:v>151264.74</x:v>
      </x:c>
    </x:row>
    <x:row r="79">
      <x:c r="A79" t="n">
        <x:v>2019</x:v>
      </x:c>
      <x:c r="B79" t="str">
        <x:v>May</x:v>
      </x:c>
      <x:c r="C79" t="str">
        <x:v>Hour</x:v>
      </x:c>
      <x:c r="D79" t="str">
        <x:v>Buses</x:v>
      </x:c>
      <x:c r="E79" t="n">
        <x:v>546</x:v>
      </x:c>
      <x:c r="F79" t="n">
        <x:v>546</x:v>
      </x:c>
      <x:c r="G79" t="n">
        <x:v>1011756.15</x:v>
      </x:c>
      <x:c r="H79" t="n">
        <x:v>0.988886</x:v>
      </x:c>
      <x:c r="I79" t="n">
        <x:v>0.982438</x:v>
      </x:c>
      <x:c r="J79" t="n">
        <x:v>40953.55</x:v>
      </x:c>
    </x:row>
    <x:row r="80">
      <x:c r="A80" t="n">
        <x:v>2019</x:v>
      </x:c>
      <x:c r="B80" t="str">
        <x:v>May</x:v>
      </x:c>
      <x:c r="C80" t="str">
        <x:v>Hour</x:v>
      </x:c>
      <x:c r="D80" t="str">
        <x:v>Heavy Goods</x:v>
      </x:c>
      <x:c r="E80" t="n">
        <x:v>546</x:v>
      </x:c>
      <x:c r="F80" t="n">
        <x:v>546</x:v>
      </x:c>
      <x:c r="G80" t="n">
        <x:v>500033.09</x:v>
      </x:c>
      <x:c r="H80" t="n">
        <x:v>0.989216</x:v>
      </x:c>
      <x:c r="I80" t="n">
        <x:v>0.973323</x:v>
      </x:c>
      <x:c r="J80" t="n">
        <x:v>20058.54</x:v>
      </x:c>
    </x:row>
    <x:row r="81">
      <x:c r="A81" t="n">
        <x:v>2019</x:v>
      </x:c>
      <x:c r="B81" t="str">
        <x:v>May</x:v>
      </x:c>
      <x:c r="C81" t="str">
        <x:v>Hour</x:v>
      </x:c>
      <x:c r="D81" t="str">
        <x:v>Other</x:v>
      </x:c>
      <x:c r="E81" t="n">
        <x:v>546</x:v>
      </x:c>
      <x:c r="F81" t="n">
        <x:v>36</x:v>
      </x:c>
      <x:c r="G81" t="n">
        <x:v>20285.72</x:v>
      </x:c>
      <x:c r="H81" t="n">
        <x:v>0.81726</x:v>
      </x:c>
      <x:c r="I81" t="n">
        <x:v>1</x:v>
      </x:c>
      <x:c r="J81" t="n">
        <x:v>690.78</x:v>
      </x:c>
    </x:row>
    <x:row r="82">
      <x:c r="A82" t="n">
        <x:v>2019</x:v>
      </x:c>
      <x:c r="B82" t="str">
        <x:v>May</x:v>
      </x:c>
      <x:c r="C82" t="str">
        <x:v>Day</x:v>
      </x:c>
      <x:c r="D82" t="str">
        <x:v>Motorcycles</x:v>
      </x:c>
      <x:c r="E82" t="n">
        <x:v>546</x:v>
      </x:c>
      <x:c r="F82" t="n">
        <x:v>546</x:v>
      </x:c>
      <x:c r="G82" t="n">
        <x:v>8823394.52</x:v>
      </x:c>
      <x:c r="H82" t="n">
        <x:v>0.988277</x:v>
      </x:c>
      <x:c r="I82" t="n">
        <x:v>0.984658</x:v>
      </x:c>
      <x:c r="J82" t="n">
        <x:v>8585661.13</x:v>
      </x:c>
    </x:row>
    <x:row r="83">
      <x:c r="A83" t="n">
        <x:v>2019</x:v>
      </x:c>
      <x:c r="B83" t="str">
        <x:v>May</x:v>
      </x:c>
      <x:c r="C83" t="str">
        <x:v>Day</x:v>
      </x:c>
      <x:c r="D83" t="str">
        <x:v>Light Vehicles</x:v>
      </x:c>
      <x:c r="E83" t="n">
        <x:v>546</x:v>
      </x:c>
      <x:c r="F83" t="n">
        <x:v>546</x:v>
      </x:c>
      <x:c r="G83" t="n">
        <x:v>3709230.11</x:v>
      </x:c>
      <x:c r="H83" t="n">
        <x:v>0.989942</x:v>
      </x:c>
      <x:c r="I83" t="n">
        <x:v>0.988701</x:v>
      </x:c>
      <x:c r="J83" t="n">
        <x:v>3630353.79</x:v>
      </x:c>
    </x:row>
    <x:row r="84">
      <x:c r="A84" t="n">
        <x:v>2019</x:v>
      </x:c>
      <x:c r="B84" t="str">
        <x:v>May</x:v>
      </x:c>
      <x:c r="C84" t="str">
        <x:v>Day</x:v>
      </x:c>
      <x:c r="D84" t="str">
        <x:v>Buses</x:v>
      </x:c>
      <x:c r="E84" t="n">
        <x:v>546</x:v>
      </x:c>
      <x:c r="F84" t="n">
        <x:v>546</x:v>
      </x:c>
      <x:c r="G84" t="n">
        <x:v>1011756.15</x:v>
      </x:c>
      <x:c r="H84" t="n">
        <x:v>0.988886</x:v>
      </x:c>
      <x:c r="I84" t="n">
        <x:v>0.982438</x:v>
      </x:c>
      <x:c r="J84" t="n">
        <x:v>982885.14</x:v>
      </x:c>
    </x:row>
    <x:row r="85">
      <x:c r="A85" t="n">
        <x:v>2019</x:v>
      </x:c>
      <x:c r="B85" t="str">
        <x:v>May</x:v>
      </x:c>
      <x:c r="C85" t="str">
        <x:v>Day</x:v>
      </x:c>
      <x:c r="D85" t="str">
        <x:v>Heavy Goods</x:v>
      </x:c>
      <x:c r="E85" t="n">
        <x:v>546</x:v>
      </x:c>
      <x:c r="F85" t="n">
        <x:v>546</x:v>
      </x:c>
      <x:c r="G85" t="n">
        <x:v>500033.09</x:v>
      </x:c>
      <x:c r="H85" t="n">
        <x:v>0.989216</x:v>
      </x:c>
      <x:c r="I85" t="n">
        <x:v>0.973323</x:v>
      </x:c>
      <x:c r="J85" t="n">
        <x:v>481404.93</x:v>
      </x:c>
    </x:row>
    <x:row r="86">
      <x:c r="A86" t="n">
        <x:v>2019</x:v>
      </x:c>
      <x:c r="B86" t="str">
        <x:v>May</x:v>
      </x:c>
      <x:c r="C86" t="str">
        <x:v>Day</x:v>
      </x:c>
      <x:c r="D86" t="str">
        <x:v>Other</x:v>
      </x:c>
      <x:c r="E86" t="n">
        <x:v>546</x:v>
      </x:c>
      <x:c r="F86" t="n">
        <x:v>36</x:v>
      </x:c>
      <x:c r="G86" t="n">
        <x:v>20285.72</x:v>
      </x:c>
      <x:c r="H86" t="n">
        <x:v>0.81726</x:v>
      </x:c>
      <x:c r="I86" t="n">
        <x:v>1</x:v>
      </x:c>
      <x:c r="J86" t="n">
        <x:v>16578.71</x:v>
      </x:c>
    </x:row>
    <x:row r="87">
      <x:c r="A87" t="n">
        <x:v>2019</x:v>
      </x:c>
      <x:c r="B87" t="str">
        <x:v>May</x:v>
      </x:c>
      <x:c r="C87" t="str">
        <x:v>Week</x:v>
      </x:c>
      <x:c r="D87" t="str">
        <x:v>Motorcycles</x:v>
      </x:c>
      <x:c r="E87" t="n">
        <x:v>546</x:v>
      </x:c>
      <x:c r="F87" t="n">
        <x:v>546</x:v>
      </x:c>
      <x:c r="G87" t="n">
        <x:v>8823394.52</x:v>
      </x:c>
      <x:c r="H87" t="n">
        <x:v>0.988277</x:v>
      </x:c>
      <x:c r="I87" t="n">
        <x:v>0.984658</x:v>
      </x:c>
      <x:c r="J87" t="n">
        <x:v>60099627.91</x:v>
      </x:c>
    </x:row>
    <x:row r="88">
      <x:c r="A88" t="n">
        <x:v>2019</x:v>
      </x:c>
      <x:c r="B88" t="str">
        <x:v>May</x:v>
      </x:c>
      <x:c r="C88" t="str">
        <x:v>Week</x:v>
      </x:c>
      <x:c r="D88" t="str">
        <x:v>Light Vehicles</x:v>
      </x:c>
      <x:c r="E88" t="n">
        <x:v>546</x:v>
      </x:c>
      <x:c r="F88" t="n">
        <x:v>546</x:v>
      </x:c>
      <x:c r="G88" t="n">
        <x:v>3709230.11</x:v>
      </x:c>
      <x:c r="H88" t="n">
        <x:v>0.989942</x:v>
      </x:c>
      <x:c r="I88" t="n">
        <x:v>0.988701</x:v>
      </x:c>
      <x:c r="J88" t="n">
        <x:v>25412476.52</x:v>
      </x:c>
    </x:row>
    <x:row r="89">
      <x:c r="A89" t="n">
        <x:v>2019</x:v>
      </x:c>
      <x:c r="B89" t="str">
        <x:v>May</x:v>
      </x:c>
      <x:c r="C89" t="str">
        <x:v>Week</x:v>
      </x:c>
      <x:c r="D89" t="str">
        <x:v>Buses</x:v>
      </x:c>
      <x:c r="E89" t="n">
        <x:v>546</x:v>
      </x:c>
      <x:c r="F89" t="n">
        <x:v>546</x:v>
      </x:c>
      <x:c r="G89" t="n">
        <x:v>1011756.15</x:v>
      </x:c>
      <x:c r="H89" t="n">
        <x:v>0.988886</x:v>
      </x:c>
      <x:c r="I89" t="n">
        <x:v>0.982438</x:v>
      </x:c>
      <x:c r="J89" t="n">
        <x:v>6880195.99</x:v>
      </x:c>
    </x:row>
    <x:row r="90">
      <x:c r="A90" t="n">
        <x:v>2019</x:v>
      </x:c>
      <x:c r="B90" t="str">
        <x:v>May</x:v>
      </x:c>
      <x:c r="C90" t="str">
        <x:v>Week</x:v>
      </x:c>
      <x:c r="D90" t="str">
        <x:v>Heavy Goods</x:v>
      </x:c>
      <x:c r="E90" t="n">
        <x:v>546</x:v>
      </x:c>
      <x:c r="F90" t="n">
        <x:v>546</x:v>
      </x:c>
      <x:c r="G90" t="n">
        <x:v>500033.09</x:v>
      </x:c>
      <x:c r="H90" t="n">
        <x:v>0.989216</x:v>
      </x:c>
      <x:c r="I90" t="n">
        <x:v>0.973323</x:v>
      </x:c>
      <x:c r="J90" t="n">
        <x:v>3369834.54</x:v>
      </x:c>
    </x:row>
    <x:row r="91">
      <x:c r="A91" t="n">
        <x:v>2019</x:v>
      </x:c>
      <x:c r="B91" t="str">
        <x:v>May</x:v>
      </x:c>
      <x:c r="C91" t="str">
        <x:v>Week</x:v>
      </x:c>
      <x:c r="D91" t="str">
        <x:v>Other</x:v>
      </x:c>
      <x:c r="E91" t="n">
        <x:v>546</x:v>
      </x:c>
      <x:c r="F91" t="n">
        <x:v>36</x:v>
      </x:c>
      <x:c r="G91" t="n">
        <x:v>20285.72</x:v>
      </x:c>
      <x:c r="H91" t="n">
        <x:v>0.81726</x:v>
      </x:c>
      <x:c r="I91" t="n">
        <x:v>1</x:v>
      </x:c>
      <x:c r="J91" t="n">
        <x:v>116050.95</x:v>
      </x:c>
    </x:row>
    <x:row r="92">
      <x:c r="A92" t="n">
        <x:v>2019</x:v>
      </x:c>
      <x:c r="B92" t="str">
        <x:v>May</x:v>
      </x:c>
      <x:c r="C92" t="str">
        <x:v>Month</x:v>
      </x:c>
      <x:c r="D92" t="str">
        <x:v>Motorcycles</x:v>
      </x:c>
      <x:c r="E92" t="n">
        <x:v>546</x:v>
      </x:c>
      <x:c r="F92" t="n">
        <x:v>546</x:v>
      </x:c>
      <x:c r="G92" t="n">
        <x:v>8823394.52</x:v>
      </x:c>
      <x:c r="H92" t="n">
        <x:v>0.988277</x:v>
      </x:c>
      <x:c r="I92" t="n">
        <x:v>0.984658</x:v>
      </x:c>
      <x:c r="J92" t="n">
        <x:v>266155495.04</x:v>
      </x:c>
    </x:row>
    <x:row r="93">
      <x:c r="A93" t="n">
        <x:v>2019</x:v>
      </x:c>
      <x:c r="B93" t="str">
        <x:v>May</x:v>
      </x:c>
      <x:c r="C93" t="str">
        <x:v>Month</x:v>
      </x:c>
      <x:c r="D93" t="str">
        <x:v>Light Vehicles</x:v>
      </x:c>
      <x:c r="E93" t="n">
        <x:v>546</x:v>
      </x:c>
      <x:c r="F93" t="n">
        <x:v>546</x:v>
      </x:c>
      <x:c r="G93" t="n">
        <x:v>3709230.11</x:v>
      </x:c>
      <x:c r="H93" t="n">
        <x:v>0.989942</x:v>
      </x:c>
      <x:c r="I93" t="n">
        <x:v>0.988701</x:v>
      </x:c>
      <x:c r="J93" t="n">
        <x:v>112540967.45</x:v>
      </x:c>
    </x:row>
    <x:row r="94">
      <x:c r="A94" t="n">
        <x:v>2019</x:v>
      </x:c>
      <x:c r="B94" t="str">
        <x:v>May</x:v>
      </x:c>
      <x:c r="C94" t="str">
        <x:v>Month</x:v>
      </x:c>
      <x:c r="D94" t="str">
        <x:v>Buses</x:v>
      </x:c>
      <x:c r="E94" t="n">
        <x:v>546</x:v>
      </x:c>
      <x:c r="F94" t="n">
        <x:v>546</x:v>
      </x:c>
      <x:c r="G94" t="n">
        <x:v>1011756.15</x:v>
      </x:c>
      <x:c r="H94" t="n">
        <x:v>0.988886</x:v>
      </x:c>
      <x:c r="I94" t="n">
        <x:v>0.982438</x:v>
      </x:c>
      <x:c r="J94" t="n">
        <x:v>30469439.38</x:v>
      </x:c>
    </x:row>
    <x:row r="95">
      <x:c r="A95" t="n">
        <x:v>2019</x:v>
      </x:c>
      <x:c r="B95" t="str">
        <x:v>May</x:v>
      </x:c>
      <x:c r="C95" t="str">
        <x:v>Month</x:v>
      </x:c>
      <x:c r="D95" t="str">
        <x:v>Heavy Goods</x:v>
      </x:c>
      <x:c r="E95" t="n">
        <x:v>546</x:v>
      </x:c>
      <x:c r="F95" t="n">
        <x:v>546</x:v>
      </x:c>
      <x:c r="G95" t="n">
        <x:v>500033.09</x:v>
      </x:c>
      <x:c r="H95" t="n">
        <x:v>0.989216</x:v>
      </x:c>
      <x:c r="I95" t="n">
        <x:v>0.973323</x:v>
      </x:c>
      <x:c r="J95" t="n">
        <x:v>14923552.97</x:v>
      </x:c>
    </x:row>
    <x:row r="96">
      <x:c r="A96" t="n">
        <x:v>2019</x:v>
      </x:c>
      <x:c r="B96" t="str">
        <x:v>May</x:v>
      </x:c>
      <x:c r="C96" t="str">
        <x:v>Month</x:v>
      </x:c>
      <x:c r="D96" t="str">
        <x:v>Other</x:v>
      </x:c>
      <x:c r="E96" t="n">
        <x:v>546</x:v>
      </x:c>
      <x:c r="F96" t="n">
        <x:v>36</x:v>
      </x:c>
      <x:c r="G96" t="n">
        <x:v>20285.72</x:v>
      </x:c>
      <x:c r="H96" t="n">
        <x:v>0.81726</x:v>
      </x:c>
      <x:c r="I96" t="n">
        <x:v>1</x:v>
      </x:c>
      <x:c r="J96" t="n">
        <x:v>513939.94</x:v>
      </x:c>
    </x:row>
    <x:row r="97">
      <x:c r="A97" t="n">
        <x:v>2019</x:v>
      </x:c>
      <x:c r="B97" t="str">
        <x:v>May</x:v>
      </x:c>
      <x:c r="C97" t="str">
        <x:v>Year</x:v>
      </x:c>
      <x:c r="D97" t="str">
        <x:v>Motorcycles</x:v>
      </x:c>
      <x:c r="E97" t="n">
        <x:v>546</x:v>
      </x:c>
      <x:c r="F97" t="n">
        <x:v>546</x:v>
      </x:c>
      <x:c r="G97" t="n">
        <x:v>8823394.52</x:v>
      </x:c>
      <x:c r="H97" t="n">
        <x:v>0.988277</x:v>
      </x:c>
      <x:c r="I97" t="n">
        <x:v>0.984658</x:v>
      </x:c>
      <x:c r="J97" t="n">
        <x:v>3133766312.55</x:v>
      </x:c>
    </x:row>
    <x:row r="98">
      <x:c r="A98" t="n">
        <x:v>2019</x:v>
      </x:c>
      <x:c r="B98" t="str">
        <x:v>May</x:v>
      </x:c>
      <x:c r="C98" t="str">
        <x:v>Year</x:v>
      </x:c>
      <x:c r="D98" t="str">
        <x:v>Light Vehicles</x:v>
      </x:c>
      <x:c r="E98" t="n">
        <x:v>546</x:v>
      </x:c>
      <x:c r="F98" t="n">
        <x:v>546</x:v>
      </x:c>
      <x:c r="G98" t="n">
        <x:v>3709230.11</x:v>
      </x:c>
      <x:c r="H98" t="n">
        <x:v>0.989942</x:v>
      </x:c>
      <x:c r="I98" t="n">
        <x:v>0.988701</x:v>
      </x:c>
      <x:c r="J98" t="n">
        <x:v>1325079132.91</x:v>
      </x:c>
    </x:row>
    <x:row r="99">
      <x:c r="A99" t="n">
        <x:v>2019</x:v>
      </x:c>
      <x:c r="B99" t="str">
        <x:v>May</x:v>
      </x:c>
      <x:c r="C99" t="str">
        <x:v>Year</x:v>
      </x:c>
      <x:c r="D99" t="str">
        <x:v>Buses</x:v>
      </x:c>
      <x:c r="E99" t="n">
        <x:v>546</x:v>
      </x:c>
      <x:c r="F99" t="n">
        <x:v>546</x:v>
      </x:c>
      <x:c r="G99" t="n">
        <x:v>1011756.15</x:v>
      </x:c>
      <x:c r="H99" t="n">
        <x:v>0.988886</x:v>
      </x:c>
      <x:c r="I99" t="n">
        <x:v>0.982438</x:v>
      </x:c>
      <x:c r="J99" t="n">
        <x:v>358753076.61</x:v>
      </x:c>
    </x:row>
    <x:row r="100">
      <x:c r="A100" t="n">
        <x:v>2019</x:v>
      </x:c>
      <x:c r="B100" t="str">
        <x:v>May</x:v>
      </x:c>
      <x:c r="C100" t="str">
        <x:v>Year</x:v>
      </x:c>
      <x:c r="D100" t="str">
        <x:v>Heavy Goods</x:v>
      </x:c>
      <x:c r="E100" t="n">
        <x:v>546</x:v>
      </x:c>
      <x:c r="F100" t="n">
        <x:v>546</x:v>
      </x:c>
      <x:c r="G100" t="n">
        <x:v>500033.09</x:v>
      </x:c>
      <x:c r="H100" t="n">
        <x:v>0.989216</x:v>
      </x:c>
      <x:c r="I100" t="n">
        <x:v>0.973323</x:v>
      </x:c>
      <x:c r="J100" t="n">
        <x:v>175712801.1</x:v>
      </x:c>
    </x:row>
    <x:row r="101">
      <x:c r="A101" t="n">
        <x:v>2019</x:v>
      </x:c>
      <x:c r="B101" t="str">
        <x:v>May</x:v>
      </x:c>
      <x:c r="C101" t="str">
        <x:v>Year</x:v>
      </x:c>
      <x:c r="D101" t="str">
        <x:v>Other</x:v>
      </x:c>
      <x:c r="E101" t="n">
        <x:v>546</x:v>
      </x:c>
      <x:c r="F101" t="n">
        <x:v>36</x:v>
      </x:c>
      <x:c r="G101" t="n">
        <x:v>20285.72</x:v>
      </x:c>
      <x:c r="H101" t="n">
        <x:v>0.81726</x:v>
      </x:c>
      <x:c r="I101" t="n">
        <x:v>1</x:v>
      </x:c>
      <x:c r="J101" t="n">
        <x:v>6051228.33</x:v>
      </x:c>
    </x:row>
    <x:row r="102">
      <x:c r="A102" t="n">
        <x:v>2020</x:v>
      </x:c>
      <x:c r="B102" t="str">
        <x:v>May</x:v>
      </x:c>
      <x:c r="C102" t="str">
        <x:v>Hour</x:v>
      </x:c>
      <x:c r="D102" t="str">
        <x:v>Motorcycles</x:v>
      </x:c>
      <x:c r="E102" t="n">
        <x:v>546</x:v>
      </x:c>
      <x:c r="F102" t="n">
        <x:v>546</x:v>
      </x:c>
      <x:c r="G102" t="n">
        <x:v>8823394.52</x:v>
      </x:c>
      <x:c r="H102" t="n">
        <x:v>0.990497</x:v>
      </x:c>
      <x:c r="I102" t="n">
        <x:v>0.984658</x:v>
      </x:c>
      <x:c r="J102" t="n">
        <x:v>358545.57</x:v>
      </x:c>
    </x:row>
    <x:row r="103">
      <x:c r="A103" t="n">
        <x:v>2020</x:v>
      </x:c>
      <x:c r="B103" t="str">
        <x:v>May</x:v>
      </x:c>
      <x:c r="C103" t="str">
        <x:v>Hour</x:v>
      </x:c>
      <x:c r="D103" t="str">
        <x:v>Light Vehicles</x:v>
      </x:c>
      <x:c r="E103" t="n">
        <x:v>546</x:v>
      </x:c>
      <x:c r="F103" t="n">
        <x:v>546</x:v>
      </x:c>
      <x:c r="G103" t="n">
        <x:v>3709230.11</x:v>
      </x:c>
      <x:c r="H103" t="n">
        <x:v>0.991819</x:v>
      </x:c>
      <x:c r="I103" t="n">
        <x:v>0.988701</x:v>
      </x:c>
      <x:c r="J103" t="n">
        <x:v>151552.89</x:v>
      </x:c>
    </x:row>
    <x:row r="104">
      <x:c r="A104" t="n">
        <x:v>2020</x:v>
      </x:c>
      <x:c r="B104" t="str">
        <x:v>May</x:v>
      </x:c>
      <x:c r="C104" t="str">
        <x:v>Hour</x:v>
      </x:c>
      <x:c r="D104" t="str">
        <x:v>Buses</x:v>
      </x:c>
      <x:c r="E104" t="n">
        <x:v>546</x:v>
      </x:c>
      <x:c r="F104" t="n">
        <x:v>546</x:v>
      </x:c>
      <x:c r="G104" t="n">
        <x:v>1011756.15</x:v>
      </x:c>
      <x:c r="H104" t="n">
        <x:v>0.990933</x:v>
      </x:c>
      <x:c r="I104" t="n">
        <x:v>0.982438</x:v>
      </x:c>
      <x:c r="J104" t="n">
        <x:v>41039.01</x:v>
      </x:c>
    </x:row>
    <x:row r="105">
      <x:c r="A105" t="n">
        <x:v>2020</x:v>
      </x:c>
      <x:c r="B105" t="str">
        <x:v>May</x:v>
      </x:c>
      <x:c r="C105" t="str">
        <x:v>Hour</x:v>
      </x:c>
      <x:c r="D105" t="str">
        <x:v>Heavy Goods</x:v>
      </x:c>
      <x:c r="E105" t="n">
        <x:v>546</x:v>
      </x:c>
      <x:c r="F105" t="n">
        <x:v>546</x:v>
      </x:c>
      <x:c r="G105" t="n">
        <x:v>500033.09</x:v>
      </x:c>
      <x:c r="H105" t="n">
        <x:v>0.991117</x:v>
      </x:c>
      <x:c r="I105" t="n">
        <x:v>0.973323</x:v>
      </x:c>
      <x:c r="J105" t="n">
        <x:v>20097.53</x:v>
      </x:c>
    </x:row>
    <x:row r="106">
      <x:c r="A106" t="n">
        <x:v>2020</x:v>
      </x:c>
      <x:c r="B106" t="str">
        <x:v>May</x:v>
      </x:c>
      <x:c r="C106" t="str">
        <x:v>Hour</x:v>
      </x:c>
      <x:c r="D106" t="str">
        <x:v>Other</x:v>
      </x:c>
      <x:c r="E106" t="n">
        <x:v>546</x:v>
      </x:c>
      <x:c r="F106" t="n">
        <x:v>36</x:v>
      </x:c>
      <x:c r="G106" t="n">
        <x:v>20285.72</x:v>
      </x:c>
      <x:c r="H106" t="n">
        <x:v>0.857692</x:v>
      </x:c>
      <x:c r="I106" t="n">
        <x:v>1</x:v>
      </x:c>
      <x:c r="J106" t="n">
        <x:v>724.95</x:v>
      </x:c>
    </x:row>
    <x:row r="107">
      <x:c r="A107" t="n">
        <x:v>2020</x:v>
      </x:c>
      <x:c r="B107" t="str">
        <x:v>May</x:v>
      </x:c>
      <x:c r="C107" t="str">
        <x:v>Day</x:v>
      </x:c>
      <x:c r="D107" t="str">
        <x:v>Motorcycles</x:v>
      </x:c>
      <x:c r="E107" t="n">
        <x:v>546</x:v>
      </x:c>
      <x:c r="F107" t="n">
        <x:v>546</x:v>
      </x:c>
      <x:c r="G107" t="n">
        <x:v>8823394.52</x:v>
      </x:c>
      <x:c r="H107" t="n">
        <x:v>0.990497</x:v>
      </x:c>
      <x:c r="I107" t="n">
        <x:v>0.984658</x:v>
      </x:c>
      <x:c r="J107" t="n">
        <x:v>8605093.64</x:v>
      </x:c>
    </x:row>
    <x:row r="108">
      <x:c r="A108" t="n">
        <x:v>2020</x:v>
      </x:c>
      <x:c r="B108" t="str">
        <x:v>May</x:v>
      </x:c>
      <x:c r="C108" t="str">
        <x:v>Day</x:v>
      </x:c>
      <x:c r="D108" t="str">
        <x:v>Light Vehicles</x:v>
      </x:c>
      <x:c r="E108" t="n">
        <x:v>546</x:v>
      </x:c>
      <x:c r="F108" t="n">
        <x:v>546</x:v>
      </x:c>
      <x:c r="G108" t="n">
        <x:v>3709230.11</x:v>
      </x:c>
      <x:c r="H108" t="n">
        <x:v>0.991819</x:v>
      </x:c>
      <x:c r="I108" t="n">
        <x:v>0.988701</x:v>
      </x:c>
      <x:c r="J108" t="n">
        <x:v>3637269.44</x:v>
      </x:c>
    </x:row>
    <x:row r="109">
      <x:c r="A109" t="n">
        <x:v>2020</x:v>
      </x:c>
      <x:c r="B109" t="str">
        <x:v>May</x:v>
      </x:c>
      <x:c r="C109" t="str">
        <x:v>Day</x:v>
      </x:c>
      <x:c r="D109" t="str">
        <x:v>Buses</x:v>
      </x:c>
      <x:c r="E109" t="n">
        <x:v>546</x:v>
      </x:c>
      <x:c r="F109" t="n">
        <x:v>546</x:v>
      </x:c>
      <x:c r="G109" t="n">
        <x:v>1011756.15</x:v>
      </x:c>
      <x:c r="H109" t="n">
        <x:v>0.990933</x:v>
      </x:c>
      <x:c r="I109" t="n">
        <x:v>0.982438</x:v>
      </x:c>
      <x:c r="J109" t="n">
        <x:v>984936.3</x:v>
      </x:c>
    </x:row>
    <x:row r="110">
      <x:c r="A110" t="n">
        <x:v>2020</x:v>
      </x:c>
      <x:c r="B110" t="str">
        <x:v>May</x:v>
      </x:c>
      <x:c r="C110" t="str">
        <x:v>Day</x:v>
      </x:c>
      <x:c r="D110" t="str">
        <x:v>Heavy Goods</x:v>
      </x:c>
      <x:c r="E110" t="n">
        <x:v>546</x:v>
      </x:c>
      <x:c r="F110" t="n">
        <x:v>546</x:v>
      </x:c>
      <x:c r="G110" t="n">
        <x:v>500033.09</x:v>
      </x:c>
      <x:c r="H110" t="n">
        <x:v>0.991117</x:v>
      </x:c>
      <x:c r="I110" t="n">
        <x:v>0.973323</x:v>
      </x:c>
      <x:c r="J110" t="n">
        <x:v>482340.65</x:v>
      </x:c>
    </x:row>
    <x:row r="111">
      <x:c r="A111" t="n">
        <x:v>2020</x:v>
      </x:c>
      <x:c r="B111" t="str">
        <x:v>May</x:v>
      </x:c>
      <x:c r="C111" t="str">
        <x:v>Day</x:v>
      </x:c>
      <x:c r="D111" t="str">
        <x:v>Other</x:v>
      </x:c>
      <x:c r="E111" t="n">
        <x:v>546</x:v>
      </x:c>
      <x:c r="F111" t="n">
        <x:v>36</x:v>
      </x:c>
      <x:c r="G111" t="n">
        <x:v>20285.72</x:v>
      </x:c>
      <x:c r="H111" t="n">
        <x:v>0.857692</x:v>
      </x:c>
      <x:c r="I111" t="n">
        <x:v>1</x:v>
      </x:c>
      <x:c r="J111" t="n">
        <x:v>17398.9</x:v>
      </x:c>
    </x:row>
    <x:row r="112">
      <x:c r="A112" t="n">
        <x:v>2020</x:v>
      </x:c>
      <x:c r="B112" t="str">
        <x:v>May</x:v>
      </x:c>
      <x:c r="C112" t="str">
        <x:v>Week</x:v>
      </x:c>
      <x:c r="D112" t="str">
        <x:v>Motorcycles</x:v>
      </x:c>
      <x:c r="E112" t="n">
        <x:v>546</x:v>
      </x:c>
      <x:c r="F112" t="n">
        <x:v>546</x:v>
      </x:c>
      <x:c r="G112" t="n">
        <x:v>8823394.52</x:v>
      </x:c>
      <x:c r="H112" t="n">
        <x:v>0.990497</x:v>
      </x:c>
      <x:c r="I112" t="n">
        <x:v>0.984658</x:v>
      </x:c>
      <x:c r="J112" t="n">
        <x:v>60235655.46</x:v>
      </x:c>
    </x:row>
    <x:row r="113">
      <x:c r="A113" t="n">
        <x:v>2020</x:v>
      </x:c>
      <x:c r="B113" t="str">
        <x:v>May</x:v>
      </x:c>
      <x:c r="C113" t="str">
        <x:v>Week</x:v>
      </x:c>
      <x:c r="D113" t="str">
        <x:v>Light Vehicles</x:v>
      </x:c>
      <x:c r="E113" t="n">
        <x:v>546</x:v>
      </x:c>
      <x:c r="F113" t="n">
        <x:v>546</x:v>
      </x:c>
      <x:c r="G113" t="n">
        <x:v>3709230.11</x:v>
      </x:c>
      <x:c r="H113" t="n">
        <x:v>0.991819</x:v>
      </x:c>
      <x:c r="I113" t="n">
        <x:v>0.988701</x:v>
      </x:c>
      <x:c r="J113" t="n">
        <x:v>25460886.06</x:v>
      </x:c>
    </x:row>
    <x:row r="114">
      <x:c r="A114" t="n">
        <x:v>2020</x:v>
      </x:c>
      <x:c r="B114" t="str">
        <x:v>May</x:v>
      </x:c>
      <x:c r="C114" t="str">
        <x:v>Week</x:v>
      </x:c>
      <x:c r="D114" t="str">
        <x:v>Buses</x:v>
      </x:c>
      <x:c r="E114" t="n">
        <x:v>546</x:v>
      </x:c>
      <x:c r="F114" t="n">
        <x:v>546</x:v>
      </x:c>
      <x:c r="G114" t="n">
        <x:v>1011756.15</x:v>
      </x:c>
      <x:c r="H114" t="n">
        <x:v>0.990933</x:v>
      </x:c>
      <x:c r="I114" t="n">
        <x:v>0.982438</x:v>
      </x:c>
      <x:c r="J114" t="n">
        <x:v>6894554.07</x:v>
      </x:c>
    </x:row>
    <x:row r="115">
      <x:c r="A115" t="n">
        <x:v>2020</x:v>
      </x:c>
      <x:c r="B115" t="str">
        <x:v>May</x:v>
      </x:c>
      <x:c r="C115" t="str">
        <x:v>Week</x:v>
      </x:c>
      <x:c r="D115" t="str">
        <x:v>Heavy Goods</x:v>
      </x:c>
      <x:c r="E115" t="n">
        <x:v>546</x:v>
      </x:c>
      <x:c r="F115" t="n">
        <x:v>546</x:v>
      </x:c>
      <x:c r="G115" t="n">
        <x:v>500033.09</x:v>
      </x:c>
      <x:c r="H115" t="n">
        <x:v>0.991117</x:v>
      </x:c>
      <x:c r="I115" t="n">
        <x:v>0.973323</x:v>
      </x:c>
      <x:c r="J115" t="n">
        <x:v>3376384.56</x:v>
      </x:c>
    </x:row>
    <x:row r="116">
      <x:c r="A116" t="n">
        <x:v>2020</x:v>
      </x:c>
      <x:c r="B116" t="str">
        <x:v>May</x:v>
      </x:c>
      <x:c r="C116" t="str">
        <x:v>Week</x:v>
      </x:c>
      <x:c r="D116" t="str">
        <x:v>Other</x:v>
      </x:c>
      <x:c r="E116" t="n">
        <x:v>546</x:v>
      </x:c>
      <x:c r="F116" t="n">
        <x:v>36</x:v>
      </x:c>
      <x:c r="G116" t="n">
        <x:v>20285.72</x:v>
      </x:c>
      <x:c r="H116" t="n">
        <x:v>0.857692</x:v>
      </x:c>
      <x:c r="I116" t="n">
        <x:v>1</x:v>
      </x:c>
      <x:c r="J116" t="n">
        <x:v>121792.33</x:v>
      </x:c>
    </x:row>
    <x:row r="117">
      <x:c r="A117" t="n">
        <x:v>2020</x:v>
      </x:c>
      <x:c r="B117" t="str">
        <x:v>May</x:v>
      </x:c>
      <x:c r="C117" t="str">
        <x:v>Month</x:v>
      </x:c>
      <x:c r="D117" t="str">
        <x:v>Motorcycles</x:v>
      </x:c>
      <x:c r="E117" t="n">
        <x:v>546</x:v>
      </x:c>
      <x:c r="F117" t="n">
        <x:v>546</x:v>
      </x:c>
      <x:c r="G117" t="n">
        <x:v>8823394.52</x:v>
      </x:c>
      <x:c r="H117" t="n">
        <x:v>0.990497</x:v>
      </x:c>
      <x:c r="I117" t="n">
        <x:v>0.984658</x:v>
      </x:c>
      <x:c r="J117" t="n">
        <x:v>266757902.77</x:v>
      </x:c>
    </x:row>
    <x:row r="118">
      <x:c r="A118" t="n">
        <x:v>2020</x:v>
      </x:c>
      <x:c r="B118" t="str">
        <x:v>May</x:v>
      </x:c>
      <x:c r="C118" t="str">
        <x:v>Month</x:v>
      </x:c>
      <x:c r="D118" t="str">
        <x:v>Light Vehicles</x:v>
      </x:c>
      <x:c r="E118" t="n">
        <x:v>546</x:v>
      </x:c>
      <x:c r="F118" t="n">
        <x:v>546</x:v>
      </x:c>
      <x:c r="G118" t="n">
        <x:v>3709230.11</x:v>
      </x:c>
      <x:c r="H118" t="n">
        <x:v>0.991819</x:v>
      </x:c>
      <x:c r="I118" t="n">
        <x:v>0.988701</x:v>
      </x:c>
      <x:c r="J118" t="n">
        <x:v>112755352.56</x:v>
      </x:c>
    </x:row>
    <x:row r="119">
      <x:c r="A119" t="n">
        <x:v>2020</x:v>
      </x:c>
      <x:c r="B119" t="str">
        <x:v>May</x:v>
      </x:c>
      <x:c r="C119" t="str">
        <x:v>Month</x:v>
      </x:c>
      <x:c r="D119" t="str">
        <x:v>Buses</x:v>
      </x:c>
      <x:c r="E119" t="n">
        <x:v>546</x:v>
      </x:c>
      <x:c r="F119" t="n">
        <x:v>546</x:v>
      </x:c>
      <x:c r="G119" t="n">
        <x:v>1011756.15</x:v>
      </x:c>
      <x:c r="H119" t="n">
        <x:v>0.990933</x:v>
      </x:c>
      <x:c r="I119" t="n">
        <x:v>0.982438</x:v>
      </x:c>
      <x:c r="J119" t="n">
        <x:v>30533025.18</x:v>
      </x:c>
    </x:row>
    <x:row r="120">
      <x:c r="A120" t="n">
        <x:v>2020</x:v>
      </x:c>
      <x:c r="B120" t="str">
        <x:v>May</x:v>
      </x:c>
      <x:c r="C120" t="str">
        <x:v>Month</x:v>
      </x:c>
      <x:c r="D120" t="str">
        <x:v>Heavy Goods</x:v>
      </x:c>
      <x:c r="E120" t="n">
        <x:v>546</x:v>
      </x:c>
      <x:c r="F120" t="n">
        <x:v>546</x:v>
      </x:c>
      <x:c r="G120" t="n">
        <x:v>500033.09</x:v>
      </x:c>
      <x:c r="H120" t="n">
        <x:v>0.991117</x:v>
      </x:c>
      <x:c r="I120" t="n">
        <x:v>0.973323</x:v>
      </x:c>
      <x:c r="J120" t="n">
        <x:v>14952560.21</x:v>
      </x:c>
    </x:row>
    <x:row r="121">
      <x:c r="A121" t="n">
        <x:v>2020</x:v>
      </x:c>
      <x:c r="B121" t="str">
        <x:v>May</x:v>
      </x:c>
      <x:c r="C121" t="str">
        <x:v>Month</x:v>
      </x:c>
      <x:c r="D121" t="str">
        <x:v>Other</x:v>
      </x:c>
      <x:c r="E121" t="n">
        <x:v>546</x:v>
      </x:c>
      <x:c r="F121" t="n">
        <x:v>36</x:v>
      </x:c>
      <x:c r="G121" t="n">
        <x:v>20285.72</x:v>
      </x:c>
      <x:c r="H121" t="n">
        <x:v>0.857692</x:v>
      </x:c>
      <x:c r="I121" t="n">
        <x:v>1</x:v>
      </x:c>
      <x:c r="J121" t="n">
        <x:v>539366.05</x:v>
      </x:c>
    </x:row>
    <x:row r="122">
      <x:c r="A122" t="n">
        <x:v>2020</x:v>
      </x:c>
      <x:c r="B122" t="str">
        <x:v>May</x:v>
      </x:c>
      <x:c r="C122" t="str">
        <x:v>Year</x:v>
      </x:c>
      <x:c r="D122" t="str">
        <x:v>Motorcycles</x:v>
      </x:c>
      <x:c r="E122" t="n">
        <x:v>546</x:v>
      </x:c>
      <x:c r="F122" t="n">
        <x:v>546</x:v>
      </x:c>
      <x:c r="G122" t="n">
        <x:v>8823394.52</x:v>
      </x:c>
      <x:c r="H122" t="n">
        <x:v>0.990497</x:v>
      </x:c>
      <x:c r="I122" t="n">
        <x:v>0.984658</x:v>
      </x:c>
      <x:c r="J122" t="n">
        <x:v>3149464271.45</x:v>
      </x:c>
    </x:row>
    <x:row r="123">
      <x:c r="A123" t="n">
        <x:v>2020</x:v>
      </x:c>
      <x:c r="B123" t="str">
        <x:v>May</x:v>
      </x:c>
      <x:c r="C123" t="str">
        <x:v>Year</x:v>
      </x:c>
      <x:c r="D123" t="str">
        <x:v>Light Vehicles</x:v>
      </x:c>
      <x:c r="E123" t="n">
        <x:v>546</x:v>
      </x:c>
      <x:c r="F123" t="n">
        <x:v>546</x:v>
      </x:c>
      <x:c r="G123" t="n">
        <x:v>3709230.11</x:v>
      </x:c>
      <x:c r="H123" t="n">
        <x:v>0.991819</x:v>
      </x:c>
      <x:c r="I123" t="n">
        <x:v>0.988701</x:v>
      </x:c>
      <x:c r="J123" t="n">
        <x:v>1331240614.07</x:v>
      </x:c>
    </x:row>
    <x:row r="124">
      <x:c r="A124" t="n">
        <x:v>2020</x:v>
      </x:c>
      <x:c r="B124" t="str">
        <x:v>May</x:v>
      </x:c>
      <x:c r="C124" t="str">
        <x:v>Year</x:v>
      </x:c>
      <x:c r="D124" t="str">
        <x:v>Buses</x:v>
      </x:c>
      <x:c r="E124" t="n">
        <x:v>546</x:v>
      </x:c>
      <x:c r="F124" t="n">
        <x:v>546</x:v>
      </x:c>
      <x:c r="G124" t="n">
        <x:v>1011756.15</x:v>
      </x:c>
      <x:c r="H124" t="n">
        <x:v>0.990933</x:v>
      </x:c>
      <x:c r="I124" t="n">
        <x:v>0.982438</x:v>
      </x:c>
      <x:c r="J124" t="n">
        <x:v>360486684.38</x:v>
      </x:c>
    </x:row>
    <x:row r="125">
      <x:c r="A125" t="n">
        <x:v>2020</x:v>
      </x:c>
      <x:c r="B125" t="str">
        <x:v>May</x:v>
      </x:c>
      <x:c r="C125" t="str">
        <x:v>Year</x:v>
      </x:c>
      <x:c r="D125" t="str">
        <x:v>Heavy Goods</x:v>
      </x:c>
      <x:c r="E125" t="n">
        <x:v>546</x:v>
      </x:c>
      <x:c r="F125" t="n">
        <x:v>546</x:v>
      </x:c>
      <x:c r="G125" t="n">
        <x:v>500033.09</x:v>
      </x:c>
      <x:c r="H125" t="n">
        <x:v>0.991117</x:v>
      </x:c>
      <x:c r="I125" t="n">
        <x:v>0.973323</x:v>
      </x:c>
      <x:c r="J125" t="n">
        <x:v>176536678.57</x:v>
      </x:c>
    </x:row>
    <x:row r="126">
      <x:c r="A126" t="n">
        <x:v>2020</x:v>
      </x:c>
      <x:c r="B126" t="str">
        <x:v>May</x:v>
      </x:c>
      <x:c r="C126" t="str">
        <x:v>Year</x:v>
      </x:c>
      <x:c r="D126" t="str">
        <x:v>Other</x:v>
      </x:c>
      <x:c r="E126" t="n">
        <x:v>546</x:v>
      </x:c>
      <x:c r="F126" t="n">
        <x:v>36</x:v>
      </x:c>
      <x:c r="G126" t="n">
        <x:v>20285.72</x:v>
      </x:c>
      <x:c r="H126" t="n">
        <x:v>0.857692</x:v>
      </x:c>
      <x:c r="I126" t="n">
        <x:v>1</x:v>
      </x:c>
      <x:c r="J126" t="n">
        <x:v>6367999.15</x:v>
      </x:c>
    </x:row>
    <x:row r="127">
      <x:c r="A127" t="n">
        <x:v>2021</x:v>
      </x:c>
      <x:c r="B127" t="str">
        <x:v>May</x:v>
      </x:c>
      <x:c r="C127" t="str">
        <x:v>Hour</x:v>
      </x:c>
      <x:c r="D127" t="str">
        <x:v>Motorcycles</x:v>
      </x:c>
      <x:c r="E127" t="n">
        <x:v>546</x:v>
      </x:c>
      <x:c r="F127" t="n">
        <x:v>546</x:v>
      </x:c>
      <x:c r="G127" t="n">
        <x:v>8823394.52</x:v>
      </x:c>
      <x:c r="H127" t="n">
        <x:v>0.992774</x:v>
      </x:c>
      <x:c r="I127" t="n">
        <x:v>0.984658</x:v>
      </x:c>
      <x:c r="J127" t="n">
        <x:v>359376.64</x:v>
      </x:c>
    </x:row>
    <x:row r="128">
      <x:c r="A128" t="n">
        <x:v>2021</x:v>
      </x:c>
      <x:c r="B128" t="str">
        <x:v>May</x:v>
      </x:c>
      <x:c r="C128" t="str">
        <x:v>Hour</x:v>
      </x:c>
      <x:c r="D128" t="str">
        <x:v>Light Vehicles</x:v>
      </x:c>
      <x:c r="E128" t="n">
        <x:v>546</x:v>
      </x:c>
      <x:c r="F128" t="n">
        <x:v>546</x:v>
      </x:c>
      <x:c r="G128" t="n">
        <x:v>3709230.11</x:v>
      </x:c>
      <x:c r="H128" t="n">
        <x:v>0.993723</x:v>
      </x:c>
      <x:c r="I128" t="n">
        <x:v>0.988701</x:v>
      </x:c>
      <x:c r="J128" t="n">
        <x:v>151845.05</x:v>
      </x:c>
    </x:row>
    <x:row r="129">
      <x:c r="A129" t="n">
        <x:v>2021</x:v>
      </x:c>
      <x:c r="B129" t="str">
        <x:v>May</x:v>
      </x:c>
      <x:c r="C129" t="str">
        <x:v>Hour</x:v>
      </x:c>
      <x:c r="D129" t="str">
        <x:v>Buses</x:v>
      </x:c>
      <x:c r="E129" t="n">
        <x:v>546</x:v>
      </x:c>
      <x:c r="F129" t="n">
        <x:v>546</x:v>
      </x:c>
      <x:c r="G129" t="n">
        <x:v>1011756.15</x:v>
      </x:c>
      <x:c r="H129" t="n">
        <x:v>0.993026</x:v>
      </x:c>
      <x:c r="I129" t="n">
        <x:v>0.982438</x:v>
      </x:c>
      <x:c r="J129" t="n">
        <x:v>41126.4</x:v>
      </x:c>
    </x:row>
    <x:row r="130">
      <x:c r="A130" t="n">
        <x:v>2021</x:v>
      </x:c>
      <x:c r="B130" t="str">
        <x:v>May</x:v>
      </x:c>
      <x:c r="C130" t="str">
        <x:v>Hour</x:v>
      </x:c>
      <x:c r="D130" t="str">
        <x:v>Heavy Goods</x:v>
      </x:c>
      <x:c r="E130" t="n">
        <x:v>546</x:v>
      </x:c>
      <x:c r="F130" t="n">
        <x:v>546</x:v>
      </x:c>
      <x:c r="G130" t="n">
        <x:v>500033.09</x:v>
      </x:c>
      <x:c r="H130" t="n">
        <x:v>0.99306</x:v>
      </x:c>
      <x:c r="I130" t="n">
        <x:v>0.973323</x:v>
      </x:c>
      <x:c r="J130" t="n">
        <x:v>20137.41</x:v>
      </x:c>
    </x:row>
    <x:row r="131">
      <x:c r="A131" t="n">
        <x:v>2021</x:v>
      </x:c>
      <x:c r="B131" t="str">
        <x:v>May</x:v>
      </x:c>
      <x:c r="C131" t="str">
        <x:v>Hour</x:v>
      </x:c>
      <x:c r="D131" t="str">
        <x:v>Other</x:v>
      </x:c>
      <x:c r="E131" t="n">
        <x:v>546</x:v>
      </x:c>
      <x:c r="F131" t="n">
        <x:v>36</x:v>
      </x:c>
      <x:c r="G131" t="n">
        <x:v>20285.72</x:v>
      </x:c>
      <x:c r="H131" t="n">
        <x:v>0.901339</x:v>
      </x:c>
      <x:c r="I131" t="n">
        <x:v>1</x:v>
      </x:c>
      <x:c r="J131" t="n">
        <x:v>761.85</x:v>
      </x:c>
    </x:row>
    <x:row r="132">
      <x:c r="A132" t="n">
        <x:v>2021</x:v>
      </x:c>
      <x:c r="B132" t="str">
        <x:v>May</x:v>
      </x:c>
      <x:c r="C132" t="str">
        <x:v>Day</x:v>
      </x:c>
      <x:c r="D132" t="str">
        <x:v>Motorcycles</x:v>
      </x:c>
      <x:c r="E132" t="n">
        <x:v>546</x:v>
      </x:c>
      <x:c r="F132" t="n">
        <x:v>546</x:v>
      </x:c>
      <x:c r="G132" t="n">
        <x:v>8823394.52</x:v>
      </x:c>
      <x:c r="H132" t="n">
        <x:v>0.992774</x:v>
      </x:c>
      <x:c r="I132" t="n">
        <x:v>0.984658</x:v>
      </x:c>
      <x:c r="J132" t="n">
        <x:v>8625039.25</x:v>
      </x:c>
    </x:row>
    <x:row r="133">
      <x:c r="A133" t="n">
        <x:v>2021</x:v>
      </x:c>
      <x:c r="B133" t="str">
        <x:v>May</x:v>
      </x:c>
      <x:c r="C133" t="str">
        <x:v>Day</x:v>
      </x:c>
      <x:c r="D133" t="str">
        <x:v>Light Vehicles</x:v>
      </x:c>
      <x:c r="E133" t="n">
        <x:v>546</x:v>
      </x:c>
      <x:c r="F133" t="n">
        <x:v>546</x:v>
      </x:c>
      <x:c r="G133" t="n">
        <x:v>3709230.11</x:v>
      </x:c>
      <x:c r="H133" t="n">
        <x:v>0.993723</x:v>
      </x:c>
      <x:c r="I133" t="n">
        <x:v>0.988701</x:v>
      </x:c>
      <x:c r="J133" t="n">
        <x:v>3644281.24</x:v>
      </x:c>
    </x:row>
    <x:row r="134">
      <x:c r="A134" t="n">
        <x:v>2021</x:v>
      </x:c>
      <x:c r="B134" t="str">
        <x:v>May</x:v>
      </x:c>
      <x:c r="C134" t="str">
        <x:v>Day</x:v>
      </x:c>
      <x:c r="D134" t="str">
        <x:v>Buses</x:v>
      </x:c>
      <x:c r="E134" t="n">
        <x:v>546</x:v>
      </x:c>
      <x:c r="F134" t="n">
        <x:v>546</x:v>
      </x:c>
      <x:c r="G134" t="n">
        <x:v>1011756.15</x:v>
      </x:c>
      <x:c r="H134" t="n">
        <x:v>0.993026</x:v>
      </x:c>
      <x:c r="I134" t="n">
        <x:v>0.982438</x:v>
      </x:c>
      <x:c r="J134" t="n">
        <x:v>987033.71</x:v>
      </x:c>
    </x:row>
    <x:row r="135">
      <x:c r="A135" t="n">
        <x:v>2021</x:v>
      </x:c>
      <x:c r="B135" t="str">
        <x:v>May</x:v>
      </x:c>
      <x:c r="C135" t="str">
        <x:v>Day</x:v>
      </x:c>
      <x:c r="D135" t="str">
        <x:v>Heavy Goods</x:v>
      </x:c>
      <x:c r="E135" t="n">
        <x:v>546</x:v>
      </x:c>
      <x:c r="F135" t="n">
        <x:v>546</x:v>
      </x:c>
      <x:c r="G135" t="n">
        <x:v>500033.09</x:v>
      </x:c>
      <x:c r="H135" t="n">
        <x:v>0.99306</x:v>
      </x:c>
      <x:c r="I135" t="n">
        <x:v>0.973323</x:v>
      </x:c>
      <x:c r="J135" t="n">
        <x:v>483297.77</x:v>
      </x:c>
    </x:row>
    <x:row r="136">
      <x:c r="A136" t="n">
        <x:v>2021</x:v>
      </x:c>
      <x:c r="B136" t="str">
        <x:v>May</x:v>
      </x:c>
      <x:c r="C136" t="str">
        <x:v>Day</x:v>
      </x:c>
      <x:c r="D136" t="str">
        <x:v>Other</x:v>
      </x:c>
      <x:c r="E136" t="n">
        <x:v>546</x:v>
      </x:c>
      <x:c r="F136" t="n">
        <x:v>36</x:v>
      </x:c>
      <x:c r="G136" t="n">
        <x:v>20285.72</x:v>
      </x:c>
      <x:c r="H136" t="n">
        <x:v>0.901339</x:v>
      </x:c>
      <x:c r="I136" t="n">
        <x:v>1</x:v>
      </x:c>
      <x:c r="J136" t="n">
        <x:v>18284.32</x:v>
      </x:c>
    </x:row>
    <x:row r="137">
      <x:c r="A137" t="n">
        <x:v>2021</x:v>
      </x:c>
      <x:c r="B137" t="str">
        <x:v>May</x:v>
      </x:c>
      <x:c r="C137" t="str">
        <x:v>Week</x:v>
      </x:c>
      <x:c r="D137" t="str">
        <x:v>Motorcycles</x:v>
      </x:c>
      <x:c r="E137" t="n">
        <x:v>546</x:v>
      </x:c>
      <x:c r="F137" t="n">
        <x:v>546</x:v>
      </x:c>
      <x:c r="G137" t="n">
        <x:v>8823394.52</x:v>
      </x:c>
      <x:c r="H137" t="n">
        <x:v>0.992774</x:v>
      </x:c>
      <x:c r="I137" t="n">
        <x:v>0.984658</x:v>
      </x:c>
      <x:c r="J137" t="n">
        <x:v>60375274.73</x:v>
      </x:c>
    </x:row>
    <x:row r="138">
      <x:c r="A138" t="n">
        <x:v>2021</x:v>
      </x:c>
      <x:c r="B138" t="str">
        <x:v>May</x:v>
      </x:c>
      <x:c r="C138" t="str">
        <x:v>Week</x:v>
      </x:c>
      <x:c r="D138" t="str">
        <x:v>Light Vehicles</x:v>
      </x:c>
      <x:c r="E138" t="n">
        <x:v>546</x:v>
      </x:c>
      <x:c r="F138" t="n">
        <x:v>546</x:v>
      </x:c>
      <x:c r="G138" t="n">
        <x:v>3709230.11</x:v>
      </x:c>
      <x:c r="H138" t="n">
        <x:v>0.993723</x:v>
      </x:c>
      <x:c r="I138" t="n">
        <x:v>0.988701</x:v>
      </x:c>
      <x:c r="J138" t="n">
        <x:v>25509968.67</x:v>
      </x:c>
    </x:row>
    <x:row r="139">
      <x:c r="A139" t="n">
        <x:v>2021</x:v>
      </x:c>
      <x:c r="B139" t="str">
        <x:v>May</x:v>
      </x:c>
      <x:c r="C139" t="str">
        <x:v>Week</x:v>
      </x:c>
      <x:c r="D139" t="str">
        <x:v>Buses</x:v>
      </x:c>
      <x:c r="E139" t="n">
        <x:v>546</x:v>
      </x:c>
      <x:c r="F139" t="n">
        <x:v>546</x:v>
      </x:c>
      <x:c r="G139" t="n">
        <x:v>1011756.15</x:v>
      </x:c>
      <x:c r="H139" t="n">
        <x:v>0.993026</x:v>
      </x:c>
      <x:c r="I139" t="n">
        <x:v>0.982438</x:v>
      </x:c>
      <x:c r="J139" t="n">
        <x:v>6909235.99</x:v>
      </x:c>
    </x:row>
    <x:row r="140">
      <x:c r="A140" t="n">
        <x:v>2021</x:v>
      </x:c>
      <x:c r="B140" t="str">
        <x:v>May</x:v>
      </x:c>
      <x:c r="C140" t="str">
        <x:v>Week</x:v>
      </x:c>
      <x:c r="D140" t="str">
        <x:v>Heavy Goods</x:v>
      </x:c>
      <x:c r="E140" t="n">
        <x:v>546</x:v>
      </x:c>
      <x:c r="F140" t="n">
        <x:v>546</x:v>
      </x:c>
      <x:c r="G140" t="n">
        <x:v>500033.09</x:v>
      </x:c>
      <x:c r="H140" t="n">
        <x:v>0.99306</x:v>
      </x:c>
      <x:c r="I140" t="n">
        <x:v>0.973323</x:v>
      </x:c>
      <x:c r="J140" t="n">
        <x:v>3383084.42</x:v>
      </x:c>
    </x:row>
    <x:row r="141">
      <x:c r="A141" t="n">
        <x:v>2021</x:v>
      </x:c>
      <x:c r="B141" t="str">
        <x:v>May</x:v>
      </x:c>
      <x:c r="C141" t="str">
        <x:v>Week</x:v>
      </x:c>
      <x:c r="D141" t="str">
        <x:v>Other</x:v>
      </x:c>
      <x:c r="E141" t="n">
        <x:v>546</x:v>
      </x:c>
      <x:c r="F141" t="n">
        <x:v>36</x:v>
      </x:c>
      <x:c r="G141" t="n">
        <x:v>20285.72</x:v>
      </x:c>
      <x:c r="H141" t="n">
        <x:v>0.901339</x:v>
      </x:c>
      <x:c r="I141" t="n">
        <x:v>1</x:v>
      </x:c>
      <x:c r="J141" t="n">
        <x:v>127990.23</x:v>
      </x:c>
    </x:row>
    <x:row r="142">
      <x:c r="A142" t="n">
        <x:v>2021</x:v>
      </x:c>
      <x:c r="B142" t="str">
        <x:v>May</x:v>
      </x:c>
      <x:c r="C142" t="str">
        <x:v>Month</x:v>
      </x:c>
      <x:c r="D142" t="str">
        <x:v>Motorcycles</x:v>
      </x:c>
      <x:c r="E142" t="n">
        <x:v>546</x:v>
      </x:c>
      <x:c r="F142" t="n">
        <x:v>546</x:v>
      </x:c>
      <x:c r="G142" t="n">
        <x:v>8823394.52</x:v>
      </x:c>
      <x:c r="H142" t="n">
        <x:v>0.992774</x:v>
      </x:c>
      <x:c r="I142" t="n">
        <x:v>0.984658</x:v>
      </x:c>
      <x:c r="J142" t="n">
        <x:v>267376216.65</x:v>
      </x:c>
    </x:row>
    <x:row r="143">
      <x:c r="A143" t="n">
        <x:v>2021</x:v>
      </x:c>
      <x:c r="B143" t="str">
        <x:v>May</x:v>
      </x:c>
      <x:c r="C143" t="str">
        <x:v>Month</x:v>
      </x:c>
      <x:c r="D143" t="str">
        <x:v>Light Vehicles</x:v>
      </x:c>
      <x:c r="E143" t="n">
        <x:v>546</x:v>
      </x:c>
      <x:c r="F143" t="n">
        <x:v>546</x:v>
      </x:c>
      <x:c r="G143" t="n">
        <x:v>3709230.11</x:v>
      </x:c>
      <x:c r="H143" t="n">
        <x:v>0.993723</x:v>
      </x:c>
      <x:c r="I143" t="n">
        <x:v>0.988701</x:v>
      </x:c>
      <x:c r="J143" t="n">
        <x:v>112972718.41</x:v>
      </x:c>
    </x:row>
    <x:row r="144">
      <x:c r="A144" t="n">
        <x:v>2021</x:v>
      </x:c>
      <x:c r="B144" t="str">
        <x:v>May</x:v>
      </x:c>
      <x:c r="C144" t="str">
        <x:v>Month</x:v>
      </x:c>
      <x:c r="D144" t="str">
        <x:v>Buses</x:v>
      </x:c>
      <x:c r="E144" t="n">
        <x:v>546</x:v>
      </x:c>
      <x:c r="F144" t="n">
        <x:v>546</x:v>
      </x:c>
      <x:c r="G144" t="n">
        <x:v>1011756.15</x:v>
      </x:c>
      <x:c r="H144" t="n">
        <x:v>0.993026</x:v>
      </x:c>
      <x:c r="I144" t="n">
        <x:v>0.982438</x:v>
      </x:c>
      <x:c r="J144" t="n">
        <x:v>30598045.1</x:v>
      </x:c>
    </x:row>
    <x:row r="145">
      <x:c r="A145" t="n">
        <x:v>2021</x:v>
      </x:c>
      <x:c r="B145" t="str">
        <x:v>May</x:v>
      </x:c>
      <x:c r="C145" t="str">
        <x:v>Month</x:v>
      </x:c>
      <x:c r="D145" t="str">
        <x:v>Heavy Goods</x:v>
      </x:c>
      <x:c r="E145" t="n">
        <x:v>546</x:v>
      </x:c>
      <x:c r="F145" t="n">
        <x:v>546</x:v>
      </x:c>
      <x:c r="G145" t="n">
        <x:v>500033.09</x:v>
      </x:c>
      <x:c r="H145" t="n">
        <x:v>0.99306</x:v>
      </x:c>
      <x:c r="I145" t="n">
        <x:v>0.973323</x:v>
      </x:c>
      <x:c r="J145" t="n">
        <x:v>14982231.01</x:v>
      </x:c>
    </x:row>
    <x:row r="146">
      <x:c r="A146" t="n">
        <x:v>2021</x:v>
      </x:c>
      <x:c r="B146" t="str">
        <x:v>May</x:v>
      </x:c>
      <x:c r="C146" t="str">
        <x:v>Month</x:v>
      </x:c>
      <x:c r="D146" t="str">
        <x:v>Other</x:v>
      </x:c>
      <x:c r="E146" t="n">
        <x:v>546</x:v>
      </x:c>
      <x:c r="F146" t="n">
        <x:v>36</x:v>
      </x:c>
      <x:c r="G146" t="n">
        <x:v>20285.72</x:v>
      </x:c>
      <x:c r="H146" t="n">
        <x:v>0.901339</x:v>
      </x:c>
      <x:c r="I146" t="n">
        <x:v>1</x:v>
      </x:c>
      <x:c r="J146" t="n">
        <x:v>566813.88</x:v>
      </x:c>
    </x:row>
    <x:row r="147">
      <x:c r="A147" t="n">
        <x:v>2021</x:v>
      </x:c>
      <x:c r="B147" t="str">
        <x:v>May</x:v>
      </x:c>
      <x:c r="C147" t="str">
        <x:v>Year</x:v>
      </x:c>
      <x:c r="D147" t="str">
        <x:v>Motorcycles</x:v>
      </x:c>
      <x:c r="E147" t="n">
        <x:v>546</x:v>
      </x:c>
      <x:c r="F147" t="n">
        <x:v>546</x:v>
      </x:c>
      <x:c r="G147" t="n">
        <x:v>8823394.52</x:v>
      </x:c>
      <x:c r="H147" t="n">
        <x:v>0.992774</x:v>
      </x:c>
      <x:c r="I147" t="n">
        <x:v>0.984658</x:v>
      </x:c>
      <x:c r="J147" t="n">
        <x:v>3148139325.09</x:v>
      </x:c>
    </x:row>
    <x:row r="148">
      <x:c r="A148" t="n">
        <x:v>2021</x:v>
      </x:c>
      <x:c r="B148" t="str">
        <x:v>May</x:v>
      </x:c>
      <x:c r="C148" t="str">
        <x:v>Year</x:v>
      </x:c>
      <x:c r="D148" t="str">
        <x:v>Light Vehicles</x:v>
      </x:c>
      <x:c r="E148" t="n">
        <x:v>546</x:v>
      </x:c>
      <x:c r="F148" t="n">
        <x:v>546</x:v>
      </x:c>
      <x:c r="G148" t="n">
        <x:v>3709230.11</x:v>
      </x:c>
      <x:c r="H148" t="n">
        <x:v>0.993723</x:v>
      </x:c>
      <x:c r="I148" t="n">
        <x:v>0.988701</x:v>
      </x:c>
      <x:c r="J148" t="n">
        <x:v>1330162652.28</x:v>
      </x:c>
    </x:row>
    <x:row r="149">
      <x:c r="A149" t="n">
        <x:v>2021</x:v>
      </x:c>
      <x:c r="B149" t="str">
        <x:v>May</x:v>
      </x:c>
      <x:c r="C149" t="str">
        <x:v>Year</x:v>
      </x:c>
      <x:c r="D149" t="str">
        <x:v>Buses</x:v>
      </x:c>
      <x:c r="E149" t="n">
        <x:v>546</x:v>
      </x:c>
      <x:c r="F149" t="n">
        <x:v>546</x:v>
      </x:c>
      <x:c r="G149" t="n">
        <x:v>1011756.15</x:v>
      </x:c>
      <x:c r="H149" t="n">
        <x:v>0.993026</x:v>
      </x:c>
      <x:c r="I149" t="n">
        <x:v>0.982438</x:v>
      </x:c>
      <x:c r="J149" t="n">
        <x:v>360267305.23</x:v>
      </x:c>
    </x:row>
    <x:row r="150">
      <x:c r="A150" t="n">
        <x:v>2021</x:v>
      </x:c>
      <x:c r="B150" t="str">
        <x:v>May</x:v>
      </x:c>
      <x:c r="C150" t="str">
        <x:v>Year</x:v>
      </x:c>
      <x:c r="D150" t="str">
        <x:v>Heavy Goods</x:v>
      </x:c>
      <x:c r="E150" t="n">
        <x:v>546</x:v>
      </x:c>
      <x:c r="F150" t="n">
        <x:v>546</x:v>
      </x:c>
      <x:c r="G150" t="n">
        <x:v>500033.09</x:v>
      </x:c>
      <x:c r="H150" t="n">
        <x:v>0.99306</x:v>
      </x:c>
      <x:c r="I150" t="n">
        <x:v>0.973323</x:v>
      </x:c>
      <x:c r="J150" t="n">
        <x:v>176403687.75</x:v>
      </x:c>
    </x:row>
    <x:row r="151">
      <x:c r="A151" t="n">
        <x:v>2021</x:v>
      </x:c>
      <x:c r="B151" t="str">
        <x:v>May</x:v>
      </x:c>
      <x:c r="C151" t="str">
        <x:v>Year</x:v>
      </x:c>
      <x:c r="D151" t="str">
        <x:v>Other</x:v>
      </x:c>
      <x:c r="E151" t="n">
        <x:v>546</x:v>
      </x:c>
      <x:c r="F151" t="n">
        <x:v>36</x:v>
      </x:c>
      <x:c r="G151" t="n">
        <x:v>20285.72</x:v>
      </x:c>
      <x:c r="H151" t="n">
        <x:v>0.901339</x:v>
      </x:c>
      <x:c r="I151" t="n">
        <x:v>1</x:v>
      </x:c>
      <x:c r="J151" t="n">
        <x:v>6673776.3</x:v>
      </x:c>
    </x:row>
    <x:row r="152">
      <x:c r="A152" t="n">
        <x:v>2022</x:v>
      </x:c>
      <x:c r="B152" t="str">
        <x:v>May</x:v>
      </x:c>
      <x:c r="C152" t="str">
        <x:v>Hour</x:v>
      </x:c>
      <x:c r="D152" t="str">
        <x:v>Motorcycles</x:v>
      </x:c>
      <x:c r="E152" t="n">
        <x:v>546</x:v>
      </x:c>
      <x:c r="F152" t="n">
        <x:v>546</x:v>
      </x:c>
      <x:c r="G152" t="n">
        <x:v>8823394.52</x:v>
      </x:c>
      <x:c r="H152" t="n">
        <x:v>0.995115</x:v>
      </x:c>
      <x:c r="I152" t="n">
        <x:v>0.984658</x:v>
      </x:c>
      <x:c r="J152" t="n">
        <x:v>360230.7</x:v>
      </x:c>
    </x:row>
    <x:row r="153">
      <x:c r="A153" t="n">
        <x:v>2022</x:v>
      </x:c>
      <x:c r="B153" t="str">
        <x:v>May</x:v>
      </x:c>
      <x:c r="C153" t="str">
        <x:v>Hour</x:v>
      </x:c>
      <x:c r="D153" t="str">
        <x:v>Light Vehicles</x:v>
      </x:c>
      <x:c r="E153" t="n">
        <x:v>546</x:v>
      </x:c>
      <x:c r="F153" t="n">
        <x:v>546</x:v>
      </x:c>
      <x:c r="G153" t="n">
        <x:v>3709230.11</x:v>
      </x:c>
      <x:c r="H153" t="n">
        <x:v>0.995654</x:v>
      </x:c>
      <x:c r="I153" t="n">
        <x:v>0.988701</x:v>
      </x:c>
      <x:c r="J153" t="n">
        <x:v>152141.5</x:v>
      </x:c>
    </x:row>
    <x:row r="154">
      <x:c r="A154" t="n">
        <x:v>2022</x:v>
      </x:c>
      <x:c r="B154" t="str">
        <x:v>May</x:v>
      </x:c>
      <x:c r="C154" t="str">
        <x:v>Hour</x:v>
      </x:c>
      <x:c r="D154" t="str">
        <x:v>Buses</x:v>
      </x:c>
      <x:c r="E154" t="n">
        <x:v>546</x:v>
      </x:c>
      <x:c r="F154" t="n">
        <x:v>546</x:v>
      </x:c>
      <x:c r="G154" t="n">
        <x:v>1011756.15</x:v>
      </x:c>
      <x:c r="H154" t="n">
        <x:v>0.995168</x:v>
      </x:c>
      <x:c r="I154" t="n">
        <x:v>0.982438</x:v>
      </x:c>
      <x:c r="J154" t="n">
        <x:v>41215.87</x:v>
      </x:c>
    </x:row>
    <x:row r="155">
      <x:c r="A155" t="n">
        <x:v>2022</x:v>
      </x:c>
      <x:c r="B155" t="str">
        <x:v>May</x:v>
      </x:c>
      <x:c r="C155" t="str">
        <x:v>Hour</x:v>
      </x:c>
      <x:c r="D155" t="str">
        <x:v>Heavy Goods</x:v>
      </x:c>
      <x:c r="E155" t="n">
        <x:v>546</x:v>
      </x:c>
      <x:c r="F155" t="n">
        <x:v>546</x:v>
      </x:c>
      <x:c r="G155" t="n">
        <x:v>500033.09</x:v>
      </x:c>
      <x:c r="H155" t="n">
        <x:v>0.99505</x:v>
      </x:c>
      <x:c r="I155" t="n">
        <x:v>0.973323</x:v>
      </x:c>
      <x:c r="J155" t="n">
        <x:v>20178.25</x:v>
      </x:c>
    </x:row>
    <x:row r="156">
      <x:c r="A156" t="n">
        <x:v>2022</x:v>
      </x:c>
      <x:c r="B156" t="str">
        <x:v>May</x:v>
      </x:c>
      <x:c r="C156" t="str">
        <x:v>Hour</x:v>
      </x:c>
      <x:c r="D156" t="str">
        <x:v>Other</x:v>
      </x:c>
      <x:c r="E156" t="n">
        <x:v>546</x:v>
      </x:c>
      <x:c r="F156" t="n">
        <x:v>36</x:v>
      </x:c>
      <x:c r="G156" t="n">
        <x:v>20285.72</x:v>
      </x:c>
      <x:c r="H156" t="n">
        <x:v>0.948457</x:v>
      </x:c>
      <x:c r="I156" t="n">
        <x:v>1</x:v>
      </x:c>
      <x:c r="J156" t="n">
        <x:v>801.67</x:v>
      </x:c>
    </x:row>
    <x:row r="157">
      <x:c r="A157" t="n">
        <x:v>2022</x:v>
      </x:c>
      <x:c r="B157" t="str">
        <x:v>May</x:v>
      </x:c>
      <x:c r="C157" t="str">
        <x:v>Day</x:v>
      </x:c>
      <x:c r="D157" t="str">
        <x:v>Motorcycles</x:v>
      </x:c>
      <x:c r="E157" t="n">
        <x:v>546</x:v>
      </x:c>
      <x:c r="F157" t="n">
        <x:v>546</x:v>
      </x:c>
      <x:c r="G157" t="n">
        <x:v>8823394.52</x:v>
      </x:c>
      <x:c r="H157" t="n">
        <x:v>0.995115</x:v>
      </x:c>
      <x:c r="I157" t="n">
        <x:v>0.984658</x:v>
      </x:c>
      <x:c r="J157" t="n">
        <x:v>8645536.77</x:v>
      </x:c>
    </x:row>
    <x:row r="158">
      <x:c r="A158" t="n">
        <x:v>2022</x:v>
      </x:c>
      <x:c r="B158" t="str">
        <x:v>May</x:v>
      </x:c>
      <x:c r="C158" t="str">
        <x:v>Day</x:v>
      </x:c>
      <x:c r="D158" t="str">
        <x:v>Light Vehicles</x:v>
      </x:c>
      <x:c r="E158" t="n">
        <x:v>546</x:v>
      </x:c>
      <x:c r="F158" t="n">
        <x:v>546</x:v>
      </x:c>
      <x:c r="G158" t="n">
        <x:v>3709230.11</x:v>
      </x:c>
      <x:c r="H158" t="n">
        <x:v>0.995654</x:v>
      </x:c>
      <x:c r="I158" t="n">
        <x:v>0.988701</x:v>
      </x:c>
      <x:c r="J158" t="n">
        <x:v>3651395.97</x:v>
      </x:c>
    </x:row>
    <x:row r="159">
      <x:c r="A159" t="n">
        <x:v>2022</x:v>
      </x:c>
      <x:c r="B159" t="str">
        <x:v>May</x:v>
      </x:c>
      <x:c r="C159" t="str">
        <x:v>Day</x:v>
      </x:c>
      <x:c r="D159" t="str">
        <x:v>Buses</x:v>
      </x:c>
      <x:c r="E159" t="n">
        <x:v>546</x:v>
      </x:c>
      <x:c r="F159" t="n">
        <x:v>546</x:v>
      </x:c>
      <x:c r="G159" t="n">
        <x:v>1011756.15</x:v>
      </x:c>
      <x:c r="H159" t="n">
        <x:v>0.995168</x:v>
      </x:c>
      <x:c r="I159" t="n">
        <x:v>0.982438</x:v>
      </x:c>
      <x:c r="J159" t="n">
        <x:v>989180.85</x:v>
      </x:c>
    </x:row>
    <x:row r="160">
      <x:c r="A160" t="n">
        <x:v>2022</x:v>
      </x:c>
      <x:c r="B160" t="str">
        <x:v>May</x:v>
      </x:c>
      <x:c r="C160" t="str">
        <x:v>Day</x:v>
      </x:c>
      <x:c r="D160" t="str">
        <x:v>Heavy Goods</x:v>
      </x:c>
      <x:c r="E160" t="n">
        <x:v>546</x:v>
      </x:c>
      <x:c r="F160" t="n">
        <x:v>546</x:v>
      </x:c>
      <x:c r="G160" t="n">
        <x:v>500033.09</x:v>
      </x:c>
      <x:c r="H160" t="n">
        <x:v>0.99505</x:v>
      </x:c>
      <x:c r="I160" t="n">
        <x:v>0.973323</x:v>
      </x:c>
      <x:c r="J160" t="n">
        <x:v>484277.89</x:v>
      </x:c>
    </x:row>
    <x:row r="161">
      <x:c r="A161" t="n">
        <x:v>2022</x:v>
      </x:c>
      <x:c r="B161" t="str">
        <x:v>May</x:v>
      </x:c>
      <x:c r="C161" t="str">
        <x:v>Day</x:v>
      </x:c>
      <x:c r="D161" t="str">
        <x:v>Other</x:v>
      </x:c>
      <x:c r="E161" t="n">
        <x:v>546</x:v>
      </x:c>
      <x:c r="F161" t="n">
        <x:v>36</x:v>
      </x:c>
      <x:c r="G161" t="n">
        <x:v>20285.72</x:v>
      </x:c>
      <x:c r="H161" t="n">
        <x:v>0.948457</x:v>
      </x:c>
      <x:c r="I161" t="n">
        <x:v>1</x:v>
      </x:c>
      <x:c r="J161" t="n">
        <x:v>19240.13</x:v>
      </x:c>
    </x:row>
    <x:row r="162">
      <x:c r="A162" t="n">
        <x:v>2022</x:v>
      </x:c>
      <x:c r="B162" t="str">
        <x:v>May</x:v>
      </x:c>
      <x:c r="C162" t="str">
        <x:v>Week</x:v>
      </x:c>
      <x:c r="D162" t="str">
        <x:v>Motorcycles</x:v>
      </x:c>
      <x:c r="E162" t="n">
        <x:v>546</x:v>
      </x:c>
      <x:c r="F162" t="n">
        <x:v>546</x:v>
      </x:c>
      <x:c r="G162" t="n">
        <x:v>8823394.52</x:v>
      </x:c>
      <x:c r="H162" t="n">
        <x:v>0.995115</x:v>
      </x:c>
      <x:c r="I162" t="n">
        <x:v>0.984658</x:v>
      </x:c>
      <x:c r="J162" t="n">
        <x:v>60518757.38</x:v>
      </x:c>
    </x:row>
    <x:row r="163">
      <x:c r="A163" t="n">
        <x:v>2022</x:v>
      </x:c>
      <x:c r="B163" t="str">
        <x:v>May</x:v>
      </x:c>
      <x:c r="C163" t="str">
        <x:v>Week</x:v>
      </x:c>
      <x:c r="D163" t="str">
        <x:v>Light Vehicles</x:v>
      </x:c>
      <x:c r="E163" t="n">
        <x:v>546</x:v>
      </x:c>
      <x:c r="F163" t="n">
        <x:v>546</x:v>
      </x:c>
      <x:c r="G163" t="n">
        <x:v>3709230.11</x:v>
      </x:c>
      <x:c r="H163" t="n">
        <x:v>0.995654</x:v>
      </x:c>
      <x:c r="I163" t="n">
        <x:v>0.988701</x:v>
      </x:c>
      <x:c r="J163" t="n">
        <x:v>25559771.79</x:v>
      </x:c>
    </x:row>
    <x:row r="164">
      <x:c r="A164" t="n">
        <x:v>2022</x:v>
      </x:c>
      <x:c r="B164" t="str">
        <x:v>May</x:v>
      </x:c>
      <x:c r="C164" t="str">
        <x:v>Week</x:v>
      </x:c>
      <x:c r="D164" t="str">
        <x:v>Buses</x:v>
      </x:c>
      <x:c r="E164" t="n">
        <x:v>546</x:v>
      </x:c>
      <x:c r="F164" t="n">
        <x:v>546</x:v>
      </x:c>
      <x:c r="G164" t="n">
        <x:v>1011756.15</x:v>
      </x:c>
      <x:c r="H164" t="n">
        <x:v>0.995168</x:v>
      </x:c>
      <x:c r="I164" t="n">
        <x:v>0.982438</x:v>
      </x:c>
      <x:c r="J164" t="n">
        <x:v>6924265.95</x:v>
      </x:c>
    </x:row>
    <x:row r="165">
      <x:c r="A165" t="n">
        <x:v>2022</x:v>
      </x:c>
      <x:c r="B165" t="str">
        <x:v>May</x:v>
      </x:c>
      <x:c r="C165" t="str">
        <x:v>Week</x:v>
      </x:c>
      <x:c r="D165" t="str">
        <x:v>Heavy Goods</x:v>
      </x:c>
      <x:c r="E165" t="n">
        <x:v>546</x:v>
      </x:c>
      <x:c r="F165" t="n">
        <x:v>546</x:v>
      </x:c>
      <x:c r="G165" t="n">
        <x:v>500033.09</x:v>
      </x:c>
      <x:c r="H165" t="n">
        <x:v>0.99505</x:v>
      </x:c>
      <x:c r="I165" t="n">
        <x:v>0.973323</x:v>
      </x:c>
      <x:c r="J165" t="n">
        <x:v>3389945.23</x:v>
      </x:c>
    </x:row>
    <x:row r="166">
      <x:c r="A166" t="n">
        <x:v>2022</x:v>
      </x:c>
      <x:c r="B166" t="str">
        <x:v>May</x:v>
      </x:c>
      <x:c r="C166" t="str">
        <x:v>Week</x:v>
      </x:c>
      <x:c r="D166" t="str">
        <x:v>Other</x:v>
      </x:c>
      <x:c r="E166" t="n">
        <x:v>546</x:v>
      </x:c>
      <x:c r="F166" t="n">
        <x:v>36</x:v>
      </x:c>
      <x:c r="G166" t="n">
        <x:v>20285.72</x:v>
      </x:c>
      <x:c r="H166" t="n">
        <x:v>0.948457</x:v>
      </x:c>
      <x:c r="I166" t="n">
        <x:v>1</x:v>
      </x:c>
      <x:c r="J166" t="n">
        <x:v>134680.89</x:v>
      </x:c>
    </x:row>
    <x:row r="167">
      <x:c r="A167" t="n">
        <x:v>2022</x:v>
      </x:c>
      <x:c r="B167" t="str">
        <x:v>May</x:v>
      </x:c>
      <x:c r="C167" t="str">
        <x:v>Month</x:v>
      </x:c>
      <x:c r="D167" t="str">
        <x:v>Motorcycles</x:v>
      </x:c>
      <x:c r="E167" t="n">
        <x:v>546</x:v>
      </x:c>
      <x:c r="F167" t="n">
        <x:v>546</x:v>
      </x:c>
      <x:c r="G167" t="n">
        <x:v>8823394.52</x:v>
      </x:c>
      <x:c r="H167" t="n">
        <x:v>0.995115</x:v>
      </x:c>
      <x:c r="I167" t="n">
        <x:v>0.984658</x:v>
      </x:c>
      <x:c r="J167" t="n">
        <x:v>268011639.81</x:v>
      </x:c>
    </x:row>
    <x:row r="168">
      <x:c r="A168" t="n">
        <x:v>2022</x:v>
      </x:c>
      <x:c r="B168" t="str">
        <x:v>May</x:v>
      </x:c>
      <x:c r="C168" t="str">
        <x:v>Month</x:v>
      </x:c>
      <x:c r="D168" t="str">
        <x:v>Light Vehicles</x:v>
      </x:c>
      <x:c r="E168" t="n">
        <x:v>546</x:v>
      </x:c>
      <x:c r="F168" t="n">
        <x:v>546</x:v>
      </x:c>
      <x:c r="G168" t="n">
        <x:v>3709230.11</x:v>
      </x:c>
      <x:c r="H168" t="n">
        <x:v>0.995654</x:v>
      </x:c>
      <x:c r="I168" t="n">
        <x:v>0.988701</x:v>
      </x:c>
      <x:c r="J168" t="n">
        <x:v>113193275.08</x:v>
      </x:c>
    </x:row>
    <x:row r="169">
      <x:c r="A169" t="n">
        <x:v>2022</x:v>
      </x:c>
      <x:c r="B169" t="str">
        <x:v>May</x:v>
      </x:c>
      <x:c r="C169" t="str">
        <x:v>Month</x:v>
      </x:c>
      <x:c r="D169" t="str">
        <x:v>Buses</x:v>
      </x:c>
      <x:c r="E169" t="n">
        <x:v>546</x:v>
      </x:c>
      <x:c r="F169" t="n">
        <x:v>546</x:v>
      </x:c>
      <x:c r="G169" t="n">
        <x:v>1011756.15</x:v>
      </x:c>
      <x:c r="H169" t="n">
        <x:v>0.995168</x:v>
      </x:c>
      <x:c r="I169" t="n">
        <x:v>0.982438</x:v>
      </x:c>
      <x:c r="J169" t="n">
        <x:v>30664606.35</x:v>
      </x:c>
    </x:row>
    <x:row r="170">
      <x:c r="A170" t="n">
        <x:v>2022</x:v>
      </x:c>
      <x:c r="B170" t="str">
        <x:v>May</x:v>
      </x:c>
      <x:c r="C170" t="str">
        <x:v>Month</x:v>
      </x:c>
      <x:c r="D170" t="str">
        <x:v>Heavy Goods</x:v>
      </x:c>
      <x:c r="E170" t="n">
        <x:v>546</x:v>
      </x:c>
      <x:c r="F170" t="n">
        <x:v>546</x:v>
      </x:c>
      <x:c r="G170" t="n">
        <x:v>500033.09</x:v>
      </x:c>
      <x:c r="H170" t="n">
        <x:v>0.99505</x:v>
      </x:c>
      <x:c r="I170" t="n">
        <x:v>0.973323</x:v>
      </x:c>
      <x:c r="J170" t="n">
        <x:v>15012614.59</x:v>
      </x:c>
    </x:row>
    <x:row r="171">
      <x:c r="A171" t="n">
        <x:v>2022</x:v>
      </x:c>
      <x:c r="B171" t="str">
        <x:v>May</x:v>
      </x:c>
      <x:c r="C171" t="str">
        <x:v>Month</x:v>
      </x:c>
      <x:c r="D171" t="str">
        <x:v>Other</x:v>
      </x:c>
      <x:c r="E171" t="n">
        <x:v>546</x:v>
      </x:c>
      <x:c r="F171" t="n">
        <x:v>36</x:v>
      </x:c>
      <x:c r="G171" t="n">
        <x:v>20285.72</x:v>
      </x:c>
      <x:c r="H171" t="n">
        <x:v>0.948457</x:v>
      </x:c>
      <x:c r="I171" t="n">
        <x:v>1</x:v>
      </x:c>
      <x:c r="J171" t="n">
        <x:v>596443.95</x:v>
      </x:c>
    </x:row>
    <x:row r="172">
      <x:c r="A172" t="n">
        <x:v>2022</x:v>
      </x:c>
      <x:c r="B172" t="str">
        <x:v>May</x:v>
      </x:c>
      <x:c r="C172" t="str">
        <x:v>Year</x:v>
      </x:c>
      <x:c r="D172" t="str">
        <x:v>Motorcycles</x:v>
      </x:c>
      <x:c r="E172" t="n">
        <x:v>546</x:v>
      </x:c>
      <x:c r="F172" t="n">
        <x:v>546</x:v>
      </x:c>
      <x:c r="G172" t="n">
        <x:v>8823394.52</x:v>
      </x:c>
      <x:c r="H172" t="n">
        <x:v>0.995115</x:v>
      </x:c>
      <x:c r="I172" t="n">
        <x:v>0.984658</x:v>
      </x:c>
      <x:c r="J172" t="n">
        <x:v>3155620920.39</x:v>
      </x:c>
    </x:row>
    <x:row r="173">
      <x:c r="A173" t="n">
        <x:v>2022</x:v>
      </x:c>
      <x:c r="B173" t="str">
        <x:v>May</x:v>
      </x:c>
      <x:c r="C173" t="str">
        <x:v>Year</x:v>
      </x:c>
      <x:c r="D173" t="str">
        <x:v>Light Vehicles</x:v>
      </x:c>
      <x:c r="E173" t="n">
        <x:v>546</x:v>
      </x:c>
      <x:c r="F173" t="n">
        <x:v>546</x:v>
      </x:c>
      <x:c r="G173" t="n">
        <x:v>3709230.11</x:v>
      </x:c>
      <x:c r="H173" t="n">
        <x:v>0.995654</x:v>
      </x:c>
      <x:c r="I173" t="n">
        <x:v>0.988701</x:v>
      </x:c>
      <x:c r="J173" t="n">
        <x:v>1332759529.19</x:v>
      </x:c>
    </x:row>
    <x:row r="174">
      <x:c r="A174" t="n">
        <x:v>2022</x:v>
      </x:c>
      <x:c r="B174" t="str">
        <x:v>May</x:v>
      </x:c>
      <x:c r="C174" t="str">
        <x:v>Year</x:v>
      </x:c>
      <x:c r="D174" t="str">
        <x:v>Buses</x:v>
      </x:c>
      <x:c r="E174" t="n">
        <x:v>546</x:v>
      </x:c>
      <x:c r="F174" t="n">
        <x:v>546</x:v>
      </x:c>
      <x:c r="G174" t="n">
        <x:v>1011756.15</x:v>
      </x:c>
      <x:c r="H174" t="n">
        <x:v>0.995168</x:v>
      </x:c>
      <x:c r="I174" t="n">
        <x:v>0.982438</x:v>
      </x:c>
      <x:c r="J174" t="n">
        <x:v>361051010.27</x:v>
      </x:c>
    </x:row>
    <x:row r="175">
      <x:c r="A175" t="n">
        <x:v>2022</x:v>
      </x:c>
      <x:c r="B175" t="str">
        <x:v>May</x:v>
      </x:c>
      <x:c r="C175" t="str">
        <x:v>Year</x:v>
      </x:c>
      <x:c r="D175" t="str">
        <x:v>Heavy Goods</x:v>
      </x:c>
      <x:c r="E175" t="n">
        <x:v>546</x:v>
      </x:c>
      <x:c r="F175" t="n">
        <x:v>546</x:v>
      </x:c>
      <x:c r="G175" t="n">
        <x:v>500033.09</x:v>
      </x:c>
      <x:c r="H175" t="n">
        <x:v>0.99505</x:v>
      </x:c>
      <x:c r="I175" t="n">
        <x:v>0.973323</x:v>
      </x:c>
      <x:c r="J175" t="n">
        <x:v>176761429.8</x:v>
      </x:c>
    </x:row>
    <x:row r="176">
      <x:c r="A176" t="n">
        <x:v>2022</x:v>
      </x:c>
      <x:c r="B176" t="str">
        <x:v>May</x:v>
      </x:c>
      <x:c r="C176" t="str">
        <x:v>Year</x:v>
      </x:c>
      <x:c r="D176" t="str">
        <x:v>Other</x:v>
      </x:c>
      <x:c r="E176" t="n">
        <x:v>546</x:v>
      </x:c>
      <x:c r="F176" t="n">
        <x:v>36</x:v>
      </x:c>
      <x:c r="G176" t="n">
        <x:v>20285.72</x:v>
      </x:c>
      <x:c r="H176" t="n">
        <x:v>0.948457</x:v>
      </x:c>
      <x:c r="I176" t="n">
        <x:v>1</x:v>
      </x:c>
      <x:c r="J176" t="n">
        <x:v>7022646.48</x:v>
      </x:c>
    </x:row>
    <x:row r="177">
      <x:c r="A177" t="n">
        <x:v>2023</x:v>
      </x:c>
      <x:c r="B177" t="str">
        <x:v>May</x:v>
      </x:c>
      <x:c r="C177" t="str">
        <x:v>Hour</x:v>
      </x:c>
      <x:c r="D177" t="str">
        <x:v>Motorcycles</x:v>
      </x:c>
      <x:c r="E177" t="n">
        <x:v>546</x:v>
      </x:c>
      <x:c r="F177" t="n">
        <x:v>546</x:v>
      </x:c>
      <x:c r="G177" t="n">
        <x:v>8823394.52</x:v>
      </x:c>
      <x:c r="H177" t="n">
        <x:v>0.997522</x:v>
      </x:c>
      <x:c r="I177" t="n">
        <x:v>0.984658</x:v>
      </x:c>
      <x:c r="J177" t="n">
        <x:v>361109.5</x:v>
      </x:c>
    </x:row>
    <x:row r="178">
      <x:c r="A178" t="n">
        <x:v>2023</x:v>
      </x:c>
      <x:c r="B178" t="str">
        <x:v>May</x:v>
      </x:c>
      <x:c r="C178" t="str">
        <x:v>Hour</x:v>
      </x:c>
      <x:c r="D178" t="str">
        <x:v>Light Vehicles</x:v>
      </x:c>
      <x:c r="E178" t="n">
        <x:v>546</x:v>
      </x:c>
      <x:c r="F178" t="n">
        <x:v>546</x:v>
      </x:c>
      <x:c r="G178" t="n">
        <x:v>3709230.11</x:v>
      </x:c>
      <x:c r="H178" t="n">
        <x:v>0.997615</x:v>
      </x:c>
      <x:c r="I178" t="n">
        <x:v>0.988701</x:v>
      </x:c>
      <x:c r="J178" t="n">
        <x:v>152442.54</x:v>
      </x:c>
    </x:row>
    <x:row r="179">
      <x:c r="A179" t="n">
        <x:v>2023</x:v>
      </x:c>
      <x:c r="B179" t="str">
        <x:v>May</x:v>
      </x:c>
      <x:c r="C179" t="str">
        <x:v>Hour</x:v>
      </x:c>
      <x:c r="D179" t="str">
        <x:v>Buses</x:v>
      </x:c>
      <x:c r="E179" t="n">
        <x:v>546</x:v>
      </x:c>
      <x:c r="F179" t="n">
        <x:v>546</x:v>
      </x:c>
      <x:c r="G179" t="n">
        <x:v>1011756.15</x:v>
      </x:c>
      <x:c r="H179" t="n">
        <x:v>0.997364</x:v>
      </x:c>
      <x:c r="I179" t="n">
        <x:v>0.982438</x:v>
      </x:c>
      <x:c r="J179" t="n">
        <x:v>41307.56</x:v>
      </x:c>
    </x:row>
    <x:row r="180">
      <x:c r="A180" t="n">
        <x:v>2023</x:v>
      </x:c>
      <x:c r="B180" t="str">
        <x:v>May</x:v>
      </x:c>
      <x:c r="C180" t="str">
        <x:v>Hour</x:v>
      </x:c>
      <x:c r="D180" t="str">
        <x:v>Heavy Goods</x:v>
      </x:c>
      <x:c r="E180" t="n">
        <x:v>546</x:v>
      </x:c>
      <x:c r="F180" t="n">
        <x:v>546</x:v>
      </x:c>
      <x:c r="G180" t="n">
        <x:v>500033.09</x:v>
      </x:c>
      <x:c r="H180" t="n">
        <x:v>0.997089</x:v>
      </x:c>
      <x:c r="I180" t="n">
        <x:v>0.973323</x:v>
      </x:c>
      <x:c r="J180" t="n">
        <x:v>20220.11</x:v>
      </x:c>
    </x:row>
    <x:row r="181">
      <x:c r="A181" t="n">
        <x:v>2023</x:v>
      </x:c>
      <x:c r="B181" t="str">
        <x:v>May</x:v>
      </x:c>
      <x:c r="C181" t="str">
        <x:v>Hour</x:v>
      </x:c>
      <x:c r="D181" t="str">
        <x:v>Other</x:v>
      </x:c>
      <x:c r="E181" t="n">
        <x:v>546</x:v>
      </x:c>
      <x:c r="F181" t="n">
        <x:v>36</x:v>
      </x:c>
      <x:c r="G181" t="n">
        <x:v>20285.72</x:v>
      </x:c>
      <x:c r="H181" t="n">
        <x:v>0.99932</x:v>
      </x:c>
      <x:c r="I181" t="n">
        <x:v>1</x:v>
      </x:c>
      <x:c r="J181" t="n">
        <x:v>844.66</x:v>
      </x:c>
    </x:row>
    <x:row r="182">
      <x:c r="A182" t="n">
        <x:v>2023</x:v>
      </x:c>
      <x:c r="B182" t="str">
        <x:v>May</x:v>
      </x:c>
      <x:c r="C182" t="str">
        <x:v>Day</x:v>
      </x:c>
      <x:c r="D182" t="str">
        <x:v>Motorcycles</x:v>
      </x:c>
      <x:c r="E182" t="n">
        <x:v>546</x:v>
      </x:c>
      <x:c r="F182" t="n">
        <x:v>546</x:v>
      </x:c>
      <x:c r="G182" t="n">
        <x:v>8823394.52</x:v>
      </x:c>
      <x:c r="H182" t="n">
        <x:v>0.997522</x:v>
      </x:c>
      <x:c r="I182" t="n">
        <x:v>0.984658</x:v>
      </x:c>
      <x:c r="J182" t="n">
        <x:v>8666628.1</x:v>
      </x:c>
    </x:row>
    <x:row r="183">
      <x:c r="A183" t="n">
        <x:v>2023</x:v>
      </x:c>
      <x:c r="B183" t="str">
        <x:v>May</x:v>
      </x:c>
      <x:c r="C183" t="str">
        <x:v>Day</x:v>
      </x:c>
      <x:c r="D183" t="str">
        <x:v>Light Vehicles</x:v>
      </x:c>
      <x:c r="E183" t="n">
        <x:v>546</x:v>
      </x:c>
      <x:c r="F183" t="n">
        <x:v>546</x:v>
      </x:c>
      <x:c r="G183" t="n">
        <x:v>3709230.11</x:v>
      </x:c>
      <x:c r="H183" t="n">
        <x:v>0.997615</x:v>
      </x:c>
      <x:c r="I183" t="n">
        <x:v>0.988701</x:v>
      </x:c>
      <x:c r="J183" t="n">
        <x:v>3658620.95</x:v>
      </x:c>
    </x:row>
    <x:row r="184">
      <x:c r="A184" t="n">
        <x:v>2023</x:v>
      </x:c>
      <x:c r="B184" t="str">
        <x:v>May</x:v>
      </x:c>
      <x:c r="C184" t="str">
        <x:v>Day</x:v>
      </x:c>
      <x:c r="D184" t="str">
        <x:v>Buses</x:v>
      </x:c>
      <x:c r="E184" t="n">
        <x:v>546</x:v>
      </x:c>
      <x:c r="F184" t="n">
        <x:v>546</x:v>
      </x:c>
      <x:c r="G184" t="n">
        <x:v>1011756.15</x:v>
      </x:c>
      <x:c r="H184" t="n">
        <x:v>0.997364</x:v>
      </x:c>
      <x:c r="I184" t="n">
        <x:v>0.982438</x:v>
      </x:c>
      <x:c r="J184" t="n">
        <x:v>991381.44</x:v>
      </x:c>
    </x:row>
    <x:row r="185">
      <x:c r="A185" t="n">
        <x:v>2023</x:v>
      </x:c>
      <x:c r="B185" t="str">
        <x:v>May</x:v>
      </x:c>
      <x:c r="C185" t="str">
        <x:v>Day</x:v>
      </x:c>
      <x:c r="D185" t="str">
        <x:v>Heavy Goods</x:v>
      </x:c>
      <x:c r="E185" t="n">
        <x:v>546</x:v>
      </x:c>
      <x:c r="F185" t="n">
        <x:v>546</x:v>
      </x:c>
      <x:c r="G185" t="n">
        <x:v>500033.09</x:v>
      </x:c>
      <x:c r="H185" t="n">
        <x:v>0.997089</x:v>
      </x:c>
      <x:c r="I185" t="n">
        <x:v>0.973323</x:v>
      </x:c>
      <x:c r="J185" t="n">
        <x:v>485282.71</x:v>
      </x:c>
    </x:row>
    <x:row r="186">
      <x:c r="A186" t="n">
        <x:v>2023</x:v>
      </x:c>
      <x:c r="B186" t="str">
        <x:v>May</x:v>
      </x:c>
      <x:c r="C186" t="str">
        <x:v>Day</x:v>
      </x:c>
      <x:c r="D186" t="str">
        <x:v>Other</x:v>
      </x:c>
      <x:c r="E186" t="n">
        <x:v>546</x:v>
      </x:c>
      <x:c r="F186" t="n">
        <x:v>36</x:v>
      </x:c>
      <x:c r="G186" t="n">
        <x:v>20285.72</x:v>
      </x:c>
      <x:c r="H186" t="n">
        <x:v>0.99932</x:v>
      </x:c>
      <x:c r="I186" t="n">
        <x:v>1</x:v>
      </x:c>
      <x:c r="J186" t="n">
        <x:v>20271.92</x:v>
      </x:c>
    </x:row>
    <x:row r="187">
      <x:c r="A187" t="n">
        <x:v>2023</x:v>
      </x:c>
      <x:c r="B187" t="str">
        <x:v>May</x:v>
      </x:c>
      <x:c r="C187" t="str">
        <x:v>Week</x:v>
      </x:c>
      <x:c r="D187" t="str">
        <x:v>Motorcycles</x:v>
      </x:c>
      <x:c r="E187" t="n">
        <x:v>546</x:v>
      </x:c>
      <x:c r="F187" t="n">
        <x:v>546</x:v>
      </x:c>
      <x:c r="G187" t="n">
        <x:v>8823394.52</x:v>
      </x:c>
      <x:c r="H187" t="n">
        <x:v>0.997522</x:v>
      </x:c>
      <x:c r="I187" t="n">
        <x:v>0.984658</x:v>
      </x:c>
      <x:c r="J187" t="n">
        <x:v>60666396.69</x:v>
      </x:c>
    </x:row>
    <x:row r="188">
      <x:c r="A188" t="n">
        <x:v>2023</x:v>
      </x:c>
      <x:c r="B188" t="str">
        <x:v>May</x:v>
      </x:c>
      <x:c r="C188" t="str">
        <x:v>Week</x:v>
      </x:c>
      <x:c r="D188" t="str">
        <x:v>Light Vehicles</x:v>
      </x:c>
      <x:c r="E188" t="n">
        <x:v>546</x:v>
      </x:c>
      <x:c r="F188" t="n">
        <x:v>546</x:v>
      </x:c>
      <x:c r="G188" t="n">
        <x:v>3709230.11</x:v>
      </x:c>
      <x:c r="H188" t="n">
        <x:v>0.997615</x:v>
      </x:c>
      <x:c r="I188" t="n">
        <x:v>0.988701</x:v>
      </x:c>
      <x:c r="J188" t="n">
        <x:v>25610346.62</x:v>
      </x:c>
    </x:row>
    <x:row r="189">
      <x:c r="A189" t="n">
        <x:v>2023</x:v>
      </x:c>
      <x:c r="B189" t="str">
        <x:v>May</x:v>
      </x:c>
      <x:c r="C189" t="str">
        <x:v>Week</x:v>
      </x:c>
      <x:c r="D189" t="str">
        <x:v>Buses</x:v>
      </x:c>
      <x:c r="E189" t="n">
        <x:v>546</x:v>
      </x:c>
      <x:c r="F189" t="n">
        <x:v>546</x:v>
      </x:c>
      <x:c r="G189" t="n">
        <x:v>1011756.15</x:v>
      </x:c>
      <x:c r="H189" t="n">
        <x:v>0.997364</x:v>
      </x:c>
      <x:c r="I189" t="n">
        <x:v>0.982438</x:v>
      </x:c>
      <x:c r="J189" t="n">
        <x:v>6939670.08</x:v>
      </x:c>
    </x:row>
    <x:row r="190">
      <x:c r="A190" t="n">
        <x:v>2023</x:v>
      </x:c>
      <x:c r="B190" t="str">
        <x:v>May</x:v>
      </x:c>
      <x:c r="C190" t="str">
        <x:v>Week</x:v>
      </x:c>
      <x:c r="D190" t="str">
        <x:v>Heavy Goods</x:v>
      </x:c>
      <x:c r="E190" t="n">
        <x:v>546</x:v>
      </x:c>
      <x:c r="F190" t="n">
        <x:v>546</x:v>
      </x:c>
      <x:c r="G190" t="n">
        <x:v>500033.09</x:v>
      </x:c>
      <x:c r="H190" t="n">
        <x:v>0.997089</x:v>
      </x:c>
      <x:c r="I190" t="n">
        <x:v>0.973323</x:v>
      </x:c>
      <x:c r="J190" t="n">
        <x:v>3396978.97</x:v>
      </x:c>
    </x:row>
    <x:row r="191">
      <x:c r="A191" t="n">
        <x:v>2023</x:v>
      </x:c>
      <x:c r="B191" t="str">
        <x:v>May</x:v>
      </x:c>
      <x:c r="C191" t="str">
        <x:v>Week</x:v>
      </x:c>
      <x:c r="D191" t="str">
        <x:v>Other</x:v>
      </x:c>
      <x:c r="E191" t="n">
        <x:v>546</x:v>
      </x:c>
      <x:c r="F191" t="n">
        <x:v>36</x:v>
      </x:c>
      <x:c r="G191" t="n">
        <x:v>20285.72</x:v>
      </x:c>
      <x:c r="H191" t="n">
        <x:v>0.99932</x:v>
      </x:c>
      <x:c r="I191" t="n">
        <x:v>1</x:v>
      </x:c>
      <x:c r="J191" t="n">
        <x:v>141903.46</x:v>
      </x:c>
    </x:row>
    <x:row r="192">
      <x:c r="A192" t="n">
        <x:v>2023</x:v>
      </x:c>
      <x:c r="B192" t="str">
        <x:v>May</x:v>
      </x:c>
      <x:c r="C192" t="str">
        <x:v>Month</x:v>
      </x:c>
      <x:c r="D192" t="str">
        <x:v>Motorcycles</x:v>
      </x:c>
      <x:c r="E192" t="n">
        <x:v>546</x:v>
      </x:c>
      <x:c r="F192" t="n">
        <x:v>546</x:v>
      </x:c>
      <x:c r="G192" t="n">
        <x:v>8823394.52</x:v>
      </x:c>
      <x:c r="H192" t="n">
        <x:v>0.997522</x:v>
      </x:c>
      <x:c r="I192" t="n">
        <x:v>0.984658</x:v>
      </x:c>
      <x:c r="J192" t="n">
        <x:v>268665471.05</x:v>
      </x:c>
    </x:row>
    <x:row r="193">
      <x:c r="A193" t="n">
        <x:v>2023</x:v>
      </x:c>
      <x:c r="B193" t="str">
        <x:v>May</x:v>
      </x:c>
      <x:c r="C193" t="str">
        <x:v>Month</x:v>
      </x:c>
      <x:c r="D193" t="str">
        <x:v>Light Vehicles</x:v>
      </x:c>
      <x:c r="E193" t="n">
        <x:v>546</x:v>
      </x:c>
      <x:c r="F193" t="n">
        <x:v>546</x:v>
      </x:c>
      <x:c r="G193" t="n">
        <x:v>3709230.11</x:v>
      </x:c>
      <x:c r="H193" t="n">
        <x:v>0.997615</x:v>
      </x:c>
      <x:c r="I193" t="n">
        <x:v>0.988701</x:v>
      </x:c>
      <x:c r="J193" t="n">
        <x:v>113417249.31</x:v>
      </x:c>
    </x:row>
    <x:row r="194">
      <x:c r="A194" t="n">
        <x:v>2023</x:v>
      </x:c>
      <x:c r="B194" t="str">
        <x:v>May</x:v>
      </x:c>
      <x:c r="C194" t="str">
        <x:v>Month</x:v>
      </x:c>
      <x:c r="D194" t="str">
        <x:v>Buses</x:v>
      </x:c>
      <x:c r="E194" t="n">
        <x:v>546</x:v>
      </x:c>
      <x:c r="F194" t="n">
        <x:v>546</x:v>
      </x:c>
      <x:c r="G194" t="n">
        <x:v>1011756.15</x:v>
      </x:c>
      <x:c r="H194" t="n">
        <x:v>0.997364</x:v>
      </x:c>
      <x:c r="I194" t="n">
        <x:v>0.982438</x:v>
      </x:c>
      <x:c r="J194" t="n">
        <x:v>30732824.63</x:v>
      </x:c>
    </x:row>
    <x:row r="195">
      <x:c r="A195" t="n">
        <x:v>2023</x:v>
      </x:c>
      <x:c r="B195" t="str">
        <x:v>May</x:v>
      </x:c>
      <x:c r="C195" t="str">
        <x:v>Month</x:v>
      </x:c>
      <x:c r="D195" t="str">
        <x:v>Heavy Goods</x:v>
      </x:c>
      <x:c r="E195" t="n">
        <x:v>546</x:v>
      </x:c>
      <x:c r="F195" t="n">
        <x:v>546</x:v>
      </x:c>
      <x:c r="G195" t="n">
        <x:v>500033.09</x:v>
      </x:c>
      <x:c r="H195" t="n">
        <x:v>0.997089</x:v>
      </x:c>
      <x:c r="I195" t="n">
        <x:v>0.973323</x:v>
      </x:c>
      <x:c r="J195" t="n">
        <x:v>15043764</x:v>
      </x:c>
    </x:row>
    <x:row r="196">
      <x:c r="A196" t="n">
        <x:v>2023</x:v>
      </x:c>
      <x:c r="B196" t="str">
        <x:v>May</x:v>
      </x:c>
      <x:c r="C196" t="str">
        <x:v>Month</x:v>
      </x:c>
      <x:c r="D196" t="str">
        <x:v>Other</x:v>
      </x:c>
      <x:c r="E196" t="n">
        <x:v>546</x:v>
      </x:c>
      <x:c r="F196" t="n">
        <x:v>36</x:v>
      </x:c>
      <x:c r="G196" t="n">
        <x:v>20285.72</x:v>
      </x:c>
      <x:c r="H196" t="n">
        <x:v>0.99932</x:v>
      </x:c>
      <x:c r="I196" t="n">
        <x:v>1</x:v>
      </x:c>
      <x:c r="J196" t="n">
        <x:v>628429.62</x:v>
      </x:c>
    </x:row>
    <x:row r="197">
      <x:c r="A197" t="n">
        <x:v>2023</x:v>
      </x:c>
      <x:c r="B197" t="str">
        <x:v>May</x:v>
      </x:c>
      <x:c r="C197" t="str">
        <x:v>Year</x:v>
      </x:c>
      <x:c r="D197" t="str">
        <x:v>Motorcycles</x:v>
      </x:c>
      <x:c r="E197" t="n">
        <x:v>546</x:v>
      </x:c>
      <x:c r="F197" t="n">
        <x:v>546</x:v>
      </x:c>
      <x:c r="G197" t="n">
        <x:v>8823394.52</x:v>
      </x:c>
      <x:c r="H197" t="n">
        <x:v>0.997522</x:v>
      </x:c>
      <x:c r="I197" t="n">
        <x:v>0.984658</x:v>
      </x:c>
      <x:c r="J197" t="n">
        <x:v>3163319255.85</x:v>
      </x:c>
    </x:row>
    <x:row r="198">
      <x:c r="A198" t="n">
        <x:v>2023</x:v>
      </x:c>
      <x:c r="B198" t="str">
        <x:v>May</x:v>
      </x:c>
      <x:c r="C198" t="str">
        <x:v>Year</x:v>
      </x:c>
      <x:c r="D198" t="str">
        <x:v>Light Vehicles</x:v>
      </x:c>
      <x:c r="E198" t="n">
        <x:v>546</x:v>
      </x:c>
      <x:c r="F198" t="n">
        <x:v>546</x:v>
      </x:c>
      <x:c r="G198" t="n">
        <x:v>3709230.11</x:v>
      </x:c>
      <x:c r="H198" t="n">
        <x:v>0.997615</x:v>
      </x:c>
      <x:c r="I198" t="n">
        <x:v>0.988701</x:v>
      </x:c>
      <x:c r="J198" t="n">
        <x:v>1335396645.13</x:v>
      </x:c>
    </x:row>
    <x:row r="199">
      <x:c r="A199" t="n">
        <x:v>2023</x:v>
      </x:c>
      <x:c r="B199" t="str">
        <x:v>May</x:v>
      </x:c>
      <x:c r="C199" t="str">
        <x:v>Year</x:v>
      </x:c>
      <x:c r="D199" t="str">
        <x:v>Buses</x:v>
      </x:c>
      <x:c r="E199" t="n">
        <x:v>546</x:v>
      </x:c>
      <x:c r="F199" t="n">
        <x:v>546</x:v>
      </x:c>
      <x:c r="G199" t="n">
        <x:v>1011756.15</x:v>
      </x:c>
      <x:c r="H199" t="n">
        <x:v>0.997364</x:v>
      </x:c>
      <x:c r="I199" t="n">
        <x:v>0.982438</x:v>
      </x:c>
      <x:c r="J199" t="n">
        <x:v>361854225.51</x:v>
      </x:c>
    </x:row>
    <x:row r="200">
      <x:c r="A200" t="n">
        <x:v>2023</x:v>
      </x:c>
      <x:c r="B200" t="str">
        <x:v>May</x:v>
      </x:c>
      <x:c r="C200" t="str">
        <x:v>Year</x:v>
      </x:c>
      <x:c r="D200" t="str">
        <x:v>Heavy Goods</x:v>
      </x:c>
      <x:c r="E200" t="n">
        <x:v>546</x:v>
      </x:c>
      <x:c r="F200" t="n">
        <x:v>546</x:v>
      </x:c>
      <x:c r="G200" t="n">
        <x:v>500033.09</x:v>
      </x:c>
      <x:c r="H200" t="n">
        <x:v>0.997089</x:v>
      </x:c>
      <x:c r="I200" t="n">
        <x:v>0.973323</x:v>
      </x:c>
      <x:c r="J200" t="n">
        <x:v>177128189.02</x:v>
      </x:c>
    </x:row>
    <x:row r="201">
      <x:c r="A201" t="n">
        <x:v>2023</x:v>
      </x:c>
      <x:c r="B201" t="str">
        <x:v>May</x:v>
      </x:c>
      <x:c r="C201" t="str">
        <x:v>Year</x:v>
      </x:c>
      <x:c r="D201" t="str">
        <x:v>Other</x:v>
      </x:c>
      <x:c r="E201" t="n">
        <x:v>546</x:v>
      </x:c>
      <x:c r="F201" t="n">
        <x:v>36</x:v>
      </x:c>
      <x:c r="G201" t="n">
        <x:v>20285.72</x:v>
      </x:c>
      <x:c r="H201" t="n">
        <x:v>0.99932</x:v>
      </x:c>
      <x:c r="I201" t="n">
        <x:v>1</x:v>
      </x:c>
      <x:c r="J201" t="n">
        <x:v>7399251.95</x:v>
      </x:c>
    </x:row>
    <x:row r="202">
      <x:c r="A202" t="n">
        <x:v>2024</x:v>
      </x:c>
      <x:c r="B202" t="str">
        <x:v>May</x:v>
      </x:c>
      <x:c r="C202" t="str">
        <x:v>Hour</x:v>
      </x:c>
      <x:c r="D202" t="str">
        <x:v>Motorcycles</x:v>
      </x:c>
      <x:c r="E202" t="n">
        <x:v>546</x:v>
      </x:c>
      <x:c r="F202" t="n">
        <x:v>546</x:v>
      </x:c>
      <x:c r="G202" t="n">
        <x:v>8823394.52</x:v>
      </x:c>
      <x:c r="H202" t="n">
        <x:v>1.000003</x:v>
      </x:c>
      <x:c r="I202" t="n">
        <x:v>0.984658</x:v>
      </x:c>
      <x:c r="J202" t="n">
        <x:v>362014.94</x:v>
      </x:c>
    </x:row>
    <x:row r="203">
      <x:c r="A203" t="n">
        <x:v>2024</x:v>
      </x:c>
      <x:c r="B203" t="str">
        <x:v>May</x:v>
      </x:c>
      <x:c r="C203" t="str">
        <x:v>Hour</x:v>
      </x:c>
      <x:c r="D203" t="str">
        <x:v>Light Vehicles</x:v>
      </x:c>
      <x:c r="E203" t="n">
        <x:v>546</x:v>
      </x:c>
      <x:c r="F203" t="n">
        <x:v>546</x:v>
      </x:c>
      <x:c r="G203" t="n">
        <x:v>3709230.11</x:v>
      </x:c>
      <x:c r="H203" t="n">
        <x:v>0.999608</x:v>
      </x:c>
      <x:c r="I203" t="n">
        <x:v>0.988701</x:v>
      </x:c>
      <x:c r="J203" t="n">
        <x:v>152748.5</x:v>
      </x:c>
    </x:row>
    <x:row r="204">
      <x:c r="A204" t="n">
        <x:v>2024</x:v>
      </x:c>
      <x:c r="B204" t="str">
        <x:v>May</x:v>
      </x:c>
      <x:c r="C204" t="str">
        <x:v>Hour</x:v>
      </x:c>
      <x:c r="D204" t="str">
        <x:v>Buses</x:v>
      </x:c>
      <x:c r="E204" t="n">
        <x:v>546</x:v>
      </x:c>
      <x:c r="F204" t="n">
        <x:v>546</x:v>
      </x:c>
      <x:c r="G204" t="n">
        <x:v>1011756.15</x:v>
      </x:c>
      <x:c r="H204" t="n">
        <x:v>0.999616</x:v>
      </x:c>
      <x:c r="I204" t="n">
        <x:v>0.982438</x:v>
      </x:c>
      <x:c r="J204" t="n">
        <x:v>41401.65</x:v>
      </x:c>
    </x:row>
    <x:row r="205">
      <x:c r="A205" t="n">
        <x:v>2024</x:v>
      </x:c>
      <x:c r="B205" t="str">
        <x:v>May</x:v>
      </x:c>
      <x:c r="C205" t="str">
        <x:v>Hour</x:v>
      </x:c>
      <x:c r="D205" t="str">
        <x:v>Heavy Goods</x:v>
      </x:c>
      <x:c r="E205" t="n">
        <x:v>546</x:v>
      </x:c>
      <x:c r="F205" t="n">
        <x:v>546</x:v>
      </x:c>
      <x:c r="G205" t="n">
        <x:v>500033.09</x:v>
      </x:c>
      <x:c r="H205" t="n">
        <x:v>0.999181</x:v>
      </x:c>
      <x:c r="I205" t="n">
        <x:v>0.973323</x:v>
      </x:c>
      <x:c r="J205" t="n">
        <x:v>20263.09</x:v>
      </x:c>
    </x:row>
    <x:row r="206">
      <x:c r="A206" t="n">
        <x:v>2024</x:v>
      </x:c>
      <x:c r="B206" t="str">
        <x:v>May</x:v>
      </x:c>
      <x:c r="C206" t="str">
        <x:v>Hour</x:v>
      </x:c>
      <x:c r="D206" t="str">
        <x:v>Other</x:v>
      </x:c>
      <x:c r="E206" t="n">
        <x:v>546</x:v>
      </x:c>
      <x:c r="F206" t="n">
        <x:v>36</x:v>
      </x:c>
      <x:c r="G206" t="n">
        <x:v>20285.72</x:v>
      </x:c>
      <x:c r="H206" t="n">
        <x:v>1.054227</x:v>
      </x:c>
      <x:c r="I206" t="n">
        <x:v>1</x:v>
      </x:c>
      <x:c r="J206" t="n">
        <x:v>891.07</x:v>
      </x:c>
    </x:row>
    <x:row r="207">
      <x:c r="A207" t="n">
        <x:v>2024</x:v>
      </x:c>
      <x:c r="B207" t="str">
        <x:v>May</x:v>
      </x:c>
      <x:c r="C207" t="str">
        <x:v>Day</x:v>
      </x:c>
      <x:c r="D207" t="str">
        <x:v>Motorcycles</x:v>
      </x:c>
      <x:c r="E207" t="n">
        <x:v>546</x:v>
      </x:c>
      <x:c r="F207" t="n">
        <x:v>546</x:v>
      </x:c>
      <x:c r="G207" t="n">
        <x:v>8823394.52</x:v>
      </x:c>
      <x:c r="H207" t="n">
        <x:v>1.000003</x:v>
      </x:c>
      <x:c r="I207" t="n">
        <x:v>0.984658</x:v>
      </x:c>
      <x:c r="J207" t="n">
        <x:v>8688358.46</x:v>
      </x:c>
    </x:row>
    <x:row r="208">
      <x:c r="A208" t="n">
        <x:v>2024</x:v>
      </x:c>
      <x:c r="B208" t="str">
        <x:v>May</x:v>
      </x:c>
      <x:c r="C208" t="str">
        <x:v>Day</x:v>
      </x:c>
      <x:c r="D208" t="str">
        <x:v>Light Vehicles</x:v>
      </x:c>
      <x:c r="E208" t="n">
        <x:v>546</x:v>
      </x:c>
      <x:c r="F208" t="n">
        <x:v>546</x:v>
      </x:c>
      <x:c r="G208" t="n">
        <x:v>3709230.11</x:v>
      </x:c>
      <x:c r="H208" t="n">
        <x:v>0.999608</x:v>
      </x:c>
      <x:c r="I208" t="n">
        <x:v>0.988701</x:v>
      </x:c>
      <x:c r="J208" t="n">
        <x:v>3665964.06</x:v>
      </x:c>
    </x:row>
    <x:row r="209">
      <x:c r="A209" t="n">
        <x:v>2024</x:v>
      </x:c>
      <x:c r="B209" t="str">
        <x:v>May</x:v>
      </x:c>
      <x:c r="C209" t="str">
        <x:v>Day</x:v>
      </x:c>
      <x:c r="D209" t="str">
        <x:v>Buses</x:v>
      </x:c>
      <x:c r="E209" t="n">
        <x:v>546</x:v>
      </x:c>
      <x:c r="F209" t="n">
        <x:v>546</x:v>
      </x:c>
      <x:c r="G209" t="n">
        <x:v>1011756.15</x:v>
      </x:c>
      <x:c r="H209" t="n">
        <x:v>0.999616</x:v>
      </x:c>
      <x:c r="I209" t="n">
        <x:v>0.982438</x:v>
      </x:c>
      <x:c r="J209" t="n">
        <x:v>993639.51</x:v>
      </x:c>
    </x:row>
    <x:row r="210">
      <x:c r="A210" t="n">
        <x:v>2024</x:v>
      </x:c>
      <x:c r="B210" t="str">
        <x:v>May</x:v>
      </x:c>
      <x:c r="C210" t="str">
        <x:v>Day</x:v>
      </x:c>
      <x:c r="D210" t="str">
        <x:v>Heavy Goods</x:v>
      </x:c>
      <x:c r="E210" t="n">
        <x:v>546</x:v>
      </x:c>
      <x:c r="F210" t="n">
        <x:v>546</x:v>
      </x:c>
      <x:c r="G210" t="n">
        <x:v>500033.09</x:v>
      </x:c>
      <x:c r="H210" t="n">
        <x:v>0.999181</x:v>
      </x:c>
      <x:c r="I210" t="n">
        <x:v>0.973323</x:v>
      </x:c>
      <x:c r="J210" t="n">
        <x:v>486314.08</x:v>
      </x:c>
    </x:row>
    <x:row r="211">
      <x:c r="A211" t="n">
        <x:v>2024</x:v>
      </x:c>
      <x:c r="B211" t="str">
        <x:v>May</x:v>
      </x:c>
      <x:c r="C211" t="str">
        <x:v>Day</x:v>
      </x:c>
      <x:c r="D211" t="str">
        <x:v>Other</x:v>
      </x:c>
      <x:c r="E211" t="n">
        <x:v>546</x:v>
      </x:c>
      <x:c r="F211" t="n">
        <x:v>36</x:v>
      </x:c>
      <x:c r="G211" t="n">
        <x:v>20285.72</x:v>
      </x:c>
      <x:c r="H211" t="n">
        <x:v>1.054227</x:v>
      </x:c>
      <x:c r="I211" t="n">
        <x:v>1</x:v>
      </x:c>
      <x:c r="J211" t="n">
        <x:v>21385.75</x:v>
      </x:c>
    </x:row>
    <x:row r="212">
      <x:c r="A212" t="n">
        <x:v>2024</x:v>
      </x:c>
      <x:c r="B212" t="str">
        <x:v>May</x:v>
      </x:c>
      <x:c r="C212" t="str">
        <x:v>Week</x:v>
      </x:c>
      <x:c r="D212" t="str">
        <x:v>Motorcycles</x:v>
      </x:c>
      <x:c r="E212" t="n">
        <x:v>546</x:v>
      </x:c>
      <x:c r="F212" t="n">
        <x:v>546</x:v>
      </x:c>
      <x:c r="G212" t="n">
        <x:v>8823394.52</x:v>
      </x:c>
      <x:c r="H212" t="n">
        <x:v>1.000003</x:v>
      </x:c>
      <x:c r="I212" t="n">
        <x:v>0.984658</x:v>
      </x:c>
      <x:c r="J212" t="n">
        <x:v>60818509.24</x:v>
      </x:c>
    </x:row>
    <x:row r="213">
      <x:c r="A213" t="n">
        <x:v>2024</x:v>
      </x:c>
      <x:c r="B213" t="str">
        <x:v>May</x:v>
      </x:c>
      <x:c r="C213" t="str">
        <x:v>Week</x:v>
      </x:c>
      <x:c r="D213" t="str">
        <x:v>Light Vehicles</x:v>
      </x:c>
      <x:c r="E213" t="n">
        <x:v>546</x:v>
      </x:c>
      <x:c r="F213" t="n">
        <x:v>546</x:v>
      </x:c>
      <x:c r="G213" t="n">
        <x:v>3709230.11</x:v>
      </x:c>
      <x:c r="H213" t="n">
        <x:v>0.999608</x:v>
      </x:c>
      <x:c r="I213" t="n">
        <x:v>0.988701</x:v>
      </x:c>
      <x:c r="J213" t="n">
        <x:v>25661748.42</x:v>
      </x:c>
    </x:row>
    <x:row r="214">
      <x:c r="A214" t="n">
        <x:v>2024</x:v>
      </x:c>
      <x:c r="B214" t="str">
        <x:v>May</x:v>
      </x:c>
      <x:c r="C214" t="str">
        <x:v>Week</x:v>
      </x:c>
      <x:c r="D214" t="str">
        <x:v>Buses</x:v>
      </x:c>
      <x:c r="E214" t="n">
        <x:v>546</x:v>
      </x:c>
      <x:c r="F214" t="n">
        <x:v>546</x:v>
      </x:c>
      <x:c r="G214" t="n">
        <x:v>1011756.15</x:v>
      </x:c>
      <x:c r="H214" t="n">
        <x:v>0.999616</x:v>
      </x:c>
      <x:c r="I214" t="n">
        <x:v>0.982438</x:v>
      </x:c>
      <x:c r="J214" t="n">
        <x:v>6955476.57</x:v>
      </x:c>
    </x:row>
    <x:row r="215">
      <x:c r="A215" t="n">
        <x:v>2024</x:v>
      </x:c>
      <x:c r="B215" t="str">
        <x:v>May</x:v>
      </x:c>
      <x:c r="C215" t="str">
        <x:v>Week</x:v>
      </x:c>
      <x:c r="D215" t="str">
        <x:v>Heavy Goods</x:v>
      </x:c>
      <x:c r="E215" t="n">
        <x:v>546</x:v>
      </x:c>
      <x:c r="F215" t="n">
        <x:v>546</x:v>
      </x:c>
      <x:c r="G215" t="n">
        <x:v>500033.09</x:v>
      </x:c>
      <x:c r="H215" t="n">
        <x:v>0.999181</x:v>
      </x:c>
      <x:c r="I215" t="n">
        <x:v>0.973323</x:v>
      </x:c>
      <x:c r="J215" t="n">
        <x:v>3404198.57</x:v>
      </x:c>
    </x:row>
    <x:row r="216">
      <x:c r="A216" t="n">
        <x:v>2024</x:v>
      </x:c>
      <x:c r="B216" t="str">
        <x:v>May</x:v>
      </x:c>
      <x:c r="C216" t="str">
        <x:v>Week</x:v>
      </x:c>
      <x:c r="D216" t="str">
        <x:v>Other</x:v>
      </x:c>
      <x:c r="E216" t="n">
        <x:v>546</x:v>
      </x:c>
      <x:c r="F216" t="n">
        <x:v>36</x:v>
      </x:c>
      <x:c r="G216" t="n">
        <x:v>20285.72</x:v>
      </x:c>
      <x:c r="H216" t="n">
        <x:v>1.054227</x:v>
      </x:c>
      <x:c r="I216" t="n">
        <x:v>1</x:v>
      </x:c>
      <x:c r="J216" t="n">
        <x:v>149700.22</x:v>
      </x:c>
    </x:row>
    <x:row r="217">
      <x:c r="A217" t="n">
        <x:v>2024</x:v>
      </x:c>
      <x:c r="B217" t="str">
        <x:v>May</x:v>
      </x:c>
      <x:c r="C217" t="str">
        <x:v>Month</x:v>
      </x:c>
      <x:c r="D217" t="str">
        <x:v>Motorcycles</x:v>
      </x:c>
      <x:c r="E217" t="n">
        <x:v>546</x:v>
      </x:c>
      <x:c r="F217" t="n">
        <x:v>546</x:v>
      </x:c>
      <x:c r="G217" t="n">
        <x:v>8823394.52</x:v>
      </x:c>
      <x:c r="H217" t="n">
        <x:v>1.000003</x:v>
      </x:c>
      <x:c r="I217" t="n">
        <x:v>0.984658</x:v>
      </x:c>
      <x:c r="J217" t="n">
        <x:v>269339112.36</x:v>
      </x:c>
    </x:row>
    <x:row r="218">
      <x:c r="A218" t="n">
        <x:v>2024</x:v>
      </x:c>
      <x:c r="B218" t="str">
        <x:v>May</x:v>
      </x:c>
      <x:c r="C218" t="str">
        <x:v>Month</x:v>
      </x:c>
      <x:c r="D218" t="str">
        <x:v>Light Vehicles</x:v>
      </x:c>
      <x:c r="E218" t="n">
        <x:v>546</x:v>
      </x:c>
      <x:c r="F218" t="n">
        <x:v>546</x:v>
      </x:c>
      <x:c r="G218" t="n">
        <x:v>3709230.11</x:v>
      </x:c>
      <x:c r="H218" t="n">
        <x:v>0.999608</x:v>
      </x:c>
      <x:c r="I218" t="n">
        <x:v>0.988701</x:v>
      </x:c>
      <x:c r="J218" t="n">
        <x:v>113644885.85</x:v>
      </x:c>
    </x:row>
    <x:row r="219">
      <x:c r="A219" t="n">
        <x:v>2024</x:v>
      </x:c>
      <x:c r="B219" t="str">
        <x:v>May</x:v>
      </x:c>
      <x:c r="C219" t="str">
        <x:v>Month</x:v>
      </x:c>
      <x:c r="D219" t="str">
        <x:v>Buses</x:v>
      </x:c>
      <x:c r="E219" t="n">
        <x:v>546</x:v>
      </x:c>
      <x:c r="F219" t="n">
        <x:v>546</x:v>
      </x:c>
      <x:c r="G219" t="n">
        <x:v>1011756.15</x:v>
      </x:c>
      <x:c r="H219" t="n">
        <x:v>0.999616</x:v>
      </x:c>
      <x:c r="I219" t="n">
        <x:v>0.982438</x:v>
      </x:c>
      <x:c r="J219" t="n">
        <x:v>30802824.82</x:v>
      </x:c>
    </x:row>
    <x:row r="220">
      <x:c r="A220" t="n">
        <x:v>2024</x:v>
      </x:c>
      <x:c r="B220" t="str">
        <x:v>May</x:v>
      </x:c>
      <x:c r="C220" t="str">
        <x:v>Month</x:v>
      </x:c>
      <x:c r="D220" t="str">
        <x:v>Heavy Goods</x:v>
      </x:c>
      <x:c r="E220" t="n">
        <x:v>546</x:v>
      </x:c>
      <x:c r="F220" t="n">
        <x:v>546</x:v>
      </x:c>
      <x:c r="G220" t="n">
        <x:v>500033.09</x:v>
      </x:c>
      <x:c r="H220" t="n">
        <x:v>0.999181</x:v>
      </x:c>
      <x:c r="I220" t="n">
        <x:v>0.973323</x:v>
      </x:c>
      <x:c r="J220" t="n">
        <x:v>15075736.52</x:v>
      </x:c>
    </x:row>
    <x:row r="221">
      <x:c r="A221" t="n">
        <x:v>2024</x:v>
      </x:c>
      <x:c r="B221" t="str">
        <x:v>May</x:v>
      </x:c>
      <x:c r="C221" t="str">
        <x:v>Month</x:v>
      </x:c>
      <x:c r="D221" t="str">
        <x:v>Other</x:v>
      </x:c>
      <x:c r="E221" t="n">
        <x:v>546</x:v>
      </x:c>
      <x:c r="F221" t="n">
        <x:v>36</x:v>
      </x:c>
      <x:c r="G221" t="n">
        <x:v>20285.72</x:v>
      </x:c>
      <x:c r="H221" t="n">
        <x:v>1.054227</x:v>
      </x:c>
      <x:c r="I221" t="n">
        <x:v>1</x:v>
      </x:c>
      <x:c r="J221" t="n">
        <x:v>662958.11</x:v>
      </x:c>
    </x:row>
    <x:row r="222">
      <x:c r="A222" t="n">
        <x:v>2024</x:v>
      </x:c>
      <x:c r="B222" t="str">
        <x:v>May</x:v>
      </x:c>
      <x:c r="C222" t="str">
        <x:v>Year</x:v>
      </x:c>
      <x:c r="D222" t="str">
        <x:v>Motorcycles</x:v>
      </x:c>
      <x:c r="E222" t="n">
        <x:v>546</x:v>
      </x:c>
      <x:c r="F222" t="n">
        <x:v>546</x:v>
      </x:c>
      <x:c r="G222" t="n">
        <x:v>8823394.52</x:v>
      </x:c>
      <x:c r="H222" t="n">
        <x:v>1.000003</x:v>
      </x:c>
      <x:c r="I222" t="n">
        <x:v>0.984658</x:v>
      </x:c>
      <x:c r="J222" t="n">
        <x:v>3179939197.52</x:v>
      </x:c>
    </x:row>
    <x:row r="223">
      <x:c r="A223" t="n">
        <x:v>2024</x:v>
      </x:c>
      <x:c r="B223" t="str">
        <x:v>May</x:v>
      </x:c>
      <x:c r="C223" t="str">
        <x:v>Year</x:v>
      </x:c>
      <x:c r="D223" t="str">
        <x:v>Light Vehicles</x:v>
      </x:c>
      <x:c r="E223" t="n">
        <x:v>546</x:v>
      </x:c>
      <x:c r="F223" t="n">
        <x:v>546</x:v>
      </x:c>
      <x:c r="G223" t="n">
        <x:v>3709230.11</x:v>
      </x:c>
      <x:c r="H223" t="n">
        <x:v>0.999608</x:v>
      </x:c>
      <x:c r="I223" t="n">
        <x:v>0.988701</x:v>
      </x:c>
      <x:c r="J223" t="n">
        <x:v>1341742845.82</x:v>
      </x:c>
    </x:row>
    <x:row r="224">
      <x:c r="A224" t="n">
        <x:v>2024</x:v>
      </x:c>
      <x:c r="B224" t="str">
        <x:v>May</x:v>
      </x:c>
      <x:c r="C224" t="str">
        <x:v>Year</x:v>
      </x:c>
      <x:c r="D224" t="str">
        <x:v>Buses</x:v>
      </x:c>
      <x:c r="E224" t="n">
        <x:v>546</x:v>
      </x:c>
      <x:c r="F224" t="n">
        <x:v>546</x:v>
      </x:c>
      <x:c r="G224" t="n">
        <x:v>1011756.15</x:v>
      </x:c>
      <x:c r="H224" t="n">
        <x:v>0.999616</x:v>
      </x:c>
      <x:c r="I224" t="n">
        <x:v>0.982438</x:v>
      </x:c>
      <x:c r="J224" t="n">
        <x:v>363672060.82</x:v>
      </x:c>
    </x:row>
    <x:row r="225">
      <x:c r="A225" t="n">
        <x:v>2024</x:v>
      </x:c>
      <x:c r="B225" t="str">
        <x:v>May</x:v>
      </x:c>
      <x:c r="C225" t="str">
        <x:v>Year</x:v>
      </x:c>
      <x:c r="D225" t="str">
        <x:v>Heavy Goods</x:v>
      </x:c>
      <x:c r="E225" t="n">
        <x:v>546</x:v>
      </x:c>
      <x:c r="F225" t="n">
        <x:v>546</x:v>
      </x:c>
      <x:c r="G225" t="n">
        <x:v>500033.09</x:v>
      </x:c>
      <x:c r="H225" t="n">
        <x:v>0.999181</x:v>
      </x:c>
      <x:c r="I225" t="n">
        <x:v>0.973323</x:v>
      </x:c>
      <x:c r="J225" t="n">
        <x:v>177990953.79</x:v>
      </x:c>
    </x:row>
    <x:row r="226">
      <x:c r="A226" t="n">
        <x:v>2024</x:v>
      </x:c>
      <x:c r="B226" t="str">
        <x:v>May</x:v>
      </x:c>
      <x:c r="C226" t="str">
        <x:v>Year</x:v>
      </x:c>
      <x:c r="D226" t="str">
        <x:v>Other</x:v>
      </x:c>
      <x:c r="E226" t="n">
        <x:v>546</x:v>
      </x:c>
      <x:c r="F226" t="n">
        <x:v>36</x:v>
      </x:c>
      <x:c r="G226" t="n">
        <x:v>20285.72</x:v>
      </x:c>
      <x:c r="H226" t="n">
        <x:v>1.054227</x:v>
      </x:c>
      <x:c r="I226" t="n">
        <x:v>1</x:v>
      </x:c>
      <x:c r="J226" t="n">
        <x:v>7827182.79</x:v>
      </x:c>
    </x:row>
    <x:row r="227">
      <x:c r="A227" t="n">
        <x:v>2025</x:v>
      </x:c>
      <x:c r="B227" t="str">
        <x:v>May</x:v>
      </x:c>
      <x:c r="C227" t="str">
        <x:v>Hour</x:v>
      </x:c>
      <x:c r="D227" t="str">
        <x:v>Motorcycles</x:v>
      </x:c>
      <x:c r="E227" t="n">
        <x:v>546</x:v>
      </x:c>
      <x:c r="F227" t="n">
        <x:v>546</x:v>
      </x:c>
      <x:c r="G227" t="n">
        <x:v>8823394.52</x:v>
      </x:c>
      <x:c r="H227" t="n">
        <x:v>1.002561</x:v>
      </x:c>
      <x:c r="I227" t="n">
        <x:v>0.984658</x:v>
      </x:c>
      <x:c r="J227" t="n">
        <x:v>362949.03</x:v>
      </x:c>
    </x:row>
    <x:row r="228">
      <x:c r="A228" t="n">
        <x:v>2025</x:v>
      </x:c>
      <x:c r="B228" t="str">
        <x:v>May</x:v>
      </x:c>
      <x:c r="C228" t="str">
        <x:v>Hour</x:v>
      </x:c>
      <x:c r="D228" t="str">
        <x:v>Light Vehicles</x:v>
      </x:c>
      <x:c r="E228" t="n">
        <x:v>546</x:v>
      </x:c>
      <x:c r="F228" t="n">
        <x:v>546</x:v>
      </x:c>
      <x:c r="G228" t="n">
        <x:v>3709230.11</x:v>
      </x:c>
      <x:c r="H228" t="n">
        <x:v>1.001635</x:v>
      </x:c>
      <x:c r="I228" t="n">
        <x:v>0.988701</x:v>
      </x:c>
      <x:c r="J228" t="n">
        <x:v>153059.74</x:v>
      </x:c>
    </x:row>
    <x:row r="229">
      <x:c r="A229" t="n">
        <x:v>2025</x:v>
      </x:c>
      <x:c r="B229" t="str">
        <x:v>May</x:v>
      </x:c>
      <x:c r="C229" t="str">
        <x:v>Hour</x:v>
      </x:c>
      <x:c r="D229" t="str">
        <x:v>Buses</x:v>
      </x:c>
      <x:c r="E229" t="n">
        <x:v>546</x:v>
      </x:c>
      <x:c r="F229" t="n">
        <x:v>546</x:v>
      </x:c>
      <x:c r="G229" t="n">
        <x:v>1011756.15</x:v>
      </x:c>
      <x:c r="H229" t="n">
        <x:v>1.001929</x:v>
      </x:c>
      <x:c r="I229" t="n">
        <x:v>0.982438</x:v>
      </x:c>
      <x:c r="J229" t="n">
        <x:v>41498.31</x:v>
      </x:c>
    </x:row>
    <x:row r="230">
      <x:c r="A230" t="n">
        <x:v>2025</x:v>
      </x:c>
      <x:c r="B230" t="str">
        <x:v>May</x:v>
      </x:c>
      <x:c r="C230" t="str">
        <x:v>Hour</x:v>
      </x:c>
      <x:c r="D230" t="str">
        <x:v>Heavy Goods</x:v>
      </x:c>
      <x:c r="E230" t="n">
        <x:v>546</x:v>
      </x:c>
      <x:c r="F230" t="n">
        <x:v>546</x:v>
      </x:c>
      <x:c r="G230" t="n">
        <x:v>500033.09</x:v>
      </x:c>
      <x:c r="H230" t="n">
        <x:v>1.001331</x:v>
      </x:c>
      <x:c r="I230" t="n">
        <x:v>0.973323</x:v>
      </x:c>
      <x:c r="J230" t="n">
        <x:v>20307.25</x:v>
      </x:c>
    </x:row>
    <x:row r="231">
      <x:c r="A231" t="n">
        <x:v>2025</x:v>
      </x:c>
      <x:c r="B231" t="str">
        <x:v>May</x:v>
      </x:c>
      <x:c r="C231" t="str">
        <x:v>Hour</x:v>
      </x:c>
      <x:c r="D231" t="str">
        <x:v>Other</x:v>
      </x:c>
      <x:c r="E231" t="n">
        <x:v>546</x:v>
      </x:c>
      <x:c r="F231" t="n">
        <x:v>36</x:v>
      </x:c>
      <x:c r="G231" t="n">
        <x:v>20285.72</x:v>
      </x:c>
      <x:c r="H231" t="n">
        <x:v>1.113498</x:v>
      </x:c>
      <x:c r="I231" t="n">
        <x:v>1</x:v>
      </x:c>
      <x:c r="J231" t="n">
        <x:v>941.17</x:v>
      </x:c>
    </x:row>
    <x:row r="232">
      <x:c r="A232" t="n">
        <x:v>2025</x:v>
      </x:c>
      <x:c r="B232" t="str">
        <x:v>May</x:v>
      </x:c>
      <x:c r="C232" t="str">
        <x:v>Day</x:v>
      </x:c>
      <x:c r="D232" t="str">
        <x:v>Motorcycles</x:v>
      </x:c>
      <x:c r="E232" t="n">
        <x:v>546</x:v>
      </x:c>
      <x:c r="F232" t="n">
        <x:v>546</x:v>
      </x:c>
      <x:c r="G232" t="n">
        <x:v>8823394.52</x:v>
      </x:c>
      <x:c r="H232" t="n">
        <x:v>1.002561</x:v>
      </x:c>
      <x:c r="I232" t="n">
        <x:v>0.984658</x:v>
      </x:c>
      <x:c r="J232" t="n">
        <x:v>8710776.68</x:v>
      </x:c>
    </x:row>
    <x:row r="233">
      <x:c r="A233" t="n">
        <x:v>2025</x:v>
      </x:c>
      <x:c r="B233" t="str">
        <x:v>May</x:v>
      </x:c>
      <x:c r="C233" t="str">
        <x:v>Day</x:v>
      </x:c>
      <x:c r="D233" t="str">
        <x:v>Light Vehicles</x:v>
      </x:c>
      <x:c r="E233" t="n">
        <x:v>546</x:v>
      </x:c>
      <x:c r="F233" t="n">
        <x:v>546</x:v>
      </x:c>
      <x:c r="G233" t="n">
        <x:v>3709230.11</x:v>
      </x:c>
      <x:c r="H233" t="n">
        <x:v>1.001635</x:v>
      </x:c>
      <x:c r="I233" t="n">
        <x:v>0.988701</x:v>
      </x:c>
      <x:c r="J233" t="n">
        <x:v>3673433.83</x:v>
      </x:c>
    </x:row>
    <x:row r="234">
      <x:c r="A234" t="n">
        <x:v>2025</x:v>
      </x:c>
      <x:c r="B234" t="str">
        <x:v>May</x:v>
      </x:c>
      <x:c r="C234" t="str">
        <x:v>Day</x:v>
      </x:c>
      <x:c r="D234" t="str">
        <x:v>Buses</x:v>
      </x:c>
      <x:c r="E234" t="n">
        <x:v>546</x:v>
      </x:c>
      <x:c r="F234" t="n">
        <x:v>546</x:v>
      </x:c>
      <x:c r="G234" t="n">
        <x:v>1011756.15</x:v>
      </x:c>
      <x:c r="H234" t="n">
        <x:v>1.001929</x:v>
      </x:c>
      <x:c r="I234" t="n">
        <x:v>0.982438</x:v>
      </x:c>
      <x:c r="J234" t="n">
        <x:v>995959.41</x:v>
      </x:c>
    </x:row>
    <x:row r="235">
      <x:c r="A235" t="n">
        <x:v>2025</x:v>
      </x:c>
      <x:c r="B235" t="str">
        <x:v>May</x:v>
      </x:c>
      <x:c r="C235" t="str">
        <x:v>Day</x:v>
      </x:c>
      <x:c r="D235" t="str">
        <x:v>Heavy Goods</x:v>
      </x:c>
      <x:c r="E235" t="n">
        <x:v>546</x:v>
      </x:c>
      <x:c r="F235" t="n">
        <x:v>546</x:v>
      </x:c>
      <x:c r="G235" t="n">
        <x:v>500033.09</x:v>
      </x:c>
      <x:c r="H235" t="n">
        <x:v>1.001331</x:v>
      </x:c>
      <x:c r="I235" t="n">
        <x:v>0.973323</x:v>
      </x:c>
      <x:c r="J235" t="n">
        <x:v>487374</x:v>
      </x:c>
    </x:row>
    <x:row r="236">
      <x:c r="A236" t="n">
        <x:v>2025</x:v>
      </x:c>
      <x:c r="B236" t="str">
        <x:v>May</x:v>
      </x:c>
      <x:c r="C236" t="str">
        <x:v>Day</x:v>
      </x:c>
      <x:c r="D236" t="str">
        <x:v>Other</x:v>
      </x:c>
      <x:c r="E236" t="n">
        <x:v>546</x:v>
      </x:c>
      <x:c r="F236" t="n">
        <x:v>36</x:v>
      </x:c>
      <x:c r="G236" t="n">
        <x:v>20285.72</x:v>
      </x:c>
      <x:c r="H236" t="n">
        <x:v>1.113498</x:v>
      </x:c>
      <x:c r="I236" t="n">
        <x:v>1</x:v>
      </x:c>
      <x:c r="J236" t="n">
        <x:v>22588.12</x:v>
      </x:c>
    </x:row>
    <x:row r="237">
      <x:c r="A237" t="n">
        <x:v>2025</x:v>
      </x:c>
      <x:c r="B237" t="str">
        <x:v>May</x:v>
      </x:c>
      <x:c r="C237" t="str">
        <x:v>Week</x:v>
      </x:c>
      <x:c r="D237" t="str">
        <x:v>Motorcycles</x:v>
      </x:c>
      <x:c r="E237" t="n">
        <x:v>546</x:v>
      </x:c>
      <x:c r="F237" t="n">
        <x:v>546</x:v>
      </x:c>
      <x:c r="G237" t="n">
        <x:v>8823394.52</x:v>
      </x:c>
      <x:c r="H237" t="n">
        <x:v>1.002561</x:v>
      </x:c>
      <x:c r="I237" t="n">
        <x:v>0.984658</x:v>
      </x:c>
      <x:c r="J237" t="n">
        <x:v>60975436.78</x:v>
      </x:c>
    </x:row>
    <x:row r="238">
      <x:c r="A238" t="n">
        <x:v>2025</x:v>
      </x:c>
      <x:c r="B238" t="str">
        <x:v>May</x:v>
      </x:c>
      <x:c r="C238" t="str">
        <x:v>Week</x:v>
      </x:c>
      <x:c r="D238" t="str">
        <x:v>Light Vehicles</x:v>
      </x:c>
      <x:c r="E238" t="n">
        <x:v>546</x:v>
      </x:c>
      <x:c r="F238" t="n">
        <x:v>546</x:v>
      </x:c>
      <x:c r="G238" t="n">
        <x:v>3709230.11</x:v>
      </x:c>
      <x:c r="H238" t="n">
        <x:v>1.001635</x:v>
      </x:c>
      <x:c r="I238" t="n">
        <x:v>0.988701</x:v>
      </x:c>
      <x:c r="J238" t="n">
        <x:v>25714036.84</x:v>
      </x:c>
    </x:row>
    <x:row r="239">
      <x:c r="A239" t="n">
        <x:v>2025</x:v>
      </x:c>
      <x:c r="B239" t="str">
        <x:v>May</x:v>
      </x:c>
      <x:c r="C239" t="str">
        <x:v>Week</x:v>
      </x:c>
      <x:c r="D239" t="str">
        <x:v>Buses</x:v>
      </x:c>
      <x:c r="E239" t="n">
        <x:v>546</x:v>
      </x:c>
      <x:c r="F239" t="n">
        <x:v>546</x:v>
      </x:c>
      <x:c r="G239" t="n">
        <x:v>1011756.15</x:v>
      </x:c>
      <x:c r="H239" t="n">
        <x:v>1.001929</x:v>
      </x:c>
      <x:c r="I239" t="n">
        <x:v>0.982438</x:v>
      </x:c>
      <x:c r="J239" t="n">
        <x:v>6971715.87</x:v>
      </x:c>
    </x:row>
    <x:row r="240">
      <x:c r="A240" t="n">
        <x:v>2025</x:v>
      </x:c>
      <x:c r="B240" t="str">
        <x:v>May</x:v>
      </x:c>
      <x:c r="C240" t="str">
        <x:v>Week</x:v>
      </x:c>
      <x:c r="D240" t="str">
        <x:v>Heavy Goods</x:v>
      </x:c>
      <x:c r="E240" t="n">
        <x:v>546</x:v>
      </x:c>
      <x:c r="F240" t="n">
        <x:v>546</x:v>
      </x:c>
      <x:c r="G240" t="n">
        <x:v>500033.09</x:v>
      </x:c>
      <x:c r="H240" t="n">
        <x:v>1.001331</x:v>
      </x:c>
      <x:c r="I240" t="n">
        <x:v>0.973323</x:v>
      </x:c>
      <x:c r="J240" t="n">
        <x:v>3411617.99</x:v>
      </x:c>
    </x:row>
    <x:row r="241">
      <x:c r="A241" t="n">
        <x:v>2025</x:v>
      </x:c>
      <x:c r="B241" t="str">
        <x:v>May</x:v>
      </x:c>
      <x:c r="C241" t="str">
        <x:v>Week</x:v>
      </x:c>
      <x:c r="D241" t="str">
        <x:v>Other</x:v>
      </x:c>
      <x:c r="E241" t="n">
        <x:v>546</x:v>
      </x:c>
      <x:c r="F241" t="n">
        <x:v>36</x:v>
      </x:c>
      <x:c r="G241" t="n">
        <x:v>20285.72</x:v>
      </x:c>
      <x:c r="H241" t="n">
        <x:v>1.113498</x:v>
      </x:c>
      <x:c r="I241" t="n">
        <x:v>1</x:v>
      </x:c>
      <x:c r="J241" t="n">
        <x:v>158116.81</x:v>
      </x:c>
    </x:row>
    <x:row r="242">
      <x:c r="A242" t="n">
        <x:v>2025</x:v>
      </x:c>
      <x:c r="B242" t="str">
        <x:v>May</x:v>
      </x:c>
      <x:c r="C242" t="str">
        <x:v>Month</x:v>
      </x:c>
      <x:c r="D242" t="str">
        <x:v>Motorcycles</x:v>
      </x:c>
      <x:c r="E242" t="n">
        <x:v>546</x:v>
      </x:c>
      <x:c r="F242" t="n">
        <x:v>546</x:v>
      </x:c>
      <x:c r="G242" t="n">
        <x:v>8823394.52</x:v>
      </x:c>
      <x:c r="H242" t="n">
        <x:v>1.002561</x:v>
      </x:c>
      <x:c r="I242" t="n">
        <x:v>0.984658</x:v>
      </x:c>
      <x:c r="J242" t="n">
        <x:v>270034077.18</x:v>
      </x:c>
    </x:row>
    <x:row r="243">
      <x:c r="A243" t="n">
        <x:v>2025</x:v>
      </x:c>
      <x:c r="B243" t="str">
        <x:v>May</x:v>
      </x:c>
      <x:c r="C243" t="str">
        <x:v>Month</x:v>
      </x:c>
      <x:c r="D243" t="str">
        <x:v>Light Vehicles</x:v>
      </x:c>
      <x:c r="E243" t="n">
        <x:v>546</x:v>
      </x:c>
      <x:c r="F243" t="n">
        <x:v>546</x:v>
      </x:c>
      <x:c r="G243" t="n">
        <x:v>3709230.11</x:v>
      </x:c>
      <x:c r="H243" t="n">
        <x:v>1.001635</x:v>
      </x:c>
      <x:c r="I243" t="n">
        <x:v>0.988701</x:v>
      </x:c>
      <x:c r="J243" t="n">
        <x:v>113876448.86</x:v>
      </x:c>
    </x:row>
    <x:row r="244">
      <x:c r="A244" t="n">
        <x:v>2025</x:v>
      </x:c>
      <x:c r="B244" t="str">
        <x:v>May</x:v>
      </x:c>
      <x:c r="C244" t="str">
        <x:v>Month</x:v>
      </x:c>
      <x:c r="D244" t="str">
        <x:v>Buses</x:v>
      </x:c>
      <x:c r="E244" t="n">
        <x:v>546</x:v>
      </x:c>
      <x:c r="F244" t="n">
        <x:v>546</x:v>
      </x:c>
      <x:c r="G244" t="n">
        <x:v>1011756.15</x:v>
      </x:c>
      <x:c r="H244" t="n">
        <x:v>1.001929</x:v>
      </x:c>
      <x:c r="I244" t="n">
        <x:v>0.982438</x:v>
      </x:c>
      <x:c r="J244" t="n">
        <x:v>30874741.71</x:v>
      </x:c>
    </x:row>
    <x:row r="245">
      <x:c r="A245" t="n">
        <x:v>2025</x:v>
      </x:c>
      <x:c r="B245" t="str">
        <x:v>May</x:v>
      </x:c>
      <x:c r="C245" t="str">
        <x:v>Month</x:v>
      </x:c>
      <x:c r="D245" t="str">
        <x:v>Heavy Goods</x:v>
      </x:c>
      <x:c r="E245" t="n">
        <x:v>546</x:v>
      </x:c>
      <x:c r="F245" t="n">
        <x:v>546</x:v>
      </x:c>
      <x:c r="G245" t="n">
        <x:v>500033.09</x:v>
      </x:c>
      <x:c r="H245" t="n">
        <x:v>1.001331</x:v>
      </x:c>
      <x:c r="I245" t="n">
        <x:v>0.973323</x:v>
      </x:c>
      <x:c r="J245" t="n">
        <x:v>15108593.95</x:v>
      </x:c>
    </x:row>
    <x:row r="246">
      <x:c r="A246" t="n">
        <x:v>2025</x:v>
      </x:c>
      <x:c r="B246" t="str">
        <x:v>May</x:v>
      </x:c>
      <x:c r="C246" t="str">
        <x:v>Month</x:v>
      </x:c>
      <x:c r="D246" t="str">
        <x:v>Other</x:v>
      </x:c>
      <x:c r="E246" t="n">
        <x:v>546</x:v>
      </x:c>
      <x:c r="F246" t="n">
        <x:v>36</x:v>
      </x:c>
      <x:c r="G246" t="n">
        <x:v>20285.72</x:v>
      </x:c>
      <x:c r="H246" t="n">
        <x:v>1.113498</x:v>
      </x:c>
      <x:c r="I246" t="n">
        <x:v>1</x:v>
      </x:c>
      <x:c r="J246" t="n">
        <x:v>700231.59</x:v>
      </x:c>
    </x:row>
    <x:row r="247">
      <x:c r="A247" t="n">
        <x:v>2025</x:v>
      </x:c>
      <x:c r="B247" t="str">
        <x:v>May</x:v>
      </x:c>
      <x:c r="C247" t="str">
        <x:v>Year</x:v>
      </x:c>
      <x:c r="D247" t="str">
        <x:v>Motorcycles</x:v>
      </x:c>
      <x:c r="E247" t="n">
        <x:v>546</x:v>
      </x:c>
      <x:c r="F247" t="n">
        <x:v>546</x:v>
      </x:c>
      <x:c r="G247" t="n">
        <x:v>8823394.52</x:v>
      </x:c>
      <x:c r="H247" t="n">
        <x:v>1.002561</x:v>
      </x:c>
      <x:c r="I247" t="n">
        <x:v>0.984658</x:v>
      </x:c>
      <x:c r="J247" t="n">
        <x:v>3179433489.41</x:v>
      </x:c>
    </x:row>
    <x:row r="248">
      <x:c r="A248" t="n">
        <x:v>2025</x:v>
      </x:c>
      <x:c r="B248" t="str">
        <x:v>May</x:v>
      </x:c>
      <x:c r="C248" t="str">
        <x:v>Year</x:v>
      </x:c>
      <x:c r="D248" t="str">
        <x:v>Light Vehicles</x:v>
      </x:c>
      <x:c r="E248" t="n">
        <x:v>546</x:v>
      </x:c>
      <x:c r="F248" t="n">
        <x:v>546</x:v>
      </x:c>
      <x:c r="G248" t="n">
        <x:v>3709230.11</x:v>
      </x:c>
      <x:c r="H248" t="n">
        <x:v>1.001635</x:v>
      </x:c>
      <x:c r="I248" t="n">
        <x:v>0.988701</x:v>
      </x:c>
      <x:c r="J248" t="n">
        <x:v>1340803349.44</x:v>
      </x:c>
    </x:row>
    <x:row r="249">
      <x:c r="A249" t="n">
        <x:v>2025</x:v>
      </x:c>
      <x:c r="B249" t="str">
        <x:v>May</x:v>
      </x:c>
      <x:c r="C249" t="str">
        <x:v>Year</x:v>
      </x:c>
      <x:c r="D249" t="str">
        <x:v>Buses</x:v>
      </x:c>
      <x:c r="E249" t="n">
        <x:v>546</x:v>
      </x:c>
      <x:c r="F249" t="n">
        <x:v>546</x:v>
      </x:c>
      <x:c r="G249" t="n">
        <x:v>1011756.15</x:v>
      </x:c>
      <x:c r="H249" t="n">
        <x:v>1.001929</x:v>
      </x:c>
      <x:c r="I249" t="n">
        <x:v>0.982438</x:v>
      </x:c>
      <x:c r="J249" t="n">
        <x:v>363525184.62</x:v>
      </x:c>
    </x:row>
    <x:row r="250">
      <x:c r="A250" t="n">
        <x:v>2025</x:v>
      </x:c>
      <x:c r="B250" t="str">
        <x:v>May</x:v>
      </x:c>
      <x:c r="C250" t="str">
        <x:v>Year</x:v>
      </x:c>
      <x:c r="D250" t="str">
        <x:v>Heavy Goods</x:v>
      </x:c>
      <x:c r="E250" t="n">
        <x:v>546</x:v>
      </x:c>
      <x:c r="F250" t="n">
        <x:v>546</x:v>
      </x:c>
      <x:c r="G250" t="n">
        <x:v>500033.09</x:v>
      </x:c>
      <x:c r="H250" t="n">
        <x:v>1.001331</x:v>
      </x:c>
      <x:c r="I250" t="n">
        <x:v>0.973323</x:v>
      </x:c>
      <x:c r="J250" t="n">
        <x:v>177891509.47</x:v>
      </x:c>
    </x:row>
    <x:row r="251">
      <x:c r="A251" t="n">
        <x:v>2025</x:v>
      </x:c>
      <x:c r="B251" t="str">
        <x:v>May</x:v>
      </x:c>
      <x:c r="C251" t="str">
        <x:v>Year</x:v>
      </x:c>
      <x:c r="D251" t="str">
        <x:v>Other</x:v>
      </x:c>
      <x:c r="E251" t="n">
        <x:v>546</x:v>
      </x:c>
      <x:c r="F251" t="n">
        <x:v>36</x:v>
      </x:c>
      <x:c r="G251" t="n">
        <x:v>20285.72</x:v>
      </x:c>
      <x:c r="H251" t="n">
        <x:v>1.113498</x:v>
      </x:c>
      <x:c r="I251" t="n">
        <x:v>1</x:v>
      </x:c>
      <x:c r="J251" t="n">
        <x:v>8244662.32</x:v>
      </x:c>
    </x:row>
    <x:row r="252">
      <x:c r="A252" t="n">
        <x:v>2026</x:v>
      </x:c>
      <x:c r="B252" t="str">
        <x:v>May</x:v>
      </x:c>
      <x:c r="C252" t="str">
        <x:v>Hour</x:v>
      </x:c>
      <x:c r="D252" t="str">
        <x:v>Motorcycles</x:v>
      </x:c>
      <x:c r="E252" t="n">
        <x:v>546</x:v>
      </x:c>
      <x:c r="F252" t="n">
        <x:v>546</x:v>
      </x:c>
      <x:c r="G252" t="n">
        <x:v>8823394.52</x:v>
      </x:c>
      <x:c r="H252" t="n">
        <x:v>1.005203</x:v>
      </x:c>
      <x:c r="I252" t="n">
        <x:v>0.984658</x:v>
      </x:c>
      <x:c r="J252" t="n">
        <x:v>363913.98</x:v>
      </x:c>
    </x:row>
    <x:row r="253">
      <x:c r="A253" t="n">
        <x:v>2026</x:v>
      </x:c>
      <x:c r="B253" t="str">
        <x:v>May</x:v>
      </x:c>
      <x:c r="C253" t="str">
        <x:v>Hour</x:v>
      </x:c>
      <x:c r="D253" t="str">
        <x:v>Light Vehicles</x:v>
      </x:c>
      <x:c r="E253" t="n">
        <x:v>546</x:v>
      </x:c>
      <x:c r="F253" t="n">
        <x:v>546</x:v>
      </x:c>
      <x:c r="G253" t="n">
        <x:v>3709230.11</x:v>
      </x:c>
      <x:c r="H253" t="n">
        <x:v>1.003699</x:v>
      </x:c>
      <x:c r="I253" t="n">
        <x:v>0.988701</x:v>
      </x:c>
      <x:c r="J253" t="n">
        <x:v>153376.64</x:v>
      </x:c>
    </x:row>
    <x:row r="254">
      <x:c r="A254" t="n">
        <x:v>2026</x:v>
      </x:c>
      <x:c r="B254" t="str">
        <x:v>May</x:v>
      </x:c>
      <x:c r="C254" t="str">
        <x:v>Hour</x:v>
      </x:c>
      <x:c r="D254" t="str">
        <x:v>Buses</x:v>
      </x:c>
      <x:c r="E254" t="n">
        <x:v>546</x:v>
      </x:c>
      <x:c r="F254" t="n">
        <x:v>546</x:v>
      </x:c>
      <x:c r="G254" t="n">
        <x:v>1011756.15</x:v>
      </x:c>
      <x:c r="H254" t="n">
        <x:v>1.004308</x:v>
      </x:c>
      <x:c r="I254" t="n">
        <x:v>0.982438</x:v>
      </x:c>
      <x:c r="J254" t="n">
        <x:v>41597.74</x:v>
      </x:c>
    </x:row>
    <x:row r="255">
      <x:c r="A255" t="n">
        <x:v>2026</x:v>
      </x:c>
      <x:c r="B255" t="str">
        <x:v>May</x:v>
      </x:c>
      <x:c r="C255" t="str">
        <x:v>Hour</x:v>
      </x:c>
      <x:c r="D255" t="str">
        <x:v>Heavy Goods</x:v>
      </x:c>
      <x:c r="E255" t="n">
        <x:v>546</x:v>
      </x:c>
      <x:c r="F255" t="n">
        <x:v>546</x:v>
      </x:c>
      <x:c r="G255" t="n">
        <x:v>500033.09</x:v>
      </x:c>
      <x:c r="H255" t="n">
        <x:v>1.003542</x:v>
      </x:c>
      <x:c r="I255" t="n">
        <x:v>0.973323</x:v>
      </x:c>
      <x:c r="J255" t="n">
        <x:v>20352.69</x:v>
      </x:c>
    </x:row>
    <x:row r="256">
      <x:c r="A256" t="n">
        <x:v>2026</x:v>
      </x:c>
      <x:c r="B256" t="str">
        <x:v>May</x:v>
      </x:c>
      <x:c r="C256" t="str">
        <x:v>Hour</x:v>
      </x:c>
      <x:c r="D256" t="str">
        <x:v>Other</x:v>
      </x:c>
      <x:c r="E256" t="n">
        <x:v>546</x:v>
      </x:c>
      <x:c r="F256" t="n">
        <x:v>36</x:v>
      </x:c>
      <x:c r="G256" t="n">
        <x:v>20285.72</x:v>
      </x:c>
      <x:c r="H256" t="n">
        <x:v>1.177482</x:v>
      </x:c>
      <x:c r="I256" t="n">
        <x:v>1</x:v>
      </x:c>
      <x:c r="J256" t="n">
        <x:v>995.25</x:v>
      </x:c>
    </x:row>
    <x:row r="257">
      <x:c r="A257" t="n">
        <x:v>2026</x:v>
      </x:c>
      <x:c r="B257" t="str">
        <x:v>May</x:v>
      </x:c>
      <x:c r="C257" t="str">
        <x:v>Day</x:v>
      </x:c>
      <x:c r="D257" t="str">
        <x:v>Motorcycles</x:v>
      </x:c>
      <x:c r="E257" t="n">
        <x:v>546</x:v>
      </x:c>
      <x:c r="F257" t="n">
        <x:v>546</x:v>
      </x:c>
      <x:c r="G257" t="n">
        <x:v>8823394.52</x:v>
      </x:c>
      <x:c r="H257" t="n">
        <x:v>1.005203</x:v>
      </x:c>
      <x:c r="I257" t="n">
        <x:v>0.984658</x:v>
      </x:c>
      <x:c r="J257" t="n">
        <x:v>8733935.46</x:v>
      </x:c>
    </x:row>
    <x:row r="258">
      <x:c r="A258" t="n">
        <x:v>2026</x:v>
      </x:c>
      <x:c r="B258" t="str">
        <x:v>May</x:v>
      </x:c>
      <x:c r="C258" t="str">
        <x:v>Day</x:v>
      </x:c>
      <x:c r="D258" t="str">
        <x:v>Light Vehicles</x:v>
      </x:c>
      <x:c r="E258" t="n">
        <x:v>546</x:v>
      </x:c>
      <x:c r="F258" t="n">
        <x:v>546</x:v>
      </x:c>
      <x:c r="G258" t="n">
        <x:v>3709230.11</x:v>
      </x:c>
      <x:c r="H258" t="n">
        <x:v>1.003699</x:v>
      </x:c>
      <x:c r="I258" t="n">
        <x:v>0.988701</x:v>
      </x:c>
      <x:c r="J258" t="n">
        <x:v>3681039.47</x:v>
      </x:c>
    </x:row>
    <x:row r="259">
      <x:c r="A259" t="n">
        <x:v>2026</x:v>
      </x:c>
      <x:c r="B259" t="str">
        <x:v>May</x:v>
      </x:c>
      <x:c r="C259" t="str">
        <x:v>Day</x:v>
      </x:c>
      <x:c r="D259" t="str">
        <x:v>Buses</x:v>
      </x:c>
      <x:c r="E259" t="n">
        <x:v>546</x:v>
      </x:c>
      <x:c r="F259" t="n">
        <x:v>546</x:v>
      </x:c>
      <x:c r="G259" t="n">
        <x:v>1011756.15</x:v>
      </x:c>
      <x:c r="H259" t="n">
        <x:v>1.004308</x:v>
      </x:c>
      <x:c r="I259" t="n">
        <x:v>0.982438</x:v>
      </x:c>
      <x:c r="J259" t="n">
        <x:v>998345.83</x:v>
      </x:c>
    </x:row>
    <x:row r="260">
      <x:c r="A260" t="n">
        <x:v>2026</x:v>
      </x:c>
      <x:c r="B260" t="str">
        <x:v>May</x:v>
      </x:c>
      <x:c r="C260" t="str">
        <x:v>Day</x:v>
      </x:c>
      <x:c r="D260" t="str">
        <x:v>Heavy Goods</x:v>
      </x:c>
      <x:c r="E260" t="n">
        <x:v>546</x:v>
      </x:c>
      <x:c r="F260" t="n">
        <x:v>546</x:v>
      </x:c>
      <x:c r="G260" t="n">
        <x:v>500033.09</x:v>
      </x:c>
      <x:c r="H260" t="n">
        <x:v>1.003542</x:v>
      </x:c>
      <x:c r="I260" t="n">
        <x:v>0.973323</x:v>
      </x:c>
      <x:c r="J260" t="n">
        <x:v>488464.61</x:v>
      </x:c>
    </x:row>
    <x:row r="261">
      <x:c r="A261" t="n">
        <x:v>2026</x:v>
      </x:c>
      <x:c r="B261" t="str">
        <x:v>May</x:v>
      </x:c>
      <x:c r="C261" t="str">
        <x:v>Day</x:v>
      </x:c>
      <x:c r="D261" t="str">
        <x:v>Other</x:v>
      </x:c>
      <x:c r="E261" t="n">
        <x:v>546</x:v>
      </x:c>
      <x:c r="F261" t="n">
        <x:v>36</x:v>
      </x:c>
      <x:c r="G261" t="n">
        <x:v>20285.72</x:v>
      </x:c>
      <x:c r="H261" t="n">
        <x:v>1.177482</x:v>
      </x:c>
      <x:c r="I261" t="n">
        <x:v>1</x:v>
      </x:c>
      <x:c r="J261" t="n">
        <x:v>23886.08</x:v>
      </x:c>
    </x:row>
    <x:row r="262">
      <x:c r="A262" t="n">
        <x:v>2026</x:v>
      </x:c>
      <x:c r="B262" t="str">
        <x:v>May</x:v>
      </x:c>
      <x:c r="C262" t="str">
        <x:v>Week</x:v>
      </x:c>
      <x:c r="D262" t="str">
        <x:v>Motorcycles</x:v>
      </x:c>
      <x:c r="E262" t="n">
        <x:v>546</x:v>
      </x:c>
      <x:c r="F262" t="n">
        <x:v>546</x:v>
      </x:c>
      <x:c r="G262" t="n">
        <x:v>8823394.52</x:v>
      </x:c>
      <x:c r="H262" t="n">
        <x:v>1.005203</x:v>
      </x:c>
      <x:c r="I262" t="n">
        <x:v>0.984658</x:v>
      </x:c>
      <x:c r="J262" t="n">
        <x:v>61137548.21</x:v>
      </x:c>
    </x:row>
    <x:row r="263">
      <x:c r="A263" t="n">
        <x:v>2026</x:v>
      </x:c>
      <x:c r="B263" t="str">
        <x:v>May</x:v>
      </x:c>
      <x:c r="C263" t="str">
        <x:v>Week</x:v>
      </x:c>
      <x:c r="D263" t="str">
        <x:v>Light Vehicles</x:v>
      </x:c>
      <x:c r="E263" t="n">
        <x:v>546</x:v>
      </x:c>
      <x:c r="F263" t="n">
        <x:v>546</x:v>
      </x:c>
      <x:c r="G263" t="n">
        <x:v>3709230.11</x:v>
      </x:c>
      <x:c r="H263" t="n">
        <x:v>1.003699</x:v>
      </x:c>
      <x:c r="I263" t="n">
        <x:v>0.988701</x:v>
      </x:c>
      <x:c r="J263" t="n">
        <x:v>25767276.27</x:v>
      </x:c>
    </x:row>
    <x:row r="264">
      <x:c r="A264" t="n">
        <x:v>2026</x:v>
      </x:c>
      <x:c r="B264" t="str">
        <x:v>May</x:v>
      </x:c>
      <x:c r="C264" t="str">
        <x:v>Week</x:v>
      </x:c>
      <x:c r="D264" t="str">
        <x:v>Buses</x:v>
      </x:c>
      <x:c r="E264" t="n">
        <x:v>546</x:v>
      </x:c>
      <x:c r="F264" t="n">
        <x:v>546</x:v>
      </x:c>
      <x:c r="G264" t="n">
        <x:v>1011756.15</x:v>
      </x:c>
      <x:c r="H264" t="n">
        <x:v>1.004308</x:v>
      </x:c>
      <x:c r="I264" t="n">
        <x:v>0.982438</x:v>
      </x:c>
      <x:c r="J264" t="n">
        <x:v>6988420.82</x:v>
      </x:c>
    </x:row>
    <x:row r="265">
      <x:c r="A265" t="n">
        <x:v>2026</x:v>
      </x:c>
      <x:c r="B265" t="str">
        <x:v>May</x:v>
      </x:c>
      <x:c r="C265" t="str">
        <x:v>Week</x:v>
      </x:c>
      <x:c r="D265" t="str">
        <x:v>Heavy Goods</x:v>
      </x:c>
      <x:c r="E265" t="n">
        <x:v>546</x:v>
      </x:c>
      <x:c r="F265" t="n">
        <x:v>546</x:v>
      </x:c>
      <x:c r="G265" t="n">
        <x:v>500033.09</x:v>
      </x:c>
      <x:c r="H265" t="n">
        <x:v>1.003542</x:v>
      </x:c>
      <x:c r="I265" t="n">
        <x:v>0.973323</x:v>
      </x:c>
      <x:c r="J265" t="n">
        <x:v>3419252.28</x:v>
      </x:c>
    </x:row>
    <x:row r="266">
      <x:c r="A266" t="n">
        <x:v>2026</x:v>
      </x:c>
      <x:c r="B266" t="str">
        <x:v>May</x:v>
      </x:c>
      <x:c r="C266" t="str">
        <x:v>Week</x:v>
      </x:c>
      <x:c r="D266" t="str">
        <x:v>Other</x:v>
      </x:c>
      <x:c r="E266" t="n">
        <x:v>546</x:v>
      </x:c>
      <x:c r="F266" t="n">
        <x:v>36</x:v>
      </x:c>
      <x:c r="G266" t="n">
        <x:v>20285.72</x:v>
      </x:c>
      <x:c r="H266" t="n">
        <x:v>1.177482</x:v>
      </x:c>
      <x:c r="I266" t="n">
        <x:v>1</x:v>
      </x:c>
      <x:c r="J266" t="n">
        <x:v>167202.55</x:v>
      </x:c>
    </x:row>
    <x:row r="267">
      <x:c r="A267" t="n">
        <x:v>2026</x:v>
      </x:c>
      <x:c r="B267" t="str">
        <x:v>May</x:v>
      </x:c>
      <x:c r="C267" t="str">
        <x:v>Month</x:v>
      </x:c>
      <x:c r="D267" t="str">
        <x:v>Motorcycles</x:v>
      </x:c>
      <x:c r="E267" t="n">
        <x:v>546</x:v>
      </x:c>
      <x:c r="F267" t="n">
        <x:v>546</x:v>
      </x:c>
      <x:c r="G267" t="n">
        <x:v>8823394.52</x:v>
      </x:c>
      <x:c r="H267" t="n">
        <x:v>1.005203</x:v>
      </x:c>
      <x:c r="I267" t="n">
        <x:v>0.984658</x:v>
      </x:c>
      <x:c r="J267" t="n">
        <x:v>270751999.21</x:v>
      </x:c>
    </x:row>
    <x:row r="268">
      <x:c r="A268" t="n">
        <x:v>2026</x:v>
      </x:c>
      <x:c r="B268" t="str">
        <x:v>May</x:v>
      </x:c>
      <x:c r="C268" t="str">
        <x:v>Month</x:v>
      </x:c>
      <x:c r="D268" t="str">
        <x:v>Light Vehicles</x:v>
      </x:c>
      <x:c r="E268" t="n">
        <x:v>546</x:v>
      </x:c>
      <x:c r="F268" t="n">
        <x:v>546</x:v>
      </x:c>
      <x:c r="G268" t="n">
        <x:v>3709230.11</x:v>
      </x:c>
      <x:c r="H268" t="n">
        <x:v>1.003699</x:v>
      </x:c>
      <x:c r="I268" t="n">
        <x:v>0.988701</x:v>
      </x:c>
      <x:c r="J268" t="n">
        <x:v>114112223.46</x:v>
      </x:c>
    </x:row>
    <x:row r="269">
      <x:c r="A269" t="n">
        <x:v>2026</x:v>
      </x:c>
      <x:c r="B269" t="str">
        <x:v>May</x:v>
      </x:c>
      <x:c r="C269" t="str">
        <x:v>Month</x:v>
      </x:c>
      <x:c r="D269" t="str">
        <x:v>Buses</x:v>
      </x:c>
      <x:c r="E269" t="n">
        <x:v>546</x:v>
      </x:c>
      <x:c r="F269" t="n">
        <x:v>546</x:v>
      </x:c>
      <x:c r="G269" t="n">
        <x:v>1011756.15</x:v>
      </x:c>
      <x:c r="H269" t="n">
        <x:v>1.004308</x:v>
      </x:c>
      <x:c r="I269" t="n">
        <x:v>0.982438</x:v>
      </x:c>
      <x:c r="J269" t="n">
        <x:v>30948720.76</x:v>
      </x:c>
    </x:row>
    <x:row r="270">
      <x:c r="A270" t="n">
        <x:v>2026</x:v>
      </x:c>
      <x:c r="B270" t="str">
        <x:v>May</x:v>
      </x:c>
      <x:c r="C270" t="str">
        <x:v>Month</x:v>
      </x:c>
      <x:c r="D270" t="str">
        <x:v>Heavy Goods</x:v>
      </x:c>
      <x:c r="E270" t="n">
        <x:v>546</x:v>
      </x:c>
      <x:c r="F270" t="n">
        <x:v>546</x:v>
      </x:c>
      <x:c r="G270" t="n">
        <x:v>500033.09</x:v>
      </x:c>
      <x:c r="H270" t="n">
        <x:v>1.003542</x:v>
      </x:c>
      <x:c r="I270" t="n">
        <x:v>0.973323</x:v>
      </x:c>
      <x:c r="J270" t="n">
        <x:v>15142402.97</x:v>
      </x:c>
    </x:row>
    <x:row r="271">
      <x:c r="A271" t="n">
        <x:v>2026</x:v>
      </x:c>
      <x:c r="B271" t="str">
        <x:v>May</x:v>
      </x:c>
      <x:c r="C271" t="str">
        <x:v>Month</x:v>
      </x:c>
      <x:c r="D271" t="str">
        <x:v>Other</x:v>
      </x:c>
      <x:c r="E271" t="n">
        <x:v>546</x:v>
      </x:c>
      <x:c r="F271" t="n">
        <x:v>36</x:v>
      </x:c>
      <x:c r="G271" t="n">
        <x:v>20285.72</x:v>
      </x:c>
      <x:c r="H271" t="n">
        <x:v>1.177482</x:v>
      </x:c>
      <x:c r="I271" t="n">
        <x:v>1</x:v>
      </x:c>
      <x:c r="J271" t="n">
        <x:v>740468.43</x:v>
      </x:c>
    </x:row>
    <x:row r="272">
      <x:c r="A272" t="n">
        <x:v>2026</x:v>
      </x:c>
      <x:c r="B272" t="str">
        <x:v>May</x:v>
      </x:c>
      <x:c r="C272" t="str">
        <x:v>Year</x:v>
      </x:c>
      <x:c r="D272" t="str">
        <x:v>Motorcycles</x:v>
      </x:c>
      <x:c r="E272" t="n">
        <x:v>546</x:v>
      </x:c>
      <x:c r="F272" t="n">
        <x:v>546</x:v>
      </x:c>
      <x:c r="G272" t="n">
        <x:v>8823394.52</x:v>
      </x:c>
      <x:c r="H272" t="n">
        <x:v>1.005203</x:v>
      </x:c>
      <x:c r="I272" t="n">
        <x:v>0.984658</x:v>
      </x:c>
      <x:c r="J272" t="n">
        <x:v>3187886442.33</x:v>
      </x:c>
    </x:row>
    <x:row r="273">
      <x:c r="A273" t="n">
        <x:v>2026</x:v>
      </x:c>
      <x:c r="B273" t="str">
        <x:v>May</x:v>
      </x:c>
      <x:c r="C273" t="str">
        <x:v>Year</x:v>
      </x:c>
      <x:c r="D273" t="str">
        <x:v>Light Vehicles</x:v>
      </x:c>
      <x:c r="E273" t="n">
        <x:v>546</x:v>
      </x:c>
      <x:c r="F273" t="n">
        <x:v>546</x:v>
      </x:c>
      <x:c r="G273" t="n">
        <x:v>3709230.11</x:v>
      </x:c>
      <x:c r="H273" t="n">
        <x:v>1.003699</x:v>
      </x:c>
      <x:c r="I273" t="n">
        <x:v>0.988701</x:v>
      </x:c>
      <x:c r="J273" t="n">
        <x:v>1343579405.3</x:v>
      </x:c>
    </x:row>
    <x:row r="274">
      <x:c r="A274" t="n">
        <x:v>2026</x:v>
      </x:c>
      <x:c r="B274" t="str">
        <x:v>May</x:v>
      </x:c>
      <x:c r="C274" t="str">
        <x:v>Year</x:v>
      </x:c>
      <x:c r="D274" t="str">
        <x:v>Buses</x:v>
      </x:c>
      <x:c r="E274" t="n">
        <x:v>546</x:v>
      </x:c>
      <x:c r="F274" t="n">
        <x:v>546</x:v>
      </x:c>
      <x:c r="G274" t="n">
        <x:v>1011756.15</x:v>
      </x:c>
      <x:c r="H274" t="n">
        <x:v>1.004308</x:v>
      </x:c>
      <x:c r="I274" t="n">
        <x:v>0.982438</x:v>
      </x:c>
      <x:c r="J274" t="n">
        <x:v>364396228.25</x:v>
      </x:c>
    </x:row>
    <x:row r="275">
      <x:c r="A275" t="n">
        <x:v>2026</x:v>
      </x:c>
      <x:c r="B275" t="str">
        <x:v>May</x:v>
      </x:c>
      <x:c r="C275" t="str">
        <x:v>Year</x:v>
      </x:c>
      <x:c r="D275" t="str">
        <x:v>Heavy Goods</x:v>
      </x:c>
      <x:c r="E275" t="n">
        <x:v>546</x:v>
      </x:c>
      <x:c r="F275" t="n">
        <x:v>546</x:v>
      </x:c>
      <x:c r="G275" t="n">
        <x:v>500033.09</x:v>
      </x:c>
      <x:c r="H275" t="n">
        <x:v>1.003542</x:v>
      </x:c>
      <x:c r="I275" t="n">
        <x:v>0.973323</x:v>
      </x:c>
      <x:c r="J275" t="n">
        <x:v>178289583.32</x:v>
      </x:c>
    </x:row>
    <x:row r="276">
      <x:c r="A276" t="n">
        <x:v>2026</x:v>
      </x:c>
      <x:c r="B276" t="str">
        <x:v>May</x:v>
      </x:c>
      <x:c r="C276" t="str">
        <x:v>Year</x:v>
      </x:c>
      <x:c r="D276" t="str">
        <x:v>Other</x:v>
      </x:c>
      <x:c r="E276" t="n">
        <x:v>546</x:v>
      </x:c>
      <x:c r="F276" t="n">
        <x:v>36</x:v>
      </x:c>
      <x:c r="G276" t="n">
        <x:v>20285.72</x:v>
      </x:c>
      <x:c r="H276" t="n">
        <x:v>1.177482</x:v>
      </x:c>
      <x:c r="I276" t="n">
        <x:v>1</x:v>
      </x:c>
      <x:c r="J276" t="n">
        <x:v>8718418.55</x:v>
      </x:c>
    </x:row>
    <x:row r="277">
      <x:c r="A277" t="n">
        <x:v>2027</x:v>
      </x:c>
      <x:c r="B277" t="str">
        <x:v>May</x:v>
      </x:c>
      <x:c r="C277" t="str">
        <x:v>Hour</x:v>
      </x:c>
      <x:c r="D277" t="str">
        <x:v>Motorcycles</x:v>
      </x:c>
      <x:c r="E277" t="n">
        <x:v>546</x:v>
      </x:c>
      <x:c r="F277" t="n">
        <x:v>546</x:v>
      </x:c>
      <x:c r="G277" t="n">
        <x:v>8823394.52</x:v>
      </x:c>
      <x:c r="H277" t="n">
        <x:v>1.007935</x:v>
      </x:c>
      <x:c r="I277" t="n">
        <x:v>0.984658</x:v>
      </x:c>
      <x:c r="J277" t="n">
        <x:v>364912.15</x:v>
      </x:c>
    </x:row>
    <x:row r="278">
      <x:c r="A278" t="n">
        <x:v>2027</x:v>
      </x:c>
      <x:c r="B278" t="str">
        <x:v>May</x:v>
      </x:c>
      <x:c r="C278" t="str">
        <x:v>Hour</x:v>
      </x:c>
      <x:c r="D278" t="str">
        <x:v>Light Vehicles</x:v>
      </x:c>
      <x:c r="E278" t="n">
        <x:v>546</x:v>
      </x:c>
      <x:c r="F278" t="n">
        <x:v>546</x:v>
      </x:c>
      <x:c r="G278" t="n">
        <x:v>3709230.11</x:v>
      </x:c>
      <x:c r="H278" t="n">
        <x:v>1.005802</x:v>
      </x:c>
      <x:c r="I278" t="n">
        <x:v>0.988701</x:v>
      </x:c>
      <x:c r="J278" t="n">
        <x:v>153699.62</x:v>
      </x:c>
    </x:row>
    <x:row r="279">
      <x:c r="A279" t="n">
        <x:v>2027</x:v>
      </x:c>
      <x:c r="B279" t="str">
        <x:v>May</x:v>
      </x:c>
      <x:c r="C279" t="str">
        <x:v>Hour</x:v>
      </x:c>
      <x:c r="D279" t="str">
        <x:v>Buses</x:v>
      </x:c>
      <x:c r="E279" t="n">
        <x:v>546</x:v>
      </x:c>
      <x:c r="F279" t="n">
        <x:v>546</x:v>
      </x:c>
      <x:c r="G279" t="n">
        <x:v>1011756.15</x:v>
      </x:c>
      <x:c r="H279" t="n">
        <x:v>1.006757</x:v>
      </x:c>
      <x:c r="I279" t="n">
        <x:v>0.982438</x:v>
      </x:c>
      <x:c r="J279" t="n">
        <x:v>41700.16</x:v>
      </x:c>
    </x:row>
    <x:row r="280">
      <x:c r="A280" t="n">
        <x:v>2027</x:v>
      </x:c>
      <x:c r="B280" t="str">
        <x:v>May</x:v>
      </x:c>
      <x:c r="C280" t="str">
        <x:v>Hour</x:v>
      </x:c>
      <x:c r="D280" t="str">
        <x:v>Heavy Goods</x:v>
      </x:c>
      <x:c r="E280" t="n">
        <x:v>546</x:v>
      </x:c>
      <x:c r="F280" t="n">
        <x:v>546</x:v>
      </x:c>
      <x:c r="G280" t="n">
        <x:v>500033.09</x:v>
      </x:c>
      <x:c r="H280" t="n">
        <x:v>1.005818</x:v>
      </x:c>
      <x:c r="I280" t="n">
        <x:v>0.973323</x:v>
      </x:c>
      <x:c r="J280" t="n">
        <x:v>20399.51</x:v>
      </x:c>
    </x:row>
    <x:row r="281">
      <x:c r="A281" t="n">
        <x:v>2027</x:v>
      </x:c>
      <x:c r="B281" t="str">
        <x:v>May</x:v>
      </x:c>
      <x:c r="C281" t="str">
        <x:v>Hour</x:v>
      </x:c>
      <x:c r="D281" t="str">
        <x:v>Other</x:v>
      </x:c>
      <x:c r="E281" t="n">
        <x:v>546</x:v>
      </x:c>
      <x:c r="F281" t="n">
        <x:v>36</x:v>
      </x:c>
      <x:c r="G281" t="n">
        <x:v>20285.72</x:v>
      </x:c>
      <x:c r="H281" t="n">
        <x:v>1.246554</x:v>
      </x:c>
      <x:c r="I281" t="n">
        <x:v>1</x:v>
      </x:c>
      <x:c r="J281" t="n">
        <x:v>1053.63</x:v>
      </x:c>
    </x:row>
    <x:row r="282">
      <x:c r="A282" t="n">
        <x:v>2027</x:v>
      </x:c>
      <x:c r="B282" t="str">
        <x:v>May</x:v>
      </x:c>
      <x:c r="C282" t="str">
        <x:v>Day</x:v>
      </x:c>
      <x:c r="D282" t="str">
        <x:v>Motorcycles</x:v>
      </x:c>
      <x:c r="E282" t="n">
        <x:v>546</x:v>
      </x:c>
      <x:c r="F282" t="n">
        <x:v>546</x:v>
      </x:c>
      <x:c r="G282" t="n">
        <x:v>8823394.52</x:v>
      </x:c>
      <x:c r="H282" t="n">
        <x:v>1.007935</x:v>
      </x:c>
      <x:c r="I282" t="n">
        <x:v>0.984658</x:v>
      </x:c>
      <x:c r="J282" t="n">
        <x:v>8757891.68</x:v>
      </x:c>
    </x:row>
    <x:row r="283">
      <x:c r="A283" t="n">
        <x:v>2027</x:v>
      </x:c>
      <x:c r="B283" t="str">
        <x:v>May</x:v>
      </x:c>
      <x:c r="C283" t="str">
        <x:v>Day</x:v>
      </x:c>
      <x:c r="D283" t="str">
        <x:v>Light Vehicles</x:v>
      </x:c>
      <x:c r="E283" t="n">
        <x:v>546</x:v>
      </x:c>
      <x:c r="F283" t="n">
        <x:v>546</x:v>
      </x:c>
      <x:c r="G283" t="n">
        <x:v>3709230.11</x:v>
      </x:c>
      <x:c r="H283" t="n">
        <x:v>1.005802</x:v>
      </x:c>
      <x:c r="I283" t="n">
        <x:v>0.988701</x:v>
      </x:c>
      <x:c r="J283" t="n">
        <x:v>3688790.88</x:v>
      </x:c>
    </x:row>
    <x:row r="284">
      <x:c r="A284" t="n">
        <x:v>2027</x:v>
      </x:c>
      <x:c r="B284" t="str">
        <x:v>May</x:v>
      </x:c>
      <x:c r="C284" t="str">
        <x:v>Day</x:v>
      </x:c>
      <x:c r="D284" t="str">
        <x:v>Buses</x:v>
      </x:c>
      <x:c r="E284" t="n">
        <x:v>546</x:v>
      </x:c>
      <x:c r="F284" t="n">
        <x:v>546</x:v>
      </x:c>
      <x:c r="G284" t="n">
        <x:v>1011756.15</x:v>
      </x:c>
      <x:c r="H284" t="n">
        <x:v>1.006757</x:v>
      </x:c>
      <x:c r="I284" t="n">
        <x:v>0.982438</x:v>
      </x:c>
      <x:c r="J284" t="n">
        <x:v>1000803.84</x:v>
      </x:c>
    </x:row>
    <x:row r="285">
      <x:c r="A285" t="n">
        <x:v>2027</x:v>
      </x:c>
      <x:c r="B285" t="str">
        <x:v>May</x:v>
      </x:c>
      <x:c r="C285" t="str">
        <x:v>Day</x:v>
      </x:c>
      <x:c r="D285" t="str">
        <x:v>Heavy Goods</x:v>
      </x:c>
      <x:c r="E285" t="n">
        <x:v>546</x:v>
      </x:c>
      <x:c r="F285" t="n">
        <x:v>546</x:v>
      </x:c>
      <x:c r="G285" t="n">
        <x:v>500033.09</x:v>
      </x:c>
      <x:c r="H285" t="n">
        <x:v>1.005818</x:v>
      </x:c>
      <x:c r="I285" t="n">
        <x:v>0.973323</x:v>
      </x:c>
      <x:c r="J285" t="n">
        <x:v>489588.24</x:v>
      </x:c>
    </x:row>
    <x:row r="286">
      <x:c r="A286" t="n">
        <x:v>2027</x:v>
      </x:c>
      <x:c r="B286" t="str">
        <x:v>May</x:v>
      </x:c>
      <x:c r="C286" t="str">
        <x:v>Day</x:v>
      </x:c>
      <x:c r="D286" t="str">
        <x:v>Other</x:v>
      </x:c>
      <x:c r="E286" t="n">
        <x:v>546</x:v>
      </x:c>
      <x:c r="F286" t="n">
        <x:v>36</x:v>
      </x:c>
      <x:c r="G286" t="n">
        <x:v>20285.72</x:v>
      </x:c>
      <x:c r="H286" t="n">
        <x:v>1.246554</x:v>
      </x:c>
      <x:c r="I286" t="n">
        <x:v>1</x:v>
      </x:c>
      <x:c r="J286" t="n">
        <x:v>25287.24</x:v>
      </x:c>
    </x:row>
    <x:row r="287">
      <x:c r="A287" t="n">
        <x:v>2027</x:v>
      </x:c>
      <x:c r="B287" t="str">
        <x:v>May</x:v>
      </x:c>
      <x:c r="C287" t="str">
        <x:v>Week</x:v>
      </x:c>
      <x:c r="D287" t="str">
        <x:v>Motorcycles</x:v>
      </x:c>
      <x:c r="E287" t="n">
        <x:v>546</x:v>
      </x:c>
      <x:c r="F287" t="n">
        <x:v>546</x:v>
      </x:c>
      <x:c r="G287" t="n">
        <x:v>8823394.52</x:v>
      </x:c>
      <x:c r="H287" t="n">
        <x:v>1.007935</x:v>
      </x:c>
      <x:c r="I287" t="n">
        <x:v>0.984658</x:v>
      </x:c>
      <x:c r="J287" t="n">
        <x:v>61305241.73</x:v>
      </x:c>
    </x:row>
    <x:row r="288">
      <x:c r="A288" t="n">
        <x:v>2027</x:v>
      </x:c>
      <x:c r="B288" t="str">
        <x:v>May</x:v>
      </x:c>
      <x:c r="C288" t="str">
        <x:v>Week</x:v>
      </x:c>
      <x:c r="D288" t="str">
        <x:v>Light Vehicles</x:v>
      </x:c>
      <x:c r="E288" t="n">
        <x:v>546</x:v>
      </x:c>
      <x:c r="F288" t="n">
        <x:v>546</x:v>
      </x:c>
      <x:c r="G288" t="n">
        <x:v>3709230.11</x:v>
      </x:c>
      <x:c r="H288" t="n">
        <x:v>1.005802</x:v>
      </x:c>
      <x:c r="I288" t="n">
        <x:v>0.988701</x:v>
      </x:c>
      <x:c r="J288" t="n">
        <x:v>25821536.19</x:v>
      </x:c>
    </x:row>
    <x:row r="289">
      <x:c r="A289" t="n">
        <x:v>2027</x:v>
      </x:c>
      <x:c r="B289" t="str">
        <x:v>May</x:v>
      </x:c>
      <x:c r="C289" t="str">
        <x:v>Week</x:v>
      </x:c>
      <x:c r="D289" t="str">
        <x:v>Buses</x:v>
      </x:c>
      <x:c r="E289" t="n">
        <x:v>546</x:v>
      </x:c>
      <x:c r="F289" t="n">
        <x:v>546</x:v>
      </x:c>
      <x:c r="G289" t="n">
        <x:v>1011756.15</x:v>
      </x:c>
      <x:c r="H289" t="n">
        <x:v>1.006757</x:v>
      </x:c>
      <x:c r="I289" t="n">
        <x:v>0.982438</x:v>
      </x:c>
      <x:c r="J289" t="n">
        <x:v>7005626.87</x:v>
      </x:c>
    </x:row>
    <x:row r="290">
      <x:c r="A290" t="n">
        <x:v>2027</x:v>
      </x:c>
      <x:c r="B290" t="str">
        <x:v>May</x:v>
      </x:c>
      <x:c r="C290" t="str">
        <x:v>Week</x:v>
      </x:c>
      <x:c r="D290" t="str">
        <x:v>Heavy Goods</x:v>
      </x:c>
      <x:c r="E290" t="n">
        <x:v>546</x:v>
      </x:c>
      <x:c r="F290" t="n">
        <x:v>546</x:v>
      </x:c>
      <x:c r="G290" t="n">
        <x:v>500033.09</x:v>
      </x:c>
      <x:c r="H290" t="n">
        <x:v>1.005818</x:v>
      </x:c>
      <x:c r="I290" t="n">
        <x:v>0.973323</x:v>
      </x:c>
      <x:c r="J290" t="n">
        <x:v>3427117.69</x:v>
      </x:c>
    </x:row>
    <x:row r="291">
      <x:c r="A291" t="n">
        <x:v>2027</x:v>
      </x:c>
      <x:c r="B291" t="str">
        <x:v>May</x:v>
      </x:c>
      <x:c r="C291" t="str">
        <x:v>Week</x:v>
      </x:c>
      <x:c r="D291" t="str">
        <x:v>Other</x:v>
      </x:c>
      <x:c r="E291" t="n">
        <x:v>546</x:v>
      </x:c>
      <x:c r="F291" t="n">
        <x:v>36</x:v>
      </x:c>
      <x:c r="G291" t="n">
        <x:v>20285.72</x:v>
      </x:c>
      <x:c r="H291" t="n">
        <x:v>1.246554</x:v>
      </x:c>
      <x:c r="I291" t="n">
        <x:v>1</x:v>
      </x:c>
      <x:c r="J291" t="n">
        <x:v>177010.67</x:v>
      </x:c>
    </x:row>
    <x:row r="292">
      <x:c r="A292" t="n">
        <x:v>2027</x:v>
      </x:c>
      <x:c r="B292" t="str">
        <x:v>May</x:v>
      </x:c>
      <x:c r="C292" t="str">
        <x:v>Month</x:v>
      </x:c>
      <x:c r="D292" t="str">
        <x:v>Motorcycles</x:v>
      </x:c>
      <x:c r="E292" t="n">
        <x:v>546</x:v>
      </x:c>
      <x:c r="F292" t="n">
        <x:v>546</x:v>
      </x:c>
      <x:c r="G292" t="n">
        <x:v>8823394.52</x:v>
      </x:c>
      <x:c r="H292" t="n">
        <x:v>1.007935</x:v>
      </x:c>
      <x:c r="I292" t="n">
        <x:v>0.984658</x:v>
      </x:c>
      <x:c r="J292" t="n">
        <x:v>271494641.94</x:v>
      </x:c>
    </x:row>
    <x:row r="293">
      <x:c r="A293" t="n">
        <x:v>2027</x:v>
      </x:c>
      <x:c r="B293" t="str">
        <x:v>May</x:v>
      </x:c>
      <x:c r="C293" t="str">
        <x:v>Month</x:v>
      </x:c>
      <x:c r="D293" t="str">
        <x:v>Light Vehicles</x:v>
      </x:c>
      <x:c r="E293" t="n">
        <x:v>546</x:v>
      </x:c>
      <x:c r="F293" t="n">
        <x:v>546</x:v>
      </x:c>
      <x:c r="G293" t="n">
        <x:v>3709230.11</x:v>
      </x:c>
      <x:c r="H293" t="n">
        <x:v>1.005802</x:v>
      </x:c>
      <x:c r="I293" t="n">
        <x:v>0.988701</x:v>
      </x:c>
      <x:c r="J293" t="n">
        <x:v>114352517.42</x:v>
      </x:c>
    </x:row>
    <x:row r="294">
      <x:c r="A294" t="n">
        <x:v>2027</x:v>
      </x:c>
      <x:c r="B294" t="str">
        <x:v>May</x:v>
      </x:c>
      <x:c r="C294" t="str">
        <x:v>Month</x:v>
      </x:c>
      <x:c r="D294" t="str">
        <x:v>Buses</x:v>
      </x:c>
      <x:c r="E294" t="n">
        <x:v>546</x:v>
      </x:c>
      <x:c r="F294" t="n">
        <x:v>546</x:v>
      </x:c>
      <x:c r="G294" t="n">
        <x:v>1011756.15</x:v>
      </x:c>
      <x:c r="H294" t="n">
        <x:v>1.006757</x:v>
      </x:c>
      <x:c r="I294" t="n">
        <x:v>0.982438</x:v>
      </x:c>
      <x:c r="J294" t="n">
        <x:v>31024918.98</x:v>
      </x:c>
    </x:row>
    <x:row r="295">
      <x:c r="A295" t="n">
        <x:v>2027</x:v>
      </x:c>
      <x:c r="B295" t="str">
        <x:v>May</x:v>
      </x:c>
      <x:c r="C295" t="str">
        <x:v>Month</x:v>
      </x:c>
      <x:c r="D295" t="str">
        <x:v>Heavy Goods</x:v>
      </x:c>
      <x:c r="E295" t="n">
        <x:v>546</x:v>
      </x:c>
      <x:c r="F295" t="n">
        <x:v>546</x:v>
      </x:c>
      <x:c r="G295" t="n">
        <x:v>500033.09</x:v>
      </x:c>
      <x:c r="H295" t="n">
        <x:v>1.005818</x:v>
      </x:c>
      <x:c r="I295" t="n">
        <x:v>0.973323</x:v>
      </x:c>
      <x:c r="J295" t="n">
        <x:v>15177235.5</x:v>
      </x:c>
    </x:row>
    <x:row r="296">
      <x:c r="A296" t="n">
        <x:v>2027</x:v>
      </x:c>
      <x:c r="B296" t="str">
        <x:v>May</x:v>
      </x:c>
      <x:c r="C296" t="str">
        <x:v>Month</x:v>
      </x:c>
      <x:c r="D296" t="str">
        <x:v>Other</x:v>
      </x:c>
      <x:c r="E296" t="n">
        <x:v>546</x:v>
      </x:c>
      <x:c r="F296" t="n">
        <x:v>36</x:v>
      </x:c>
      <x:c r="G296" t="n">
        <x:v>20285.72</x:v>
      </x:c>
      <x:c r="H296" t="n">
        <x:v>1.246554</x:v>
      </x:c>
      <x:c r="I296" t="n">
        <x:v>1</x:v>
      </x:c>
      <x:c r="J296" t="n">
        <x:v>783904.38</x:v>
      </x:c>
    </x:row>
    <x:row r="297">
      <x:c r="A297" t="n">
        <x:v>2027</x:v>
      </x:c>
      <x:c r="B297" t="str">
        <x:v>May</x:v>
      </x:c>
      <x:c r="C297" t="str">
        <x:v>Year</x:v>
      </x:c>
      <x:c r="D297" t="str">
        <x:v>Motorcycles</x:v>
      </x:c>
      <x:c r="E297" t="n">
        <x:v>546</x:v>
      </x:c>
      <x:c r="F297" t="n">
        <x:v>546</x:v>
      </x:c>
      <x:c r="G297" t="n">
        <x:v>8823394.52</x:v>
      </x:c>
      <x:c r="H297" t="n">
        <x:v>1.007935</x:v>
      </x:c>
      <x:c r="I297" t="n">
        <x:v>0.984658</x:v>
      </x:c>
      <x:c r="J297" t="n">
        <x:v>3196630461.56</x:v>
      </x:c>
    </x:row>
    <x:row r="298">
      <x:c r="A298" t="n">
        <x:v>2027</x:v>
      </x:c>
      <x:c r="B298" t="str">
        <x:v>May</x:v>
      </x:c>
      <x:c r="C298" t="str">
        <x:v>Year</x:v>
      </x:c>
      <x:c r="D298" t="str">
        <x:v>Light Vehicles</x:v>
      </x:c>
      <x:c r="E298" t="n">
        <x:v>546</x:v>
      </x:c>
      <x:c r="F298" t="n">
        <x:v>546</x:v>
      </x:c>
      <x:c r="G298" t="n">
        <x:v>3709230.11</x:v>
      </x:c>
      <x:c r="H298" t="n">
        <x:v>1.005802</x:v>
      </x:c>
      <x:c r="I298" t="n">
        <x:v>0.988701</x:v>
      </x:c>
      <x:c r="J298" t="n">
        <x:v>1346408672.84</x:v>
      </x:c>
    </x:row>
    <x:row r="299">
      <x:c r="A299" t="n">
        <x:v>2027</x:v>
      </x:c>
      <x:c r="B299" t="str">
        <x:v>May</x:v>
      </x:c>
      <x:c r="C299" t="str">
        <x:v>Year</x:v>
      </x:c>
      <x:c r="D299" t="str">
        <x:v>Buses</x:v>
      </x:c>
      <x:c r="E299" t="n">
        <x:v>546</x:v>
      </x:c>
      <x:c r="F299" t="n">
        <x:v>546</x:v>
      </x:c>
      <x:c r="G299" t="n">
        <x:v>1011756.15</x:v>
      </x:c>
      <x:c r="H299" t="n">
        <x:v>1.006757</x:v>
      </x:c>
      <x:c r="I299" t="n">
        <x:v>0.982438</x:v>
      </x:c>
      <x:c r="J299" t="n">
        <x:v>365293400.85</x:v>
      </x:c>
    </x:row>
    <x:row r="300">
      <x:c r="A300" t="n">
        <x:v>2027</x:v>
      </x:c>
      <x:c r="B300" t="str">
        <x:v>May</x:v>
      </x:c>
      <x:c r="C300" t="str">
        <x:v>Year</x:v>
      </x:c>
      <x:c r="D300" t="str">
        <x:v>Heavy Goods</x:v>
      </x:c>
      <x:c r="E300" t="n">
        <x:v>546</x:v>
      </x:c>
      <x:c r="F300" t="n">
        <x:v>546</x:v>
      </x:c>
      <x:c r="G300" t="n">
        <x:v>500033.09</x:v>
      </x:c>
      <x:c r="H300" t="n">
        <x:v>1.005818</x:v>
      </x:c>
      <x:c r="I300" t="n">
        <x:v>0.973323</x:v>
      </x:c>
      <x:c r="J300" t="n">
        <x:v>178699708.3</x:v>
      </x:c>
    </x:row>
    <x:row r="301">
      <x:c r="A301" t="n">
        <x:v>2027</x:v>
      </x:c>
      <x:c r="B301" t="str">
        <x:v>May</x:v>
      </x:c>
      <x:c r="C301" t="str">
        <x:v>Year</x:v>
      </x:c>
      <x:c r="D301" t="str">
        <x:v>Other</x:v>
      </x:c>
      <x:c r="E301" t="n">
        <x:v>546</x:v>
      </x:c>
      <x:c r="F301" t="n">
        <x:v>36</x:v>
      </x:c>
      <x:c r="G301" t="n">
        <x:v>20285.72</x:v>
      </x:c>
      <x:c r="H301" t="n">
        <x:v>1.246554</x:v>
      </x:c>
      <x:c r="I301" t="n">
        <x:v>1</x:v>
      </x:c>
      <x:c r="J301" t="n">
        <x:v>9229841.92</x:v>
      </x:c>
    </x:row>
    <x:row r="302">
      <x:c r="A302" t="n">
        <x:v>2028</x:v>
      </x:c>
      <x:c r="B302" t="str">
        <x:v>May</x:v>
      </x:c>
      <x:c r="C302" t="str">
        <x:v>Hour</x:v>
      </x:c>
      <x:c r="D302" t="str">
        <x:v>Motorcycles</x:v>
      </x:c>
      <x:c r="E302" t="n">
        <x:v>546</x:v>
      </x:c>
      <x:c r="F302" t="n">
        <x:v>546</x:v>
      </x:c>
      <x:c r="G302" t="n">
        <x:v>8823394.52</x:v>
      </x:c>
      <x:c r="H302" t="n">
        <x:v>1.010765</x:v>
      </x:c>
      <x:c r="I302" t="n">
        <x:v>0.984658</x:v>
      </x:c>
      <x:c r="J302" t="n">
        <x:v>365946.11</x:v>
      </x:c>
    </x:row>
    <x:row r="303">
      <x:c r="A303" t="n">
        <x:v>2028</x:v>
      </x:c>
      <x:c r="B303" t="str">
        <x:v>May</x:v>
      </x:c>
      <x:c r="C303" t="str">
        <x:v>Hour</x:v>
      </x:c>
      <x:c r="D303" t="str">
        <x:v>Light Vehicles</x:v>
      </x:c>
      <x:c r="E303" t="n">
        <x:v>546</x:v>
      </x:c>
      <x:c r="F303" t="n">
        <x:v>546</x:v>
      </x:c>
      <x:c r="G303" t="n">
        <x:v>3709230.11</x:v>
      </x:c>
      <x:c r="H303" t="n">
        <x:v>1.007947</x:v>
      </x:c>
      <x:c r="I303" t="n">
        <x:v>0.988701</x:v>
      </x:c>
      <x:c r="J303" t="n">
        <x:v>154029.12</x:v>
      </x:c>
    </x:row>
    <x:row r="304">
      <x:c r="A304" t="n">
        <x:v>2028</x:v>
      </x:c>
      <x:c r="B304" t="str">
        <x:v>May</x:v>
      </x:c>
      <x:c r="C304" t="str">
        <x:v>Hour</x:v>
      </x:c>
      <x:c r="D304" t="str">
        <x:v>Buses</x:v>
      </x:c>
      <x:c r="E304" t="n">
        <x:v>546</x:v>
      </x:c>
      <x:c r="F304" t="n">
        <x:v>546</x:v>
      </x:c>
      <x:c r="G304" t="n">
        <x:v>1011756.15</x:v>
      </x:c>
      <x:c r="H304" t="n">
        <x:v>1.009283</x:v>
      </x:c>
      <x:c r="I304" t="n">
        <x:v>0.982438</x:v>
      </x:c>
      <x:c r="J304" t="n">
        <x:v>41805.79</x:v>
      </x:c>
    </x:row>
    <x:row r="305">
      <x:c r="A305" t="n">
        <x:v>2028</x:v>
      </x:c>
      <x:c r="B305" t="str">
        <x:v>May</x:v>
      </x:c>
      <x:c r="C305" t="str">
        <x:v>Hour</x:v>
      </x:c>
      <x:c r="D305" t="str">
        <x:v>Heavy Goods</x:v>
      </x:c>
      <x:c r="E305" t="n">
        <x:v>546</x:v>
      </x:c>
      <x:c r="F305" t="n">
        <x:v>546</x:v>
      </x:c>
      <x:c r="G305" t="n">
        <x:v>500033.09</x:v>
      </x:c>
      <x:c r="H305" t="n">
        <x:v>1.008166</x:v>
      </x:c>
      <x:c r="I305" t="n">
        <x:v>0.973323</x:v>
      </x:c>
      <x:c r="J305" t="n">
        <x:v>20447.81</x:v>
      </x:c>
    </x:row>
    <x:row r="306">
      <x:c r="A306" t="n">
        <x:v>2028</x:v>
      </x:c>
      <x:c r="B306" t="str">
        <x:v>May</x:v>
      </x:c>
      <x:c r="C306" t="str">
        <x:v>Hour</x:v>
      </x:c>
      <x:c r="D306" t="str">
        <x:v>Other</x:v>
      </x:c>
      <x:c r="E306" t="n">
        <x:v>546</x:v>
      </x:c>
      <x:c r="F306" t="n">
        <x:v>36</x:v>
      </x:c>
      <x:c r="G306" t="n">
        <x:v>20285.72</x:v>
      </x:c>
      <x:c r="H306" t="n">
        <x:v>1.321117</x:v>
      </x:c>
      <x:c r="I306" t="n">
        <x:v>1</x:v>
      </x:c>
      <x:c r="J306" t="n">
        <x:v>1116.66</x:v>
      </x:c>
    </x:row>
    <x:row r="307">
      <x:c r="A307" t="n">
        <x:v>2028</x:v>
      </x:c>
      <x:c r="B307" t="str">
        <x:v>May</x:v>
      </x:c>
      <x:c r="C307" t="str">
        <x:v>Day</x:v>
      </x:c>
      <x:c r="D307" t="str">
        <x:v>Motorcycles</x:v>
      </x:c>
      <x:c r="E307" t="n">
        <x:v>546</x:v>
      </x:c>
      <x:c r="F307" t="n">
        <x:v>546</x:v>
      </x:c>
      <x:c r="G307" t="n">
        <x:v>8823394.52</x:v>
      </x:c>
      <x:c r="H307" t="n">
        <x:v>1.010765</x:v>
      </x:c>
      <x:c r="I307" t="n">
        <x:v>0.984658</x:v>
      </x:c>
      <x:c r="J307" t="n">
        <x:v>8782706.74</x:v>
      </x:c>
    </x:row>
    <x:row r="308">
      <x:c r="A308" t="n">
        <x:v>2028</x:v>
      </x:c>
      <x:c r="B308" t="str">
        <x:v>May</x:v>
      </x:c>
      <x:c r="C308" t="str">
        <x:v>Day</x:v>
      </x:c>
      <x:c r="D308" t="str">
        <x:v>Light Vehicles</x:v>
      </x:c>
      <x:c r="E308" t="n">
        <x:v>546</x:v>
      </x:c>
      <x:c r="F308" t="n">
        <x:v>546</x:v>
      </x:c>
      <x:c r="G308" t="n">
        <x:v>3709230.11</x:v>
      </x:c>
      <x:c r="H308" t="n">
        <x:v>1.007947</x:v>
      </x:c>
      <x:c r="I308" t="n">
        <x:v>0.988701</x:v>
      </x:c>
      <x:c r="J308" t="n">
        <x:v>3696698.8</x:v>
      </x:c>
    </x:row>
    <x:row r="309">
      <x:c r="A309" t="n">
        <x:v>2028</x:v>
      </x:c>
      <x:c r="B309" t="str">
        <x:v>May</x:v>
      </x:c>
      <x:c r="C309" t="str">
        <x:v>Day</x:v>
      </x:c>
      <x:c r="D309" t="str">
        <x:v>Buses</x:v>
      </x:c>
      <x:c r="E309" t="n">
        <x:v>546</x:v>
      </x:c>
      <x:c r="F309" t="n">
        <x:v>546</x:v>
      </x:c>
      <x:c r="G309" t="n">
        <x:v>1011756.15</x:v>
      </x:c>
      <x:c r="H309" t="n">
        <x:v>1.009283</x:v>
      </x:c>
      <x:c r="I309" t="n">
        <x:v>0.982438</x:v>
      </x:c>
      <x:c r="J309" t="n">
        <x:v>1003338.9</x:v>
      </x:c>
    </x:row>
    <x:row r="310">
      <x:c r="A310" t="n">
        <x:v>2028</x:v>
      </x:c>
      <x:c r="B310" t="str">
        <x:v>May</x:v>
      </x:c>
      <x:c r="C310" t="str">
        <x:v>Day</x:v>
      </x:c>
      <x:c r="D310" t="str">
        <x:v>Heavy Goods</x:v>
      </x:c>
      <x:c r="E310" t="n">
        <x:v>546</x:v>
      </x:c>
      <x:c r="F310" t="n">
        <x:v>546</x:v>
      </x:c>
      <x:c r="G310" t="n">
        <x:v>500033.09</x:v>
      </x:c>
      <x:c r="H310" t="n">
        <x:v>1.008166</x:v>
      </x:c>
      <x:c r="I310" t="n">
        <x:v>0.973323</x:v>
      </x:c>
      <x:c r="J310" t="n">
        <x:v>490747.39</x:v>
      </x:c>
    </x:row>
    <x:row r="311">
      <x:c r="A311" t="n">
        <x:v>2028</x:v>
      </x:c>
      <x:c r="B311" t="str">
        <x:v>May</x:v>
      </x:c>
      <x:c r="C311" t="str">
        <x:v>Day</x:v>
      </x:c>
      <x:c r="D311" t="str">
        <x:v>Other</x:v>
      </x:c>
      <x:c r="E311" t="n">
        <x:v>546</x:v>
      </x:c>
      <x:c r="F311" t="n">
        <x:v>36</x:v>
      </x:c>
      <x:c r="G311" t="n">
        <x:v>20285.72</x:v>
      </x:c>
      <x:c r="H311" t="n">
        <x:v>1.321117</x:v>
      </x:c>
      <x:c r="I311" t="n">
        <x:v>1</x:v>
      </x:c>
      <x:c r="J311" t="n">
        <x:v>26799.81</x:v>
      </x:c>
    </x:row>
    <x:row r="312">
      <x:c r="A312" t="n">
        <x:v>2028</x:v>
      </x:c>
      <x:c r="B312" t="str">
        <x:v>May</x:v>
      </x:c>
      <x:c r="C312" t="str">
        <x:v>Week</x:v>
      </x:c>
      <x:c r="D312" t="str">
        <x:v>Motorcycles</x:v>
      </x:c>
      <x:c r="E312" t="n">
        <x:v>546</x:v>
      </x:c>
      <x:c r="F312" t="n">
        <x:v>546</x:v>
      </x:c>
      <x:c r="G312" t="n">
        <x:v>8823394.52</x:v>
      </x:c>
      <x:c r="H312" t="n">
        <x:v>1.010765</x:v>
      </x:c>
      <x:c r="I312" t="n">
        <x:v>0.984658</x:v>
      </x:c>
      <x:c r="J312" t="n">
        <x:v>61478947.19</x:v>
      </x:c>
    </x:row>
    <x:row r="313">
      <x:c r="A313" t="n">
        <x:v>2028</x:v>
      </x:c>
      <x:c r="B313" t="str">
        <x:v>May</x:v>
      </x:c>
      <x:c r="C313" t="str">
        <x:v>Week</x:v>
      </x:c>
      <x:c r="D313" t="str">
        <x:v>Light Vehicles</x:v>
      </x:c>
      <x:c r="E313" t="n">
        <x:v>546</x:v>
      </x:c>
      <x:c r="F313" t="n">
        <x:v>546</x:v>
      </x:c>
      <x:c r="G313" t="n">
        <x:v>3709230.11</x:v>
      </x:c>
      <x:c r="H313" t="n">
        <x:v>1.007947</x:v>
      </x:c>
      <x:c r="I313" t="n">
        <x:v>0.988701</x:v>
      </x:c>
      <x:c r="J313" t="n">
        <x:v>25876891.62</x:v>
      </x:c>
    </x:row>
    <x:row r="314">
      <x:c r="A314" t="n">
        <x:v>2028</x:v>
      </x:c>
      <x:c r="B314" t="str">
        <x:v>May</x:v>
      </x:c>
      <x:c r="C314" t="str">
        <x:v>Week</x:v>
      </x:c>
      <x:c r="D314" t="str">
        <x:v>Buses</x:v>
      </x:c>
      <x:c r="E314" t="n">
        <x:v>546</x:v>
      </x:c>
      <x:c r="F314" t="n">
        <x:v>546</x:v>
      </x:c>
      <x:c r="G314" t="n">
        <x:v>1011756.15</x:v>
      </x:c>
      <x:c r="H314" t="n">
        <x:v>1.009283</x:v>
      </x:c>
      <x:c r="I314" t="n">
        <x:v>0.982438</x:v>
      </x:c>
      <x:c r="J314" t="n">
        <x:v>7023372.28</x:v>
      </x:c>
    </x:row>
    <x:row r="315">
      <x:c r="A315" t="n">
        <x:v>2028</x:v>
      </x:c>
      <x:c r="B315" t="str">
        <x:v>May</x:v>
      </x:c>
      <x:c r="C315" t="str">
        <x:v>Week</x:v>
      </x:c>
      <x:c r="D315" t="str">
        <x:v>Heavy Goods</x:v>
      </x:c>
      <x:c r="E315" t="n">
        <x:v>546</x:v>
      </x:c>
      <x:c r="F315" t="n">
        <x:v>546</x:v>
      </x:c>
      <x:c r="G315" t="n">
        <x:v>500033.09</x:v>
      </x:c>
      <x:c r="H315" t="n">
        <x:v>1.008166</x:v>
      </x:c>
      <x:c r="I315" t="n">
        <x:v>0.973323</x:v>
      </x:c>
      <x:c r="J315" t="n">
        <x:v>3435231.75</x:v>
      </x:c>
    </x:row>
    <x:row r="316">
      <x:c r="A316" t="n">
        <x:v>2028</x:v>
      </x:c>
      <x:c r="B316" t="str">
        <x:v>May</x:v>
      </x:c>
      <x:c r="C316" t="str">
        <x:v>Week</x:v>
      </x:c>
      <x:c r="D316" t="str">
        <x:v>Other</x:v>
      </x:c>
      <x:c r="E316" t="n">
        <x:v>546</x:v>
      </x:c>
      <x:c r="F316" t="n">
        <x:v>36</x:v>
      </x:c>
      <x:c r="G316" t="n">
        <x:v>20285.72</x:v>
      </x:c>
      <x:c r="H316" t="n">
        <x:v>1.321117</x:v>
      </x:c>
      <x:c r="I316" t="n">
        <x:v>1</x:v>
      </x:c>
      <x:c r="J316" t="n">
        <x:v>187598.66</x:v>
      </x:c>
    </x:row>
    <x:row r="317">
      <x:c r="A317" t="n">
        <x:v>2028</x:v>
      </x:c>
      <x:c r="B317" t="str">
        <x:v>May</x:v>
      </x:c>
      <x:c r="C317" t="str">
        <x:v>Month</x:v>
      </x:c>
      <x:c r="D317" t="str">
        <x:v>Motorcycles</x:v>
      </x:c>
      <x:c r="E317" t="n">
        <x:v>546</x:v>
      </x:c>
      <x:c r="F317" t="n">
        <x:v>546</x:v>
      </x:c>
      <x:c r="G317" t="n">
        <x:v>8823394.52</x:v>
      </x:c>
      <x:c r="H317" t="n">
        <x:v>1.010765</x:v>
      </x:c>
      <x:c r="I317" t="n">
        <x:v>0.984658</x:v>
      </x:c>
      <x:c r="J317" t="n">
        <x:v>272263908.98</x:v>
      </x:c>
    </x:row>
    <x:row r="318">
      <x:c r="A318" t="n">
        <x:v>2028</x:v>
      </x:c>
      <x:c r="B318" t="str">
        <x:v>May</x:v>
      </x:c>
      <x:c r="C318" t="str">
        <x:v>Month</x:v>
      </x:c>
      <x:c r="D318" t="str">
        <x:v>Light Vehicles</x:v>
      </x:c>
      <x:c r="E318" t="n">
        <x:v>546</x:v>
      </x:c>
      <x:c r="F318" t="n">
        <x:v>546</x:v>
      </x:c>
      <x:c r="G318" t="n">
        <x:v>3709230.11</x:v>
      </x:c>
      <x:c r="H318" t="n">
        <x:v>1.007947</x:v>
      </x:c>
      <x:c r="I318" t="n">
        <x:v>0.988701</x:v>
      </x:c>
      <x:c r="J318" t="n">
        <x:v>114597662.88</x:v>
      </x:c>
    </x:row>
    <x:row r="319">
      <x:c r="A319" t="n">
        <x:v>2028</x:v>
      </x:c>
      <x:c r="B319" t="str">
        <x:v>May</x:v>
      </x:c>
      <x:c r="C319" t="str">
        <x:v>Month</x:v>
      </x:c>
      <x:c r="D319" t="str">
        <x:v>Buses</x:v>
      </x:c>
      <x:c r="E319" t="n">
        <x:v>546</x:v>
      </x:c>
      <x:c r="F319" t="n">
        <x:v>546</x:v>
      </x:c>
      <x:c r="G319" t="n">
        <x:v>1011756.15</x:v>
      </x:c>
      <x:c r="H319" t="n">
        <x:v>1.009283</x:v>
      </x:c>
      <x:c r="I319" t="n">
        <x:v>0.982438</x:v>
      </x:c>
      <x:c r="J319" t="n">
        <x:v>31103505.83</x:v>
      </x:c>
    </x:row>
    <x:row r="320">
      <x:c r="A320" t="n">
        <x:v>2028</x:v>
      </x:c>
      <x:c r="B320" t="str">
        <x:v>May</x:v>
      </x:c>
      <x:c r="C320" t="str">
        <x:v>Month</x:v>
      </x:c>
      <x:c r="D320" t="str">
        <x:v>Heavy Goods</x:v>
      </x:c>
      <x:c r="E320" t="n">
        <x:v>546</x:v>
      </x:c>
      <x:c r="F320" t="n">
        <x:v>546</x:v>
      </x:c>
      <x:c r="G320" t="n">
        <x:v>500033.09</x:v>
      </x:c>
      <x:c r="H320" t="n">
        <x:v>1.008166</x:v>
      </x:c>
      <x:c r="I320" t="n">
        <x:v>0.973323</x:v>
      </x:c>
      <x:c r="J320" t="n">
        <x:v>15213169.17</x:v>
      </x:c>
    </x:row>
    <x:row r="321">
      <x:c r="A321" t="n">
        <x:v>2028</x:v>
      </x:c>
      <x:c r="B321" t="str">
        <x:v>May</x:v>
      </x:c>
      <x:c r="C321" t="str">
        <x:v>Month</x:v>
      </x:c>
      <x:c r="D321" t="str">
        <x:v>Other</x:v>
      </x:c>
      <x:c r="E321" t="n">
        <x:v>546</x:v>
      </x:c>
      <x:c r="F321" t="n">
        <x:v>36</x:v>
      </x:c>
      <x:c r="G321" t="n">
        <x:v>20285.72</x:v>
      </x:c>
      <x:c r="H321" t="n">
        <x:v>1.321117</x:v>
      </x:c>
      <x:c r="I321" t="n">
        <x:v>1</x:v>
      </x:c>
      <x:c r="J321" t="n">
        <x:v>830794.09</x:v>
      </x:c>
    </x:row>
    <x:row r="322">
      <x:c r="A322" t="n">
        <x:v>2028</x:v>
      </x:c>
      <x:c r="B322" t="str">
        <x:v>May</x:v>
      </x:c>
      <x:c r="C322" t="str">
        <x:v>Year</x:v>
      </x:c>
      <x:c r="D322" t="str">
        <x:v>Motorcycles</x:v>
      </x:c>
      <x:c r="E322" t="n">
        <x:v>546</x:v>
      </x:c>
      <x:c r="F322" t="n">
        <x:v>546</x:v>
      </x:c>
      <x:c r="G322" t="n">
        <x:v>8823394.52</x:v>
      </x:c>
      <x:c r="H322" t="n">
        <x:v>1.010765</x:v>
      </x:c>
      <x:c r="I322" t="n">
        <x:v>0.984658</x:v>
      </x:c>
      <x:c r="J322" t="n">
        <x:v>3214470667.28</x:v>
      </x:c>
    </x:row>
    <x:row r="323">
      <x:c r="A323" t="n">
        <x:v>2028</x:v>
      </x:c>
      <x:c r="B323" t="str">
        <x:v>May</x:v>
      </x:c>
      <x:c r="C323" t="str">
        <x:v>Year</x:v>
      </x:c>
      <x:c r="D323" t="str">
        <x:v>Light Vehicles</x:v>
      </x:c>
      <x:c r="E323" t="n">
        <x:v>546</x:v>
      </x:c>
      <x:c r="F323" t="n">
        <x:v>546</x:v>
      </x:c>
      <x:c r="G323" t="n">
        <x:v>3709230.11</x:v>
      </x:c>
      <x:c r="H323" t="n">
        <x:v>1.007947</x:v>
      </x:c>
      <x:c r="I323" t="n">
        <x:v>0.988701</x:v>
      </x:c>
      <x:c r="J323" t="n">
        <x:v>1352991761.77</x:v>
      </x:c>
    </x:row>
    <x:row r="324">
      <x:c r="A324" t="n">
        <x:v>2028</x:v>
      </x:c>
      <x:c r="B324" t="str">
        <x:v>May</x:v>
      </x:c>
      <x:c r="C324" t="str">
        <x:v>Year</x:v>
      </x:c>
      <x:c r="D324" t="str">
        <x:v>Buses</x:v>
      </x:c>
      <x:c r="E324" t="n">
        <x:v>546</x:v>
      </x:c>
      <x:c r="F324" t="n">
        <x:v>546</x:v>
      </x:c>
      <x:c r="G324" t="n">
        <x:v>1011756.15</x:v>
      </x:c>
      <x:c r="H324" t="n">
        <x:v>1.009283</x:v>
      </x:c>
      <x:c r="I324" t="n">
        <x:v>0.982438</x:v>
      </x:c>
      <x:c r="J324" t="n">
        <x:v>367222036.57</x:v>
      </x:c>
    </x:row>
    <x:row r="325">
      <x:c r="A325" t="n">
        <x:v>2028</x:v>
      </x:c>
      <x:c r="B325" t="str">
        <x:v>May</x:v>
      </x:c>
      <x:c r="C325" t="str">
        <x:v>Year</x:v>
      </x:c>
      <x:c r="D325" t="str">
        <x:v>Heavy Goods</x:v>
      </x:c>
      <x:c r="E325" t="n">
        <x:v>546</x:v>
      </x:c>
      <x:c r="F325" t="n">
        <x:v>546</x:v>
      </x:c>
      <x:c r="G325" t="n">
        <x:v>500033.09</x:v>
      </x:c>
      <x:c r="H325" t="n">
        <x:v>1.008166</x:v>
      </x:c>
      <x:c r="I325" t="n">
        <x:v>0.973323</x:v>
      </x:c>
      <x:c r="J325" t="n">
        <x:v>179613545.72</x:v>
      </x:c>
    </x:row>
    <x:row r="326">
      <x:c r="A326" t="n">
        <x:v>2028</x:v>
      </x:c>
      <x:c r="B326" t="str">
        <x:v>May</x:v>
      </x:c>
      <x:c r="C326" t="str">
        <x:v>Year</x:v>
      </x:c>
      <x:c r="D326" t="str">
        <x:v>Other</x:v>
      </x:c>
      <x:c r="E326" t="n">
        <x:v>546</x:v>
      </x:c>
      <x:c r="F326" t="n">
        <x:v>36</x:v>
      </x:c>
      <x:c r="G326" t="n">
        <x:v>20285.72</x:v>
      </x:c>
      <x:c r="H326" t="n">
        <x:v>1.321117</x:v>
      </x:c>
      <x:c r="I326" t="n">
        <x:v>1</x:v>
      </x:c>
      <x:c r="J326" t="n">
        <x:v>9808730.2</x:v>
      </x:c>
    </x:row>
    <x:row r="327">
      <x:c r="A327" t="n">
        <x:v>2029</x:v>
      </x:c>
      <x:c r="B327" t="str">
        <x:v>May</x:v>
      </x:c>
      <x:c r="C327" t="str">
        <x:v>Hour</x:v>
      </x:c>
      <x:c r="D327" t="str">
        <x:v>Motorcycles</x:v>
      </x:c>
      <x:c r="E327" t="n">
        <x:v>546</x:v>
      </x:c>
      <x:c r="F327" t="n">
        <x:v>546</x:v>
      </x:c>
      <x:c r="G327" t="n">
        <x:v>8823394.52</x:v>
      </x:c>
      <x:c r="H327" t="n">
        <x:v>1.0137</x:v>
      </x:c>
      <x:c r="I327" t="n">
        <x:v>0.984658</x:v>
      </x:c>
      <x:c r="J327" t="n">
        <x:v>367018.62</x:v>
      </x:c>
    </x:row>
    <x:row r="328">
      <x:c r="A328" t="n">
        <x:v>2029</x:v>
      </x:c>
      <x:c r="B328" t="str">
        <x:v>May</x:v>
      </x:c>
      <x:c r="C328" t="str">
        <x:v>Hour</x:v>
      </x:c>
      <x:c r="D328" t="str">
        <x:v>Light Vehicles</x:v>
      </x:c>
      <x:c r="E328" t="n">
        <x:v>546</x:v>
      </x:c>
      <x:c r="F328" t="n">
        <x:v>546</x:v>
      </x:c>
      <x:c r="G328" t="n">
        <x:v>3709230.11</x:v>
      </x:c>
      <x:c r="H328" t="n">
        <x:v>1.010138</x:v>
      </x:c>
      <x:c r="I328" t="n">
        <x:v>0.988701</x:v>
      </x:c>
      <x:c r="J328" t="n">
        <x:v>154365.62</x:v>
      </x:c>
    </x:row>
    <x:row r="329">
      <x:c r="A329" t="n">
        <x:v>2029</x:v>
      </x:c>
      <x:c r="B329" t="str">
        <x:v>May</x:v>
      </x:c>
      <x:c r="C329" t="str">
        <x:v>Hour</x:v>
      </x:c>
      <x:c r="D329" t="str">
        <x:v>Buses</x:v>
      </x:c>
      <x:c r="E329" t="n">
        <x:v>546</x:v>
      </x:c>
      <x:c r="F329" t="n">
        <x:v>546</x:v>
      </x:c>
      <x:c r="G329" t="n">
        <x:v>1011756.15</x:v>
      </x:c>
      <x:c r="H329" t="n">
        <x:v>1.011891</x:v>
      </x:c>
      <x:c r="I329" t="n">
        <x:v>0.982438</x:v>
      </x:c>
      <x:c r="J329" t="n">
        <x:v>41914.87</x:v>
      </x:c>
    </x:row>
    <x:row r="330">
      <x:c r="A330" t="n">
        <x:v>2029</x:v>
      </x:c>
      <x:c r="B330" t="str">
        <x:v>May</x:v>
      </x:c>
      <x:c r="C330" t="str">
        <x:v>Hour</x:v>
      </x:c>
      <x:c r="D330" t="str">
        <x:v>Heavy Goods</x:v>
      </x:c>
      <x:c r="E330" t="n">
        <x:v>546</x:v>
      </x:c>
      <x:c r="F330" t="n">
        <x:v>546</x:v>
      </x:c>
      <x:c r="G330" t="n">
        <x:v>500033.09</x:v>
      </x:c>
      <x:c r="H330" t="n">
        <x:v>1.010591</x:v>
      </x:c>
      <x:c r="I330" t="n">
        <x:v>0.973323</x:v>
      </x:c>
      <x:c r="J330" t="n">
        <x:v>20497.7</x:v>
      </x:c>
    </x:row>
    <x:row r="331">
      <x:c r="A331" t="n">
        <x:v>2029</x:v>
      </x:c>
      <x:c r="B331" t="str">
        <x:v>May</x:v>
      </x:c>
      <x:c r="C331" t="str">
        <x:v>Hour</x:v>
      </x:c>
      <x:c r="D331" t="str">
        <x:v>Other</x:v>
      </x:c>
      <x:c r="E331" t="n">
        <x:v>546</x:v>
      </x:c>
      <x:c r="F331" t="n">
        <x:v>36</x:v>
      </x:c>
      <x:c r="G331" t="n">
        <x:v>20285.72</x:v>
      </x:c>
      <x:c r="H331" t="n">
        <x:v>1.40161</x:v>
      </x:c>
      <x:c r="I331" t="n">
        <x:v>1</x:v>
      </x:c>
      <x:c r="J331" t="n">
        <x:v>1184.69</x:v>
      </x:c>
    </x:row>
    <x:row r="332">
      <x:c r="A332" t="n">
        <x:v>2029</x:v>
      </x:c>
      <x:c r="B332" t="str">
        <x:v>May</x:v>
      </x:c>
      <x:c r="C332" t="str">
        <x:v>Day</x:v>
      </x:c>
      <x:c r="D332" t="str">
        <x:v>Motorcycles</x:v>
      </x:c>
      <x:c r="E332" t="n">
        <x:v>546</x:v>
      </x:c>
      <x:c r="F332" t="n">
        <x:v>546</x:v>
      </x:c>
      <x:c r="G332" t="n">
        <x:v>8823394.52</x:v>
      </x:c>
      <x:c r="H332" t="n">
        <x:v>1.0137</x:v>
      </x:c>
      <x:c r="I332" t="n">
        <x:v>0.984658</x:v>
      </x:c>
      <x:c r="J332" t="n">
        <x:v>8808446.94</x:v>
      </x:c>
    </x:row>
    <x:row r="333">
      <x:c r="A333" t="n">
        <x:v>2029</x:v>
      </x:c>
      <x:c r="B333" t="str">
        <x:v>May</x:v>
      </x:c>
      <x:c r="C333" t="str">
        <x:v>Day</x:v>
      </x:c>
      <x:c r="D333" t="str">
        <x:v>Light Vehicles</x:v>
      </x:c>
      <x:c r="E333" t="n">
        <x:v>546</x:v>
      </x:c>
      <x:c r="F333" t="n">
        <x:v>546</x:v>
      </x:c>
      <x:c r="G333" t="n">
        <x:v>3709230.11</x:v>
      </x:c>
      <x:c r="H333" t="n">
        <x:v>1.010138</x:v>
      </x:c>
      <x:c r="I333" t="n">
        <x:v>0.988701</x:v>
      </x:c>
      <x:c r="J333" t="n">
        <x:v>3704774.79</x:v>
      </x:c>
    </x:row>
    <x:row r="334">
      <x:c r="A334" t="n">
        <x:v>2029</x:v>
      </x:c>
      <x:c r="B334" t="str">
        <x:v>May</x:v>
      </x:c>
      <x:c r="C334" t="str">
        <x:v>Day</x:v>
      </x:c>
      <x:c r="D334" t="str">
        <x:v>Buses</x:v>
      </x:c>
      <x:c r="E334" t="n">
        <x:v>546</x:v>
      </x:c>
      <x:c r="F334" t="n">
        <x:v>546</x:v>
      </x:c>
      <x:c r="G334" t="n">
        <x:v>1011756.15</x:v>
      </x:c>
      <x:c r="H334" t="n">
        <x:v>1.011891</x:v>
      </x:c>
      <x:c r="I334" t="n">
        <x:v>0.982438</x:v>
      </x:c>
      <x:c r="J334" t="n">
        <x:v>1005956.91</x:v>
      </x:c>
    </x:row>
    <x:row r="335">
      <x:c r="A335" t="n">
        <x:v>2029</x:v>
      </x:c>
      <x:c r="B335" t="str">
        <x:v>May</x:v>
      </x:c>
      <x:c r="C335" t="str">
        <x:v>Day</x:v>
      </x:c>
      <x:c r="D335" t="str">
        <x:v>Heavy Goods</x:v>
      </x:c>
      <x:c r="E335" t="n">
        <x:v>546</x:v>
      </x:c>
      <x:c r="F335" t="n">
        <x:v>546</x:v>
      </x:c>
      <x:c r="G335" t="n">
        <x:v>500033.09</x:v>
      </x:c>
      <x:c r="H335" t="n">
        <x:v>1.010591</x:v>
      </x:c>
      <x:c r="I335" t="n">
        <x:v>0.973323</x:v>
      </x:c>
      <x:c r="J335" t="n">
        <x:v>491944.77</x:v>
      </x:c>
    </x:row>
    <x:row r="336">
      <x:c r="A336" t="n">
        <x:v>2029</x:v>
      </x:c>
      <x:c r="B336" t="str">
        <x:v>May</x:v>
      </x:c>
      <x:c r="C336" t="str">
        <x:v>Day</x:v>
      </x:c>
      <x:c r="D336" t="str">
        <x:v>Other</x:v>
      </x:c>
      <x:c r="E336" t="n">
        <x:v>546</x:v>
      </x:c>
      <x:c r="F336" t="n">
        <x:v>36</x:v>
      </x:c>
      <x:c r="G336" t="n">
        <x:v>20285.72</x:v>
      </x:c>
      <x:c r="H336" t="n">
        <x:v>1.40161</x:v>
      </x:c>
      <x:c r="I336" t="n">
        <x:v>1</x:v>
      </x:c>
      <x:c r="J336" t="n">
        <x:v>28432.66</x:v>
      </x:c>
    </x:row>
    <x:row r="337">
      <x:c r="A337" t="n">
        <x:v>2029</x:v>
      </x:c>
      <x:c r="B337" t="str">
        <x:v>May</x:v>
      </x:c>
      <x:c r="C337" t="str">
        <x:v>Week</x:v>
      </x:c>
      <x:c r="D337" t="str">
        <x:v>Motorcycles</x:v>
      </x:c>
      <x:c r="E337" t="n">
        <x:v>546</x:v>
      </x:c>
      <x:c r="F337" t="n">
        <x:v>546</x:v>
      </x:c>
      <x:c r="G337" t="n">
        <x:v>8823394.52</x:v>
      </x:c>
      <x:c r="H337" t="n">
        <x:v>1.0137</x:v>
      </x:c>
      <x:c r="I337" t="n">
        <x:v>0.984658</x:v>
      </x:c>
      <x:c r="J337" t="n">
        <x:v>61659128.59</x:v>
      </x:c>
    </x:row>
    <x:row r="338">
      <x:c r="A338" t="n">
        <x:v>2029</x:v>
      </x:c>
      <x:c r="B338" t="str">
        <x:v>May</x:v>
      </x:c>
      <x:c r="C338" t="str">
        <x:v>Week</x:v>
      </x:c>
      <x:c r="D338" t="str">
        <x:v>Light Vehicles</x:v>
      </x:c>
      <x:c r="E338" t="n">
        <x:v>546</x:v>
      </x:c>
      <x:c r="F338" t="n">
        <x:v>546</x:v>
      </x:c>
      <x:c r="G338" t="n">
        <x:v>3709230.11</x:v>
      </x:c>
      <x:c r="H338" t="n">
        <x:v>1.010138</x:v>
      </x:c>
      <x:c r="I338" t="n">
        <x:v>0.988701</x:v>
      </x:c>
      <x:c r="J338" t="n">
        <x:v>25933423.5</x:v>
      </x:c>
    </x:row>
    <x:row r="339">
      <x:c r="A339" t="n">
        <x:v>2029</x:v>
      </x:c>
      <x:c r="B339" t="str">
        <x:v>May</x:v>
      </x:c>
      <x:c r="C339" t="str">
        <x:v>Week</x:v>
      </x:c>
      <x:c r="D339" t="str">
        <x:v>Buses</x:v>
      </x:c>
      <x:c r="E339" t="n">
        <x:v>546</x:v>
      </x:c>
      <x:c r="F339" t="n">
        <x:v>546</x:v>
      </x:c>
      <x:c r="G339" t="n">
        <x:v>1011756.15</x:v>
      </x:c>
      <x:c r="H339" t="n">
        <x:v>1.011891</x:v>
      </x:c>
      <x:c r="I339" t="n">
        <x:v>0.982438</x:v>
      </x:c>
      <x:c r="J339" t="n">
        <x:v>7041698.37</x:v>
      </x:c>
    </x:row>
    <x:row r="340">
      <x:c r="A340" t="n">
        <x:v>2029</x:v>
      </x:c>
      <x:c r="B340" t="str">
        <x:v>May</x:v>
      </x:c>
      <x:c r="C340" t="str">
        <x:v>Week</x:v>
      </x:c>
      <x:c r="D340" t="str">
        <x:v>Heavy Goods</x:v>
      </x:c>
      <x:c r="E340" t="n">
        <x:v>546</x:v>
      </x:c>
      <x:c r="F340" t="n">
        <x:v>546</x:v>
      </x:c>
      <x:c r="G340" t="n">
        <x:v>500033.09</x:v>
      </x:c>
      <x:c r="H340" t="n">
        <x:v>1.010591</x:v>
      </x:c>
      <x:c r="I340" t="n">
        <x:v>0.973323</x:v>
      </x:c>
      <x:c r="J340" t="n">
        <x:v>3443613.36</x:v>
      </x:c>
    </x:row>
    <x:row r="341">
      <x:c r="A341" t="n">
        <x:v>2029</x:v>
      </x:c>
      <x:c r="B341" t="str">
        <x:v>May</x:v>
      </x:c>
      <x:c r="C341" t="str">
        <x:v>Week</x:v>
      </x:c>
      <x:c r="D341" t="str">
        <x:v>Other</x:v>
      </x:c>
      <x:c r="E341" t="n">
        <x:v>546</x:v>
      </x:c>
      <x:c r="F341" t="n">
        <x:v>36</x:v>
      </x:c>
      <x:c r="G341" t="n">
        <x:v>20285.72</x:v>
      </x:c>
      <x:c r="H341" t="n">
        <x:v>1.40161</x:v>
      </x:c>
      <x:c r="I341" t="n">
        <x:v>1</x:v>
      </x:c>
      <x:c r="J341" t="n">
        <x:v>199028.63</x:v>
      </x:c>
    </x:row>
    <x:row r="342">
      <x:c r="A342" t="n">
        <x:v>2029</x:v>
      </x:c>
      <x:c r="B342" t="str">
        <x:v>May</x:v>
      </x:c>
      <x:c r="C342" t="str">
        <x:v>Month</x:v>
      </x:c>
      <x:c r="D342" t="str">
        <x:v>Motorcycles</x:v>
      </x:c>
      <x:c r="E342" t="n">
        <x:v>546</x:v>
      </x:c>
      <x:c r="F342" t="n">
        <x:v>546</x:v>
      </x:c>
      <x:c r="G342" t="n">
        <x:v>8823394.52</x:v>
      </x:c>
      <x:c r="H342" t="n">
        <x:v>1.0137</x:v>
      </x:c>
      <x:c r="I342" t="n">
        <x:v>0.984658</x:v>
      </x:c>
      <x:c r="J342" t="n">
        <x:v>273061855.17</x:v>
      </x:c>
    </x:row>
    <x:row r="343">
      <x:c r="A343" t="n">
        <x:v>2029</x:v>
      </x:c>
      <x:c r="B343" t="str">
        <x:v>May</x:v>
      </x:c>
      <x:c r="C343" t="str">
        <x:v>Month</x:v>
      </x:c>
      <x:c r="D343" t="str">
        <x:v>Light Vehicles</x:v>
      </x:c>
      <x:c r="E343" t="n">
        <x:v>546</x:v>
      </x:c>
      <x:c r="F343" t="n">
        <x:v>546</x:v>
      </x:c>
      <x:c r="G343" t="n">
        <x:v>3709230.11</x:v>
      </x:c>
      <x:c r="H343" t="n">
        <x:v>1.010138</x:v>
      </x:c>
      <x:c r="I343" t="n">
        <x:v>0.988701</x:v>
      </x:c>
      <x:c r="J343" t="n">
        <x:v>114848018.36</x:v>
      </x:c>
    </x:row>
    <x:row r="344">
      <x:c r="A344" t="n">
        <x:v>2029</x:v>
      </x:c>
      <x:c r="B344" t="str">
        <x:v>May</x:v>
      </x:c>
      <x:c r="C344" t="str">
        <x:v>Month</x:v>
      </x:c>
      <x:c r="D344" t="str">
        <x:v>Buses</x:v>
      </x:c>
      <x:c r="E344" t="n">
        <x:v>546</x:v>
      </x:c>
      <x:c r="F344" t="n">
        <x:v>546</x:v>
      </x:c>
      <x:c r="G344" t="n">
        <x:v>1011756.15</x:v>
      </x:c>
      <x:c r="H344" t="n">
        <x:v>1.011891</x:v>
      </x:c>
      <x:c r="I344" t="n">
        <x:v>0.982438</x:v>
      </x:c>
      <x:c r="J344" t="n">
        <x:v>31184664.21</x:v>
      </x:c>
    </x:row>
    <x:row r="345">
      <x:c r="A345" t="n">
        <x:v>2029</x:v>
      </x:c>
      <x:c r="B345" t="str">
        <x:v>May</x:v>
      </x:c>
      <x:c r="C345" t="str">
        <x:v>Month</x:v>
      </x:c>
      <x:c r="D345" t="str">
        <x:v>Heavy Goods</x:v>
      </x:c>
      <x:c r="E345" t="n">
        <x:v>546</x:v>
      </x:c>
      <x:c r="F345" t="n">
        <x:v>546</x:v>
      </x:c>
      <x:c r="G345" t="n">
        <x:v>500033.09</x:v>
      </x:c>
      <x:c r="H345" t="n">
        <x:v>1.010591</x:v>
      </x:c>
      <x:c r="I345" t="n">
        <x:v>0.973323</x:v>
      </x:c>
      <x:c r="J345" t="n">
        <x:v>15250287.74</x:v>
      </x:c>
    </x:row>
    <x:row r="346">
      <x:c r="A346" t="n">
        <x:v>2029</x:v>
      </x:c>
      <x:c r="B346" t="str">
        <x:v>May</x:v>
      </x:c>
      <x:c r="C346" t="str">
        <x:v>Month</x:v>
      </x:c>
      <x:c r="D346" t="str">
        <x:v>Other</x:v>
      </x:c>
      <x:c r="E346" t="n">
        <x:v>546</x:v>
      </x:c>
      <x:c r="F346" t="n">
        <x:v>36</x:v>
      </x:c>
      <x:c r="G346" t="n">
        <x:v>20285.72</x:v>
      </x:c>
      <x:c r="H346" t="n">
        <x:v>1.40161</x:v>
      </x:c>
      <x:c r="I346" t="n">
        <x:v>1</x:v>
      </x:c>
      <x:c r="J346" t="n">
        <x:v>881412.5</x:v>
      </x:c>
    </x:row>
    <x:row r="347">
      <x:c r="A347" t="n">
        <x:v>2029</x:v>
      </x:c>
      <x:c r="B347" t="str">
        <x:v>May</x:v>
      </x:c>
      <x:c r="C347" t="str">
        <x:v>Year</x:v>
      </x:c>
      <x:c r="D347" t="str">
        <x:v>Motorcycles</x:v>
      </x:c>
      <x:c r="E347" t="n">
        <x:v>546</x:v>
      </x:c>
      <x:c r="F347" t="n">
        <x:v>546</x:v>
      </x:c>
      <x:c r="G347" t="n">
        <x:v>8823394.52</x:v>
      </x:c>
      <x:c r="H347" t="n">
        <x:v>1.0137</x:v>
      </x:c>
      <x:c r="I347" t="n">
        <x:v>0.984658</x:v>
      </x:c>
      <x:c r="J347" t="n">
        <x:v>3215083133.4</x:v>
      </x:c>
    </x:row>
    <x:row r="348">
      <x:c r="A348" t="n">
        <x:v>2029</x:v>
      </x:c>
      <x:c r="B348" t="str">
        <x:v>May</x:v>
      </x:c>
      <x:c r="C348" t="str">
        <x:v>Year</x:v>
      </x:c>
      <x:c r="D348" t="str">
        <x:v>Light Vehicles</x:v>
      </x:c>
      <x:c r="E348" t="n">
        <x:v>546</x:v>
      </x:c>
      <x:c r="F348" t="n">
        <x:v>546</x:v>
      </x:c>
      <x:c r="G348" t="n">
        <x:v>3709230.11</x:v>
      </x:c>
      <x:c r="H348" t="n">
        <x:v>1.010138</x:v>
      </x:c>
      <x:c r="I348" t="n">
        <x:v>0.988701</x:v>
      </x:c>
      <x:c r="J348" t="n">
        <x:v>1352242796.78</x:v>
      </x:c>
    </x:row>
    <x:row r="349">
      <x:c r="A349" t="n">
        <x:v>2029</x:v>
      </x:c>
      <x:c r="B349" t="str">
        <x:v>May</x:v>
      </x:c>
      <x:c r="C349" t="str">
        <x:v>Year</x:v>
      </x:c>
      <x:c r="D349" t="str">
        <x:v>Buses</x:v>
      </x:c>
      <x:c r="E349" t="n">
        <x:v>546</x:v>
      </x:c>
      <x:c r="F349" t="n">
        <x:v>546</x:v>
      </x:c>
      <x:c r="G349" t="n">
        <x:v>1011756.15</x:v>
      </x:c>
      <x:c r="H349" t="n">
        <x:v>1.011891</x:v>
      </x:c>
      <x:c r="I349" t="n">
        <x:v>0.982438</x:v>
      </x:c>
      <x:c r="J349" t="n">
        <x:v>367174272.18</x:v>
      </x:c>
    </x:row>
    <x:row r="350">
      <x:c r="A350" t="n">
        <x:v>2029</x:v>
      </x:c>
      <x:c r="B350" t="str">
        <x:v>May</x:v>
      </x:c>
      <x:c r="C350" t="str">
        <x:v>Year</x:v>
      </x:c>
      <x:c r="D350" t="str">
        <x:v>Heavy Goods</x:v>
      </x:c>
      <x:c r="E350" t="n">
        <x:v>546</x:v>
      </x:c>
      <x:c r="F350" t="n">
        <x:v>546</x:v>
      </x:c>
      <x:c r="G350" t="n">
        <x:v>500033.09</x:v>
      </x:c>
      <x:c r="H350" t="n">
        <x:v>1.010591</x:v>
      </x:c>
      <x:c r="I350" t="n">
        <x:v>0.973323</x:v>
      </x:c>
      <x:c r="J350" t="n">
        <x:v>179559839.48</x:v>
      </x:c>
    </x:row>
    <x:row r="351">
      <x:c r="A351" t="n">
        <x:v>2029</x:v>
      </x:c>
      <x:c r="B351" t="str">
        <x:v>May</x:v>
      </x:c>
      <x:c r="C351" t="str">
        <x:v>Year</x:v>
      </x:c>
      <x:c r="D351" t="str">
        <x:v>Other</x:v>
      </x:c>
      <x:c r="E351" t="n">
        <x:v>546</x:v>
      </x:c>
      <x:c r="F351" t="n">
        <x:v>36</x:v>
      </x:c>
      <x:c r="G351" t="n">
        <x:v>20285.72</x:v>
      </x:c>
      <x:c r="H351" t="n">
        <x:v>1.40161</x:v>
      </x:c>
      <x:c r="I351" t="n">
        <x:v>1</x:v>
      </x:c>
      <x:c r="J351" t="n">
        <x:v>10377921.35</x:v>
      </x:c>
    </x:row>
    <x:row r="352">
      <x:c r="A352" t="n">
        <x:v>2030</x:v>
      </x:c>
      <x:c r="B352" t="str">
        <x:v>May</x:v>
      </x:c>
      <x:c r="C352" t="str">
        <x:v>Hour</x:v>
      </x:c>
      <x:c r="D352" t="str">
        <x:v>Motorcycles</x:v>
      </x:c>
      <x:c r="E352" t="n">
        <x:v>546</x:v>
      </x:c>
      <x:c r="F352" t="n">
        <x:v>546</x:v>
      </x:c>
      <x:c r="G352" t="n">
        <x:v>8823394.52</x:v>
      </x:c>
      <x:c r="H352" t="n">
        <x:v>1.016747</x:v>
      </x:c>
      <x:c r="I352" t="n">
        <x:v>0.984658</x:v>
      </x:c>
      <x:c r="J352" t="n">
        <x:v>368132.66</x:v>
      </x:c>
    </x:row>
    <x:row r="353">
      <x:c r="A353" t="n">
        <x:v>2030</x:v>
      </x:c>
      <x:c r="B353" t="str">
        <x:v>May</x:v>
      </x:c>
      <x:c r="C353" t="str">
        <x:v>Hour</x:v>
      </x:c>
      <x:c r="D353" t="str">
        <x:v>Light Vehicles</x:v>
      </x:c>
      <x:c r="E353" t="n">
        <x:v>546</x:v>
      </x:c>
      <x:c r="F353" t="n">
        <x:v>546</x:v>
      </x:c>
      <x:c r="G353" t="n">
        <x:v>3709230.11</x:v>
      </x:c>
      <x:c r="H353" t="n">
        <x:v>1.012377</x:v>
      </x:c>
      <x:c r="I353" t="n">
        <x:v>0.988701</x:v>
      </x:c>
      <x:c r="J353" t="n">
        <x:v>154709.64</x:v>
      </x:c>
    </x:row>
    <x:row r="354">
      <x:c r="A354" t="n">
        <x:v>2030</x:v>
      </x:c>
      <x:c r="B354" t="str">
        <x:v>May</x:v>
      </x:c>
      <x:c r="C354" t="str">
        <x:v>Hour</x:v>
      </x:c>
      <x:c r="D354" t="str">
        <x:v>Buses</x:v>
      </x:c>
      <x:c r="E354" t="n">
        <x:v>546</x:v>
      </x:c>
      <x:c r="F354" t="n">
        <x:v>546</x:v>
      </x:c>
      <x:c r="G354" t="n">
        <x:v>1011756.15</x:v>
      </x:c>
      <x:c r="H354" t="n">
        <x:v>1.014587</x:v>
      </x:c>
      <x:c r="I354" t="n">
        <x:v>0.982438</x:v>
      </x:c>
      <x:c r="J354" t="n">
        <x:v>42027.68</x:v>
      </x:c>
    </x:row>
    <x:row r="355">
      <x:c r="A355" t="n">
        <x:v>2030</x:v>
      </x:c>
      <x:c r="B355" t="str">
        <x:v>May</x:v>
      </x:c>
      <x:c r="C355" t="str">
        <x:v>Hour</x:v>
      </x:c>
      <x:c r="D355" t="str">
        <x:v>Heavy Goods</x:v>
      </x:c>
      <x:c r="E355" t="n">
        <x:v>546</x:v>
      </x:c>
      <x:c r="F355" t="n">
        <x:v>546</x:v>
      </x:c>
      <x:c r="G355" t="n">
        <x:v>500033.09</x:v>
      </x:c>
      <x:c r="H355" t="n">
        <x:v>1.013097</x:v>
      </x:c>
      <x:c r="I355" t="n">
        <x:v>0.973323</x:v>
      </x:c>
      <x:c r="J355" t="n">
        <x:v>20549.3</x:v>
      </x:c>
    </x:row>
    <x:row r="356">
      <x:c r="A356" t="n">
        <x:v>2030</x:v>
      </x:c>
      <x:c r="B356" t="str">
        <x:v>May</x:v>
      </x:c>
      <x:c r="C356" t="str">
        <x:v>Hour</x:v>
      </x:c>
      <x:c r="D356" t="str">
        <x:v>Other</x:v>
      </x:c>
      <x:c r="E356" t="n">
        <x:v>546</x:v>
      </x:c>
      <x:c r="F356" t="n">
        <x:v>36</x:v>
      </x:c>
      <x:c r="G356" t="n">
        <x:v>20285.72</x:v>
      </x:c>
      <x:c r="H356" t="n">
        <x:v>1.488504</x:v>
      </x:c>
      <x:c r="I356" t="n">
        <x:v>1</x:v>
      </x:c>
      <x:c r="J356" t="n">
        <x:v>1258.14</x:v>
      </x:c>
    </x:row>
    <x:row r="357">
      <x:c r="A357" t="n">
        <x:v>2030</x:v>
      </x:c>
      <x:c r="B357" t="str">
        <x:v>May</x:v>
      </x:c>
      <x:c r="C357" t="str">
        <x:v>Day</x:v>
      </x:c>
      <x:c r="D357" t="str">
        <x:v>Motorcycles</x:v>
      </x:c>
      <x:c r="E357" t="n">
        <x:v>546</x:v>
      </x:c>
      <x:c r="F357" t="n">
        <x:v>546</x:v>
      </x:c>
      <x:c r="G357" t="n">
        <x:v>8823394.52</x:v>
      </x:c>
      <x:c r="H357" t="n">
        <x:v>1.016747</x:v>
      </x:c>
      <x:c r="I357" t="n">
        <x:v>0.984658</x:v>
      </x:c>
      <x:c r="J357" t="n">
        <x:v>8835183.83</x:v>
      </x:c>
    </x:row>
    <x:row r="358">
      <x:c r="A358" t="n">
        <x:v>2030</x:v>
      </x:c>
      <x:c r="B358" t="str">
        <x:v>May</x:v>
      </x:c>
      <x:c r="C358" t="str">
        <x:v>Day</x:v>
      </x:c>
      <x:c r="D358" t="str">
        <x:v>Light Vehicles</x:v>
      </x:c>
      <x:c r="E358" t="n">
        <x:v>546</x:v>
      </x:c>
      <x:c r="F358" t="n">
        <x:v>546</x:v>
      </x:c>
      <x:c r="G358" t="n">
        <x:v>3709230.11</x:v>
      </x:c>
      <x:c r="H358" t="n">
        <x:v>1.012377</x:v>
      </x:c>
      <x:c r="I358" t="n">
        <x:v>0.988701</x:v>
      </x:c>
      <x:c r="J358" t="n">
        <x:v>3713031.32</x:v>
      </x:c>
    </x:row>
    <x:row r="359">
      <x:c r="A359" t="n">
        <x:v>2030</x:v>
      </x:c>
      <x:c r="B359" t="str">
        <x:v>May</x:v>
      </x:c>
      <x:c r="C359" t="str">
        <x:v>Day</x:v>
      </x:c>
      <x:c r="D359" t="str">
        <x:v>Buses</x:v>
      </x:c>
      <x:c r="E359" t="n">
        <x:v>546</x:v>
      </x:c>
      <x:c r="F359" t="n">
        <x:v>546</x:v>
      </x:c>
      <x:c r="G359" t="n">
        <x:v>1011756.15</x:v>
      </x:c>
      <x:c r="H359" t="n">
        <x:v>1.014587</x:v>
      </x:c>
      <x:c r="I359" t="n">
        <x:v>0.982438</x:v>
      </x:c>
      <x:c r="J359" t="n">
        <x:v>1008664.24</x:v>
      </x:c>
    </x:row>
    <x:row r="360">
      <x:c r="A360" t="n">
        <x:v>2030</x:v>
      </x:c>
      <x:c r="B360" t="str">
        <x:v>May</x:v>
      </x:c>
      <x:c r="C360" t="str">
        <x:v>Day</x:v>
      </x:c>
      <x:c r="D360" t="str">
        <x:v>Heavy Goods</x:v>
      </x:c>
      <x:c r="E360" t="n">
        <x:v>546</x:v>
      </x:c>
      <x:c r="F360" t="n">
        <x:v>546</x:v>
      </x:c>
      <x:c r="G360" t="n">
        <x:v>500033.09</x:v>
      </x:c>
      <x:c r="H360" t="n">
        <x:v>1.013097</x:v>
      </x:c>
      <x:c r="I360" t="n">
        <x:v>0.973323</x:v>
      </x:c>
      <x:c r="J360" t="n">
        <x:v>493183.28</x:v>
      </x:c>
    </x:row>
    <x:row r="361">
      <x:c r="A361" t="n">
        <x:v>2030</x:v>
      </x:c>
      <x:c r="B361" t="str">
        <x:v>May</x:v>
      </x:c>
      <x:c r="C361" t="str">
        <x:v>Day</x:v>
      </x:c>
      <x:c r="D361" t="str">
        <x:v>Other</x:v>
      </x:c>
      <x:c r="E361" t="n">
        <x:v>546</x:v>
      </x:c>
      <x:c r="F361" t="n">
        <x:v>36</x:v>
      </x:c>
      <x:c r="G361" t="n">
        <x:v>20285.72</x:v>
      </x:c>
      <x:c r="H361" t="n">
        <x:v>1.488504</x:v>
      </x:c>
      <x:c r="I361" t="n">
        <x:v>1</x:v>
      </x:c>
      <x:c r="J361" t="n">
        <x:v>30195.37</x:v>
      </x:c>
    </x:row>
    <x:row r="362">
      <x:c r="A362" t="n">
        <x:v>2030</x:v>
      </x:c>
      <x:c r="B362" t="str">
        <x:v>May</x:v>
      </x:c>
      <x:c r="C362" t="str">
        <x:v>Week</x:v>
      </x:c>
      <x:c r="D362" t="str">
        <x:v>Motorcycles</x:v>
      </x:c>
      <x:c r="E362" t="n">
        <x:v>546</x:v>
      </x:c>
      <x:c r="F362" t="n">
        <x:v>546</x:v>
      </x:c>
      <x:c r="G362" t="n">
        <x:v>8823394.52</x:v>
      </x:c>
      <x:c r="H362" t="n">
        <x:v>1.016747</x:v>
      </x:c>
      <x:c r="I362" t="n">
        <x:v>0.984658</x:v>
      </x:c>
      <x:c r="J362" t="n">
        <x:v>61846286.78</x:v>
      </x:c>
    </x:row>
    <x:row r="363">
      <x:c r="A363" t="n">
        <x:v>2030</x:v>
      </x:c>
      <x:c r="B363" t="str">
        <x:v>May</x:v>
      </x:c>
      <x:c r="C363" t="str">
        <x:v>Week</x:v>
      </x:c>
      <x:c r="D363" t="str">
        <x:v>Light Vehicles</x:v>
      </x:c>
      <x:c r="E363" t="n">
        <x:v>546</x:v>
      </x:c>
      <x:c r="F363" t="n">
        <x:v>546</x:v>
      </x:c>
      <x:c r="G363" t="n">
        <x:v>3709230.11</x:v>
      </x:c>
      <x:c r="H363" t="n">
        <x:v>1.012377</x:v>
      </x:c>
      <x:c r="I363" t="n">
        <x:v>0.988701</x:v>
      </x:c>
      <x:c r="J363" t="n">
        <x:v>25991219.21</x:v>
      </x:c>
    </x:row>
    <x:row r="364">
      <x:c r="A364" t="n">
        <x:v>2030</x:v>
      </x:c>
      <x:c r="B364" t="str">
        <x:v>May</x:v>
      </x:c>
      <x:c r="C364" t="str">
        <x:v>Week</x:v>
      </x:c>
      <x:c r="D364" t="str">
        <x:v>Buses</x:v>
      </x:c>
      <x:c r="E364" t="n">
        <x:v>546</x:v>
      </x:c>
      <x:c r="F364" t="n">
        <x:v>546</x:v>
      </x:c>
      <x:c r="G364" t="n">
        <x:v>1011756.15</x:v>
      </x:c>
      <x:c r="H364" t="n">
        <x:v>1.014587</x:v>
      </x:c>
      <x:c r="I364" t="n">
        <x:v>0.982438</x:v>
      </x:c>
      <x:c r="J364" t="n">
        <x:v>7060649.7</x:v>
      </x:c>
    </x:row>
    <x:row r="365">
      <x:c r="A365" t="n">
        <x:v>2030</x:v>
      </x:c>
      <x:c r="B365" t="str">
        <x:v>May</x:v>
      </x:c>
      <x:c r="C365" t="str">
        <x:v>Week</x:v>
      </x:c>
      <x:c r="D365" t="str">
        <x:v>Heavy Goods</x:v>
      </x:c>
      <x:c r="E365" t="n">
        <x:v>546</x:v>
      </x:c>
      <x:c r="F365" t="n">
        <x:v>546</x:v>
      </x:c>
      <x:c r="G365" t="n">
        <x:v>500033.09</x:v>
      </x:c>
      <x:c r="H365" t="n">
        <x:v>1.013097</x:v>
      </x:c>
      <x:c r="I365" t="n">
        <x:v>0.973323</x:v>
      </x:c>
      <x:c r="J365" t="n">
        <x:v>3452282.93</x:v>
      </x:c>
    </x:row>
    <x:row r="366">
      <x:c r="A366" t="n">
        <x:v>2030</x:v>
      </x:c>
      <x:c r="B366" t="str">
        <x:v>May</x:v>
      </x:c>
      <x:c r="C366" t="str">
        <x:v>Week</x:v>
      </x:c>
      <x:c r="D366" t="str">
        <x:v>Other</x:v>
      </x:c>
      <x:c r="E366" t="n">
        <x:v>546</x:v>
      </x:c>
      <x:c r="F366" t="n">
        <x:v>36</x:v>
      </x:c>
      <x:c r="G366" t="n">
        <x:v>20285.72</x:v>
      </x:c>
      <x:c r="H366" t="n">
        <x:v>1.488504</x:v>
      </x:c>
      <x:c r="I366" t="n">
        <x:v>1</x:v>
      </x:c>
      <x:c r="J366" t="n">
        <x:v>211367.6</x:v>
      </x:c>
    </x:row>
    <x:row r="367">
      <x:c r="A367" t="n">
        <x:v>2030</x:v>
      </x:c>
      <x:c r="B367" t="str">
        <x:v>May</x:v>
      </x:c>
      <x:c r="C367" t="str">
        <x:v>Month</x:v>
      </x:c>
      <x:c r="D367" t="str">
        <x:v>Motorcycles</x:v>
      </x:c>
      <x:c r="E367" t="n">
        <x:v>546</x:v>
      </x:c>
      <x:c r="F367" t="n">
        <x:v>546</x:v>
      </x:c>
      <x:c r="G367" t="n">
        <x:v>8823394.52</x:v>
      </x:c>
      <x:c r="H367" t="n">
        <x:v>1.016747</x:v>
      </x:c>
      <x:c r="I367" t="n">
        <x:v>0.984658</x:v>
      </x:c>
      <x:c r="J367" t="n">
        <x:v>273890698.6</x:v>
      </x:c>
    </x:row>
    <x:row r="368">
      <x:c r="A368" t="n">
        <x:v>2030</x:v>
      </x:c>
      <x:c r="B368" t="str">
        <x:v>May</x:v>
      </x:c>
      <x:c r="C368" t="str">
        <x:v>Month</x:v>
      </x:c>
      <x:c r="D368" t="str">
        <x:v>Light Vehicles</x:v>
      </x:c>
      <x:c r="E368" t="n">
        <x:v>546</x:v>
      </x:c>
      <x:c r="F368" t="n">
        <x:v>546</x:v>
      </x:c>
      <x:c r="G368" t="n">
        <x:v>3709230.11</x:v>
      </x:c>
      <x:c r="H368" t="n">
        <x:v>1.012377</x:v>
      </x:c>
      <x:c r="I368" t="n">
        <x:v>0.988701</x:v>
      </x:c>
      <x:c r="J368" t="n">
        <x:v>115103970.78</x:v>
      </x:c>
    </x:row>
    <x:row r="369">
      <x:c r="A369" t="n">
        <x:v>2030</x:v>
      </x:c>
      <x:c r="B369" t="str">
        <x:v>May</x:v>
      </x:c>
      <x:c r="C369" t="str">
        <x:v>Month</x:v>
      </x:c>
      <x:c r="D369" t="str">
        <x:v>Buses</x:v>
      </x:c>
      <x:c r="E369" t="n">
        <x:v>546</x:v>
      </x:c>
      <x:c r="F369" t="n">
        <x:v>546</x:v>
      </x:c>
      <x:c r="G369" t="n">
        <x:v>1011756.15</x:v>
      </x:c>
      <x:c r="H369" t="n">
        <x:v>1.014587</x:v>
      </x:c>
      <x:c r="I369" t="n">
        <x:v>0.982438</x:v>
      </x:c>
      <x:c r="J369" t="n">
        <x:v>31268591.53</x:v>
      </x:c>
    </x:row>
    <x:row r="370">
      <x:c r="A370" t="n">
        <x:v>2030</x:v>
      </x:c>
      <x:c r="B370" t="str">
        <x:v>May</x:v>
      </x:c>
      <x:c r="C370" t="str">
        <x:v>Month</x:v>
      </x:c>
      <x:c r="D370" t="str">
        <x:v>Heavy Goods</x:v>
      </x:c>
      <x:c r="E370" t="n">
        <x:v>546</x:v>
      </x:c>
      <x:c r="F370" t="n">
        <x:v>546</x:v>
      </x:c>
      <x:c r="G370" t="n">
        <x:v>500033.09</x:v>
      </x:c>
      <x:c r="H370" t="n">
        <x:v>1.013097</x:v>
      </x:c>
      <x:c r="I370" t="n">
        <x:v>0.973323</x:v>
      </x:c>
      <x:c r="J370" t="n">
        <x:v>15288681.56</x:v>
      </x:c>
    </x:row>
    <x:row r="371">
      <x:c r="A371" t="n">
        <x:v>2030</x:v>
      </x:c>
      <x:c r="B371" t="str">
        <x:v>May</x:v>
      </x:c>
      <x:c r="C371" t="str">
        <x:v>Month</x:v>
      </x:c>
      <x:c r="D371" t="str">
        <x:v>Other</x:v>
      </x:c>
      <x:c r="E371" t="n">
        <x:v>546</x:v>
      </x:c>
      <x:c r="F371" t="n">
        <x:v>36</x:v>
      </x:c>
      <x:c r="G371" t="n">
        <x:v>20285.72</x:v>
      </x:c>
      <x:c r="H371" t="n">
        <x:v>1.488504</x:v>
      </x:c>
      <x:c r="I371" t="n">
        <x:v>1</x:v>
      </x:c>
      <x:c r="J371" t="n">
        <x:v>936056.53</x:v>
      </x:c>
    </x:row>
    <x:row r="372">
      <x:c r="A372" t="n">
        <x:v>2030</x:v>
      </x:c>
      <x:c r="B372" t="str">
        <x:v>May</x:v>
      </x:c>
      <x:c r="C372" t="str">
        <x:v>Year</x:v>
      </x:c>
      <x:c r="D372" t="str">
        <x:v>Motorcycles</x:v>
      </x:c>
      <x:c r="E372" t="n">
        <x:v>546</x:v>
      </x:c>
      <x:c r="F372" t="n">
        <x:v>546</x:v>
      </x:c>
      <x:c r="G372" t="n">
        <x:v>8823394.52</x:v>
      </x:c>
      <x:c r="H372" t="n">
        <x:v>1.016747</x:v>
      </x:c>
      <x:c r="I372" t="n">
        <x:v>0.984658</x:v>
      </x:c>
      <x:c r="J372" t="n">
        <x:v>3224842096.37</x:v>
      </x:c>
    </x:row>
    <x:row r="373">
      <x:c r="A373" t="n">
        <x:v>2030</x:v>
      </x:c>
      <x:c r="B373" t="str">
        <x:v>May</x:v>
      </x:c>
      <x:c r="C373" t="str">
        <x:v>Year</x:v>
      </x:c>
      <x:c r="D373" t="str">
        <x:v>Light Vehicles</x:v>
      </x:c>
      <x:c r="E373" t="n">
        <x:v>546</x:v>
      </x:c>
      <x:c r="F373" t="n">
        <x:v>546</x:v>
      </x:c>
      <x:c r="G373" t="n">
        <x:v>3709230.11</x:v>
      </x:c>
      <x:c r="H373" t="n">
        <x:v>1.012377</x:v>
      </x:c>
      <x:c r="I373" t="n">
        <x:v>0.988701</x:v>
      </x:c>
      <x:c r="J373" t="n">
        <x:v>1355256430.19</x:v>
      </x:c>
    </x:row>
    <x:row r="374">
      <x:c r="A374" t="n">
        <x:v>2030</x:v>
      </x:c>
      <x:c r="B374" t="str">
        <x:v>May</x:v>
      </x:c>
      <x:c r="C374" t="str">
        <x:v>Year</x:v>
      </x:c>
      <x:c r="D374" t="str">
        <x:v>Buses</x:v>
      </x:c>
      <x:c r="E374" t="n">
        <x:v>546</x:v>
      </x:c>
      <x:c r="F374" t="n">
        <x:v>546</x:v>
      </x:c>
      <x:c r="G374" t="n">
        <x:v>1011756.15</x:v>
      </x:c>
      <x:c r="H374" t="n">
        <x:v>1.014587</x:v>
      </x:c>
      <x:c r="I374" t="n">
        <x:v>0.982438</x:v>
      </x:c>
      <x:c r="J374" t="n">
        <x:v>368162448.66</x:v>
      </x:c>
    </x:row>
    <x:row r="375">
      <x:c r="A375" t="n">
        <x:v>2030</x:v>
      </x:c>
      <x:c r="B375" t="str">
        <x:v>May</x:v>
      </x:c>
      <x:c r="C375" t="str">
        <x:v>Year</x:v>
      </x:c>
      <x:c r="D375" t="str">
        <x:v>Heavy Goods</x:v>
      </x:c>
      <x:c r="E375" t="n">
        <x:v>546</x:v>
      </x:c>
      <x:c r="F375" t="n">
        <x:v>546</x:v>
      </x:c>
      <x:c r="G375" t="n">
        <x:v>500033.09</x:v>
      </x:c>
      <x:c r="H375" t="n">
        <x:v>1.013097</x:v>
      </x:c>
      <x:c r="I375" t="n">
        <x:v>0.973323</x:v>
      </x:c>
      <x:c r="J375" t="n">
        <x:v>180011895.73</x:v>
      </x:c>
    </x:row>
    <x:row r="376">
      <x:c r="A376" t="n">
        <x:v>2030</x:v>
      </x:c>
      <x:c r="B376" t="str">
        <x:v>May</x:v>
      </x:c>
      <x:c r="C376" t="str">
        <x:v>Year</x:v>
      </x:c>
      <x:c r="D376" t="str">
        <x:v>Other</x:v>
      </x:c>
      <x:c r="E376" t="n">
        <x:v>546</x:v>
      </x:c>
      <x:c r="F376" t="n">
        <x:v>36</x:v>
      </x:c>
      <x:c r="G376" t="n">
        <x:v>20285.72</x:v>
      </x:c>
      <x:c r="H376" t="n">
        <x:v>1.488504</x:v>
      </x:c>
      <x:c r="I376" t="n">
        <x:v>1</x:v>
      </x:c>
      <x:c r="J376" t="n">
        <x:v>11021310.75</x:v>
      </x:c>
    </x:row>
    <x:row r="377">
      <x:c r="A377" t="n">
        <x:v>2031</x:v>
      </x:c>
      <x:c r="B377" t="str">
        <x:v>May</x:v>
      </x:c>
      <x:c r="C377" t="str">
        <x:v>Hour</x:v>
      </x:c>
      <x:c r="D377" t="str">
        <x:v>Motorcycles</x:v>
      </x:c>
      <x:c r="E377" t="n">
        <x:v>546</x:v>
      </x:c>
      <x:c r="F377" t="n">
        <x:v>546</x:v>
      </x:c>
      <x:c r="G377" t="n">
        <x:v>8823394.52</x:v>
      </x:c>
      <x:c r="H377" t="n">
        <x:v>1.019917</x:v>
      </x:c>
      <x:c r="I377" t="n">
        <x:v>0.984658</x:v>
      </x:c>
      <x:c r="J377" t="n">
        <x:v>369291.44</x:v>
      </x:c>
    </x:row>
    <x:row r="378">
      <x:c r="A378" t="n">
        <x:v>2031</x:v>
      </x:c>
      <x:c r="B378" t="str">
        <x:v>May</x:v>
      </x:c>
      <x:c r="C378" t="str">
        <x:v>Hour</x:v>
      </x:c>
      <x:c r="D378" t="str">
        <x:v>Light Vehicles</x:v>
      </x:c>
      <x:c r="E378" t="n">
        <x:v>546</x:v>
      </x:c>
      <x:c r="F378" t="n">
        <x:v>546</x:v>
      </x:c>
      <x:c r="G378" t="n">
        <x:v>3709230.11</x:v>
      </x:c>
      <x:c r="H378" t="n">
        <x:v>1.014669</x:v>
      </x:c>
      <x:c r="I378" t="n">
        <x:v>0.988701</x:v>
      </x:c>
      <x:c r="J378" t="n">
        <x:v>155061.74</x:v>
      </x:c>
    </x:row>
    <x:row r="379">
      <x:c r="A379" t="n">
        <x:v>2031</x:v>
      </x:c>
      <x:c r="B379" t="str">
        <x:v>May</x:v>
      </x:c>
      <x:c r="C379" t="str">
        <x:v>Hour</x:v>
      </x:c>
      <x:c r="D379" t="str">
        <x:v>Buses</x:v>
      </x:c>
      <x:c r="E379" t="n">
        <x:v>546</x:v>
      </x:c>
      <x:c r="F379" t="n">
        <x:v>546</x:v>
      </x:c>
      <x:c r="G379" t="n">
        <x:v>1011756.15</x:v>
      </x:c>
      <x:c r="H379" t="n">
        <x:v>1.017378</x:v>
      </x:c>
      <x:c r="I379" t="n">
        <x:v>0.982438</x:v>
      </x:c>
      <x:c r="J379" t="n">
        <x:v>42144.49</x:v>
      </x:c>
    </x:row>
    <x:row r="380">
      <x:c r="A380" t="n">
        <x:v>2031</x:v>
      </x:c>
      <x:c r="B380" t="str">
        <x:v>May</x:v>
      </x:c>
      <x:c r="C380" t="str">
        <x:v>Hour</x:v>
      </x:c>
      <x:c r="D380" t="str">
        <x:v>Heavy Goods</x:v>
      </x:c>
      <x:c r="E380" t="n">
        <x:v>546</x:v>
      </x:c>
      <x:c r="F380" t="n">
        <x:v>546</x:v>
      </x:c>
      <x:c r="G380" t="n">
        <x:v>500033.09</x:v>
      </x:c>
      <x:c r="H380" t="n">
        <x:v>1.015693</x:v>
      </x:c>
      <x:c r="I380" t="n">
        <x:v>0.973323</x:v>
      </x:c>
      <x:c r="J380" t="n">
        <x:v>20602.75</x:v>
      </x:c>
    </x:row>
    <x:row r="381">
      <x:c r="A381" t="n">
        <x:v>2031</x:v>
      </x:c>
      <x:c r="B381" t="str">
        <x:v>May</x:v>
      </x:c>
      <x:c r="C381" t="str">
        <x:v>Hour</x:v>
      </x:c>
      <x:c r="D381" t="str">
        <x:v>Other</x:v>
      </x:c>
      <x:c r="E381" t="n">
        <x:v>546</x:v>
      </x:c>
      <x:c r="F381" t="n">
        <x:v>36</x:v>
      </x:c>
      <x:c r="G381" t="n">
        <x:v>20285.72</x:v>
      </x:c>
      <x:c r="H381" t="n">
        <x:v>1.582309</x:v>
      </x:c>
      <x:c r="I381" t="n">
        <x:v>1</x:v>
      </x:c>
      <x:c r="J381" t="n">
        <x:v>1337.43</x:v>
      </x:c>
    </x:row>
    <x:row r="382">
      <x:c r="A382" t="n">
        <x:v>2031</x:v>
      </x:c>
      <x:c r="B382" t="str">
        <x:v>May</x:v>
      </x:c>
      <x:c r="C382" t="str">
        <x:v>Day</x:v>
      </x:c>
      <x:c r="D382" t="str">
        <x:v>Motorcycles</x:v>
      </x:c>
      <x:c r="E382" t="n">
        <x:v>546</x:v>
      </x:c>
      <x:c r="F382" t="n">
        <x:v>546</x:v>
      </x:c>
      <x:c r="G382" t="n">
        <x:v>8823394.52</x:v>
      </x:c>
      <x:c r="H382" t="n">
        <x:v>1.019917</x:v>
      </x:c>
      <x:c r="I382" t="n">
        <x:v>0.984658</x:v>
      </x:c>
      <x:c r="J382" t="n">
        <x:v>8862994.63</x:v>
      </x:c>
    </x:row>
    <x:row r="383">
      <x:c r="A383" t="n">
        <x:v>2031</x:v>
      </x:c>
      <x:c r="B383" t="str">
        <x:v>May</x:v>
      </x:c>
      <x:c r="C383" t="str">
        <x:v>Day</x:v>
      </x:c>
      <x:c r="D383" t="str">
        <x:v>Light Vehicles</x:v>
      </x:c>
      <x:c r="E383" t="n">
        <x:v>546</x:v>
      </x:c>
      <x:c r="F383" t="n">
        <x:v>546</x:v>
      </x:c>
      <x:c r="G383" t="n">
        <x:v>3709230.11</x:v>
      </x:c>
      <x:c r="H383" t="n">
        <x:v>1.014669</x:v>
      </x:c>
      <x:c r="I383" t="n">
        <x:v>0.988701</x:v>
      </x:c>
      <x:c r="J383" t="n">
        <x:v>3721481.86</x:v>
      </x:c>
    </x:row>
    <x:row r="384">
      <x:c r="A384" t="n">
        <x:v>2031</x:v>
      </x:c>
      <x:c r="B384" t="str">
        <x:v>May</x:v>
      </x:c>
      <x:c r="C384" t="str">
        <x:v>Day</x:v>
      </x:c>
      <x:c r="D384" t="str">
        <x:v>Buses</x:v>
      </x:c>
      <x:c r="E384" t="n">
        <x:v>546</x:v>
      </x:c>
      <x:c r="F384" t="n">
        <x:v>546</x:v>
      </x:c>
      <x:c r="G384" t="n">
        <x:v>1011756.15</x:v>
      </x:c>
      <x:c r="H384" t="n">
        <x:v>1.017378</x:v>
      </x:c>
      <x:c r="I384" t="n">
        <x:v>0.982438</x:v>
      </x:c>
      <x:c r="J384" t="n">
        <x:v>1011467.77</x:v>
      </x:c>
    </x:row>
    <x:row r="385">
      <x:c r="A385" t="n">
        <x:v>2031</x:v>
      </x:c>
      <x:c r="B385" t="str">
        <x:v>May</x:v>
      </x:c>
      <x:c r="C385" t="str">
        <x:v>Day</x:v>
      </x:c>
      <x:c r="D385" t="str">
        <x:v>Heavy Goods</x:v>
      </x:c>
      <x:c r="E385" t="n">
        <x:v>546</x:v>
      </x:c>
      <x:c r="F385" t="n">
        <x:v>546</x:v>
      </x:c>
      <x:c r="G385" t="n">
        <x:v>500033.09</x:v>
      </x:c>
      <x:c r="H385" t="n">
        <x:v>1.015693</x:v>
      </x:c>
      <x:c r="I385" t="n">
        <x:v>0.973323</x:v>
      </x:c>
      <x:c r="J385" t="n">
        <x:v>494466.07</x:v>
      </x:c>
    </x:row>
    <x:row r="386">
      <x:c r="A386" t="n">
        <x:v>2031</x:v>
      </x:c>
      <x:c r="B386" t="str">
        <x:v>May</x:v>
      </x:c>
      <x:c r="C386" t="str">
        <x:v>Day</x:v>
      </x:c>
      <x:c r="D386" t="str">
        <x:v>Other</x:v>
      </x:c>
      <x:c r="E386" t="n">
        <x:v>546</x:v>
      </x:c>
      <x:c r="F386" t="n">
        <x:v>36</x:v>
      </x:c>
      <x:c r="G386" t="n">
        <x:v>20285.72</x:v>
      </x:c>
      <x:c r="H386" t="n">
        <x:v>1.582309</x:v>
      </x:c>
      <x:c r="I386" t="n">
        <x:v>1</x:v>
      </x:c>
      <x:c r="J386" t="n">
        <x:v>32098.28</x:v>
      </x:c>
    </x:row>
    <x:row r="387">
      <x:c r="A387" t="n">
        <x:v>2031</x:v>
      </x:c>
      <x:c r="B387" t="str">
        <x:v>May</x:v>
      </x:c>
      <x:c r="C387" t="str">
        <x:v>Week</x:v>
      </x:c>
      <x:c r="D387" t="str">
        <x:v>Motorcycles</x:v>
      </x:c>
      <x:c r="E387" t="n">
        <x:v>546</x:v>
      </x:c>
      <x:c r="F387" t="n">
        <x:v>546</x:v>
      </x:c>
      <x:c r="G387" t="n">
        <x:v>8823394.52</x:v>
      </x:c>
      <x:c r="H387" t="n">
        <x:v>1.019917</x:v>
      </x:c>
      <x:c r="I387" t="n">
        <x:v>0.984658</x:v>
      </x:c>
      <x:c r="J387" t="n">
        <x:v>62040962.42</x:v>
      </x:c>
    </x:row>
    <x:row r="388">
      <x:c r="A388" t="n">
        <x:v>2031</x:v>
      </x:c>
      <x:c r="B388" t="str">
        <x:v>May</x:v>
      </x:c>
      <x:c r="C388" t="str">
        <x:v>Week</x:v>
      </x:c>
      <x:c r="D388" t="str">
        <x:v>Light Vehicles</x:v>
      </x:c>
      <x:c r="E388" t="n">
        <x:v>546</x:v>
      </x:c>
      <x:c r="F388" t="n">
        <x:v>546</x:v>
      </x:c>
      <x:c r="G388" t="n">
        <x:v>3709230.11</x:v>
      </x:c>
      <x:c r="H388" t="n">
        <x:v>1.014669</x:v>
      </x:c>
      <x:c r="I388" t="n">
        <x:v>0.988701</x:v>
      </x:c>
      <x:c r="J388" t="n">
        <x:v>26050373.05</x:v>
      </x:c>
    </x:row>
    <x:row r="389">
      <x:c r="A389" t="n">
        <x:v>2031</x:v>
      </x:c>
      <x:c r="B389" t="str">
        <x:v>May</x:v>
      </x:c>
      <x:c r="C389" t="str">
        <x:v>Week</x:v>
      </x:c>
      <x:c r="D389" t="str">
        <x:v>Buses</x:v>
      </x:c>
      <x:c r="E389" t="n">
        <x:v>546</x:v>
      </x:c>
      <x:c r="F389" t="n">
        <x:v>546</x:v>
      </x:c>
      <x:c r="G389" t="n">
        <x:v>1011756.15</x:v>
      </x:c>
      <x:c r="H389" t="n">
        <x:v>1.017378</x:v>
      </x:c>
      <x:c r="I389" t="n">
        <x:v>0.982438</x:v>
      </x:c>
      <x:c r="J389" t="n">
        <x:v>7080274.38</x:v>
      </x:c>
    </x:row>
    <x:row r="390">
      <x:c r="A390" t="n">
        <x:v>2031</x:v>
      </x:c>
      <x:c r="B390" t="str">
        <x:v>May</x:v>
      </x:c>
      <x:c r="C390" t="str">
        <x:v>Week</x:v>
      </x:c>
      <x:c r="D390" t="str">
        <x:v>Heavy Goods</x:v>
      </x:c>
      <x:c r="E390" t="n">
        <x:v>546</x:v>
      </x:c>
      <x:c r="F390" t="n">
        <x:v>546</x:v>
      </x:c>
      <x:c r="G390" t="n">
        <x:v>500033.09</x:v>
      </x:c>
      <x:c r="H390" t="n">
        <x:v>1.015693</x:v>
      </x:c>
      <x:c r="I390" t="n">
        <x:v>0.973323</x:v>
      </x:c>
      <x:c r="J390" t="n">
        <x:v>3461262.48</x:v>
      </x:c>
    </x:row>
    <x:row r="391">
      <x:c r="A391" t="n">
        <x:v>2031</x:v>
      </x:c>
      <x:c r="B391" t="str">
        <x:v>May</x:v>
      </x:c>
      <x:c r="C391" t="str">
        <x:v>Week</x:v>
      </x:c>
      <x:c r="D391" t="str">
        <x:v>Other</x:v>
      </x:c>
      <x:c r="E391" t="n">
        <x:v>546</x:v>
      </x:c>
      <x:c r="F391" t="n">
        <x:v>36</x:v>
      </x:c>
      <x:c r="G391" t="n">
        <x:v>20285.72</x:v>
      </x:c>
      <x:c r="H391" t="n">
        <x:v>1.582309</x:v>
      </x:c>
      <x:c r="I391" t="n">
        <x:v>1</x:v>
      </x:c>
      <x:c r="J391" t="n">
        <x:v>224687.99</x:v>
      </x:c>
    </x:row>
    <x:row r="392">
      <x:c r="A392" t="n">
        <x:v>2031</x:v>
      </x:c>
      <x:c r="B392" t="str">
        <x:v>May</x:v>
      </x:c>
      <x:c r="C392" t="str">
        <x:v>Month</x:v>
      </x:c>
      <x:c r="D392" t="str">
        <x:v>Motorcycles</x:v>
      </x:c>
      <x:c r="E392" t="n">
        <x:v>546</x:v>
      </x:c>
      <x:c r="F392" t="n">
        <x:v>546</x:v>
      </x:c>
      <x:c r="G392" t="n">
        <x:v>8823394.52</x:v>
      </x:c>
      <x:c r="H392" t="n">
        <x:v>1.019917</x:v>
      </x:c>
      <x:c r="I392" t="n">
        <x:v>0.984658</x:v>
      </x:c>
      <x:c r="J392" t="n">
        <x:v>274752833.57</x:v>
      </x:c>
    </x:row>
    <x:row r="393">
      <x:c r="A393" t="n">
        <x:v>2031</x:v>
      </x:c>
      <x:c r="B393" t="str">
        <x:v>May</x:v>
      </x:c>
      <x:c r="C393" t="str">
        <x:v>Month</x:v>
      </x:c>
      <x:c r="D393" t="str">
        <x:v>Light Vehicles</x:v>
      </x:c>
      <x:c r="E393" t="n">
        <x:v>546</x:v>
      </x:c>
      <x:c r="F393" t="n">
        <x:v>546</x:v>
      </x:c>
      <x:c r="G393" t="n">
        <x:v>3709230.11</x:v>
      </x:c>
      <x:c r="H393" t="n">
        <x:v>1.014669</x:v>
      </x:c>
      <x:c r="I393" t="n">
        <x:v>0.988701</x:v>
      </x:c>
      <x:c r="J393" t="n">
        <x:v>115365937.79</x:v>
      </x:c>
    </x:row>
    <x:row r="394">
      <x:c r="A394" t="n">
        <x:v>2031</x:v>
      </x:c>
      <x:c r="B394" t="str">
        <x:v>May</x:v>
      </x:c>
      <x:c r="C394" t="str">
        <x:v>Month</x:v>
      </x:c>
      <x:c r="D394" t="str">
        <x:v>Buses</x:v>
      </x:c>
      <x:c r="E394" t="n">
        <x:v>546</x:v>
      </x:c>
      <x:c r="F394" t="n">
        <x:v>546</x:v>
      </x:c>
      <x:c r="G394" t="n">
        <x:v>1011756.15</x:v>
      </x:c>
      <x:c r="H394" t="n">
        <x:v>1.017378</x:v>
      </x:c>
      <x:c r="I394" t="n">
        <x:v>0.982438</x:v>
      </x:c>
      <x:c r="J394" t="n">
        <x:v>31355500.84</x:v>
      </x:c>
    </x:row>
    <x:row r="395">
      <x:c r="A395" t="n">
        <x:v>2031</x:v>
      </x:c>
      <x:c r="B395" t="str">
        <x:v>May</x:v>
      </x:c>
      <x:c r="C395" t="str">
        <x:v>Month</x:v>
      </x:c>
      <x:c r="D395" t="str">
        <x:v>Heavy Goods</x:v>
      </x:c>
      <x:c r="E395" t="n">
        <x:v>546</x:v>
      </x:c>
      <x:c r="F395" t="n">
        <x:v>546</x:v>
      </x:c>
      <x:c r="G395" t="n">
        <x:v>500033.09</x:v>
      </x:c>
      <x:c r="H395" t="n">
        <x:v>1.015693</x:v>
      </x:c>
      <x:c r="I395" t="n">
        <x:v>0.973323</x:v>
      </x:c>
      <x:c r="J395" t="n">
        <x:v>15328448.13</x:v>
      </x:c>
    </x:row>
    <x:row r="396">
      <x:c r="A396" t="n">
        <x:v>2031</x:v>
      </x:c>
      <x:c r="B396" t="str">
        <x:v>May</x:v>
      </x:c>
      <x:c r="C396" t="str">
        <x:v>Month</x:v>
      </x:c>
      <x:c r="D396" t="str">
        <x:v>Other</x:v>
      </x:c>
      <x:c r="E396" t="n">
        <x:v>546</x:v>
      </x:c>
      <x:c r="F396" t="n">
        <x:v>36</x:v>
      </x:c>
      <x:c r="G396" t="n">
        <x:v>20285.72</x:v>
      </x:c>
      <x:c r="H396" t="n">
        <x:v>1.582309</x:v>
      </x:c>
      <x:c r="I396" t="n">
        <x:v>1</x:v>
      </x:c>
      <x:c r="J396" t="n">
        <x:v>995046.81</x:v>
      </x:c>
    </x:row>
    <x:row r="397">
      <x:c r="A397" t="n">
        <x:v>2031</x:v>
      </x:c>
      <x:c r="B397" t="str">
        <x:v>May</x:v>
      </x:c>
      <x:c r="C397" t="str">
        <x:v>Year</x:v>
      </x:c>
      <x:c r="D397" t="str">
        <x:v>Motorcycles</x:v>
      </x:c>
      <x:c r="E397" t="n">
        <x:v>546</x:v>
      </x:c>
      <x:c r="F397" t="n">
        <x:v>546</x:v>
      </x:c>
      <x:c r="G397" t="n">
        <x:v>8823394.52</x:v>
      </x:c>
      <x:c r="H397" t="n">
        <x:v>1.019917</x:v>
      </x:c>
      <x:c r="I397" t="n">
        <x:v>0.984658</x:v>
      </x:c>
      <x:c r="J397" t="n">
        <x:v>3234993040.41</x:v>
      </x:c>
    </x:row>
    <x:row r="398">
      <x:c r="A398" t="n">
        <x:v>2031</x:v>
      </x:c>
      <x:c r="B398" t="str">
        <x:v>May</x:v>
      </x:c>
      <x:c r="C398" t="str">
        <x:v>Year</x:v>
      </x:c>
      <x:c r="D398" t="str">
        <x:v>Light Vehicles</x:v>
      </x:c>
      <x:c r="E398" t="n">
        <x:v>546</x:v>
      </x:c>
      <x:c r="F398" t="n">
        <x:v>546</x:v>
      </x:c>
      <x:c r="G398" t="n">
        <x:v>3709230.11</x:v>
      </x:c>
      <x:c r="H398" t="n">
        <x:v>1.014669</x:v>
      </x:c>
      <x:c r="I398" t="n">
        <x:v>0.988701</x:v>
      </x:c>
      <x:c r="J398" t="n">
        <x:v>1358340880.41</x:v>
      </x:c>
    </x:row>
    <x:row r="399">
      <x:c r="A399" t="n">
        <x:v>2031</x:v>
      </x:c>
      <x:c r="B399" t="str">
        <x:v>May</x:v>
      </x:c>
      <x:c r="C399" t="str">
        <x:v>Year</x:v>
      </x:c>
      <x:c r="D399" t="str">
        <x:v>Buses</x:v>
      </x:c>
      <x:c r="E399" t="n">
        <x:v>546</x:v>
      </x:c>
      <x:c r="F399" t="n">
        <x:v>546</x:v>
      </x:c>
      <x:c r="G399" t="n">
        <x:v>1011756.15</x:v>
      </x:c>
      <x:c r="H399" t="n">
        <x:v>1.017378</x:v>
      </x:c>
      <x:c r="I399" t="n">
        <x:v>0.982438</x:v>
      </x:c>
      <x:c r="J399" t="n">
        <x:v>369185735.74</x:v>
      </x:c>
    </x:row>
    <x:row r="400">
      <x:c r="A400" t="n">
        <x:v>2031</x:v>
      </x:c>
      <x:c r="B400" t="str">
        <x:v>May</x:v>
      </x:c>
      <x:c r="C400" t="str">
        <x:v>Year</x:v>
      </x:c>
      <x:c r="D400" t="str">
        <x:v>Heavy Goods</x:v>
      </x:c>
      <x:c r="E400" t="n">
        <x:v>546</x:v>
      </x:c>
      <x:c r="F400" t="n">
        <x:v>546</x:v>
      </x:c>
      <x:c r="G400" t="n">
        <x:v>500033.09</x:v>
      </x:c>
      <x:c r="H400" t="n">
        <x:v>1.015693</x:v>
      </x:c>
      <x:c r="I400" t="n">
        <x:v>0.973323</x:v>
      </x:c>
      <x:c r="J400" t="n">
        <x:v>180480115.03</x:v>
      </x:c>
    </x:row>
    <x:row r="401">
      <x:c r="A401" t="n">
        <x:v>2031</x:v>
      </x:c>
      <x:c r="B401" t="str">
        <x:v>May</x:v>
      </x:c>
      <x:c r="C401" t="str">
        <x:v>Year</x:v>
      </x:c>
      <x:c r="D401" t="str">
        <x:v>Other</x:v>
      </x:c>
      <x:c r="E401" t="n">
        <x:v>546</x:v>
      </x:c>
      <x:c r="F401" t="n">
        <x:v>36</x:v>
      </x:c>
      <x:c r="G401" t="n">
        <x:v>20285.72</x:v>
      </x:c>
      <x:c r="H401" t="n">
        <x:v>1.582309</x:v>
      </x:c>
      <x:c r="I401" t="n">
        <x:v>1</x:v>
      </x:c>
      <x:c r="J401" t="n">
        <x:v>11715873.7</x:v>
      </x:c>
    </x:row>
    <x:row r="402">
      <x:c r="A402" t="n">
        <x:v>2032</x:v>
      </x:c>
      <x:c r="B402" t="str">
        <x:v>May</x:v>
      </x:c>
      <x:c r="C402" t="str">
        <x:v>Hour</x:v>
      </x:c>
      <x:c r="D402" t="str">
        <x:v>Motorcycles</x:v>
      </x:c>
      <x:c r="E402" t="n">
        <x:v>546</x:v>
      </x:c>
      <x:c r="F402" t="n">
        <x:v>546</x:v>
      </x:c>
      <x:c r="G402" t="n">
        <x:v>8823394.52</x:v>
      </x:c>
      <x:c r="H402" t="n">
        <x:v>1.023218</x:v>
      </x:c>
      <x:c r="I402" t="n">
        <x:v>0.984658</x:v>
      </x:c>
      <x:c r="J402" t="n">
        <x:v>370498.45</x:v>
      </x:c>
    </x:row>
    <x:row r="403">
      <x:c r="A403" t="n">
        <x:v>2032</x:v>
      </x:c>
      <x:c r="B403" t="str">
        <x:v>May</x:v>
      </x:c>
      <x:c r="C403" t="str">
        <x:v>Hour</x:v>
      </x:c>
      <x:c r="D403" t="str">
        <x:v>Light Vehicles</x:v>
      </x:c>
      <x:c r="E403" t="n">
        <x:v>546</x:v>
      </x:c>
      <x:c r="F403" t="n">
        <x:v>546</x:v>
      </x:c>
      <x:c r="G403" t="n">
        <x:v>3709230.11</x:v>
      </x:c>
      <x:c r="H403" t="n">
        <x:v>1.017017</x:v>
      </x:c>
      <x:c r="I403" t="n">
        <x:v>0.988701</x:v>
      </x:c>
      <x:c r="J403" t="n">
        <x:v>155422.54</x:v>
      </x:c>
    </x:row>
    <x:row r="404">
      <x:c r="A404" t="n">
        <x:v>2032</x:v>
      </x:c>
      <x:c r="B404" t="str">
        <x:v>May</x:v>
      </x:c>
      <x:c r="C404" t="str">
        <x:v>Hour</x:v>
      </x:c>
      <x:c r="D404" t="str">
        <x:v>Buses</x:v>
      </x:c>
      <x:c r="E404" t="n">
        <x:v>546</x:v>
      </x:c>
      <x:c r="F404" t="n">
        <x:v>546</x:v>
      </x:c>
      <x:c r="G404" t="n">
        <x:v>1011756.15</x:v>
      </x:c>
      <x:c r="H404" t="n">
        <x:v>1.020272</x:v>
      </x:c>
      <x:c r="I404" t="n">
        <x:v>0.982438</x:v>
      </x:c>
      <x:c r="J404" t="n">
        <x:v>42265.62</x:v>
      </x:c>
    </x:row>
    <x:row r="405">
      <x:c r="A405" t="n">
        <x:v>2032</x:v>
      </x:c>
      <x:c r="B405" t="str">
        <x:v>May</x:v>
      </x:c>
      <x:c r="C405" t="str">
        <x:v>Hour</x:v>
      </x:c>
      <x:c r="D405" t="str">
        <x:v>Heavy Goods</x:v>
      </x:c>
      <x:c r="E405" t="n">
        <x:v>546</x:v>
      </x:c>
      <x:c r="F405" t="n">
        <x:v>546</x:v>
      </x:c>
      <x:c r="G405" t="n">
        <x:v>500033.09</x:v>
      </x:c>
      <x:c r="H405" t="n">
        <x:v>1.018384</x:v>
      </x:c>
      <x:c r="I405" t="n">
        <x:v>0.973323</x:v>
      </x:c>
      <x:c r="J405" t="n">
        <x:v>20658.19</x:v>
      </x:c>
    </x:row>
    <x:row r="406">
      <x:c r="A406" t="n">
        <x:v>2032</x:v>
      </x:c>
      <x:c r="B406" t="str">
        <x:v>May</x:v>
      </x:c>
      <x:c r="C406" t="str">
        <x:v>Hour</x:v>
      </x:c>
      <x:c r="D406" t="str">
        <x:v>Other</x:v>
      </x:c>
      <x:c r="E406" t="n">
        <x:v>546</x:v>
      </x:c>
      <x:c r="F406" t="n">
        <x:v>36</x:v>
      </x:c>
      <x:c r="G406" t="n">
        <x:v>20285.72</x:v>
      </x:c>
      <x:c r="H406" t="n">
        <x:v>1.683577</x:v>
      </x:c>
      <x:c r="I406" t="n">
        <x:v>1</x:v>
      </x:c>
      <x:c r="J406" t="n">
        <x:v>1423.02</x:v>
      </x:c>
    </x:row>
    <x:row r="407">
      <x:c r="A407" t="n">
        <x:v>2032</x:v>
      </x:c>
      <x:c r="B407" t="str">
        <x:v>May</x:v>
      </x:c>
      <x:c r="C407" t="str">
        <x:v>Day</x:v>
      </x:c>
      <x:c r="D407" t="str">
        <x:v>Motorcycles</x:v>
      </x:c>
      <x:c r="E407" t="n">
        <x:v>546</x:v>
      </x:c>
      <x:c r="F407" t="n">
        <x:v>546</x:v>
      </x:c>
      <x:c r="G407" t="n">
        <x:v>8823394.52</x:v>
      </x:c>
      <x:c r="H407" t="n">
        <x:v>1.023218</x:v>
      </x:c>
      <x:c r="I407" t="n">
        <x:v>0.984658</x:v>
      </x:c>
      <x:c r="J407" t="n">
        <x:v>8891962.73</x:v>
      </x:c>
    </x:row>
    <x:row r="408">
      <x:c r="A408" t="n">
        <x:v>2032</x:v>
      </x:c>
      <x:c r="B408" t="str">
        <x:v>May</x:v>
      </x:c>
      <x:c r="C408" t="str">
        <x:v>Day</x:v>
      </x:c>
      <x:c r="D408" t="str">
        <x:v>Light Vehicles</x:v>
      </x:c>
      <x:c r="E408" t="n">
        <x:v>546</x:v>
      </x:c>
      <x:c r="F408" t="n">
        <x:v>546</x:v>
      </x:c>
      <x:c r="G408" t="n">
        <x:v>3709230.11</x:v>
      </x:c>
      <x:c r="H408" t="n">
        <x:v>1.017017</x:v>
      </x:c>
      <x:c r="I408" t="n">
        <x:v>0.988701</x:v>
      </x:c>
      <x:c r="J408" t="n">
        <x:v>3730140.97</x:v>
      </x:c>
    </x:row>
    <x:row r="409">
      <x:c r="A409" t="n">
        <x:v>2032</x:v>
      </x:c>
      <x:c r="B409" t="str">
        <x:v>May</x:v>
      </x:c>
      <x:c r="C409" t="str">
        <x:v>Day</x:v>
      </x:c>
      <x:c r="D409" t="str">
        <x:v>Buses</x:v>
      </x:c>
      <x:c r="E409" t="n">
        <x:v>546</x:v>
      </x:c>
      <x:c r="F409" t="n">
        <x:v>546</x:v>
      </x:c>
      <x:c r="G409" t="n">
        <x:v>1011756.15</x:v>
      </x:c>
      <x:c r="H409" t="n">
        <x:v>1.020272</x:v>
      </x:c>
      <x:c r="I409" t="n">
        <x:v>0.982438</x:v>
      </x:c>
      <x:c r="J409" t="n">
        <x:v>1014374.91</x:v>
      </x:c>
    </x:row>
    <x:row r="410">
      <x:c r="A410" t="n">
        <x:v>2032</x:v>
      </x:c>
      <x:c r="B410" t="str">
        <x:v>May</x:v>
      </x:c>
      <x:c r="C410" t="str">
        <x:v>Day</x:v>
      </x:c>
      <x:c r="D410" t="str">
        <x:v>Heavy Goods</x:v>
      </x:c>
      <x:c r="E410" t="n">
        <x:v>546</x:v>
      </x:c>
      <x:c r="F410" t="n">
        <x:v>546</x:v>
      </x:c>
      <x:c r="G410" t="n">
        <x:v>500033.09</x:v>
      </x:c>
      <x:c r="H410" t="n">
        <x:v>1.018384</x:v>
      </x:c>
      <x:c r="I410" t="n">
        <x:v>0.973323</x:v>
      </x:c>
      <x:c r="J410" t="n">
        <x:v>495796.54</x:v>
      </x:c>
    </x:row>
    <x:row r="411">
      <x:c r="A411" t="n">
        <x:v>2032</x:v>
      </x:c>
      <x:c r="B411" t="str">
        <x:v>May</x:v>
      </x:c>
      <x:c r="C411" t="str">
        <x:v>Day</x:v>
      </x:c>
      <x:c r="D411" t="str">
        <x:v>Other</x:v>
      </x:c>
      <x:c r="E411" t="n">
        <x:v>546</x:v>
      </x:c>
      <x:c r="F411" t="n">
        <x:v>36</x:v>
      </x:c>
      <x:c r="G411" t="n">
        <x:v>20285.72</x:v>
      </x:c>
      <x:c r="H411" t="n">
        <x:v>1.683577</x:v>
      </x:c>
      <x:c r="I411" t="n">
        <x:v>1</x:v>
      </x:c>
      <x:c r="J411" t="n">
        <x:v>34152.57</x:v>
      </x:c>
    </x:row>
    <x:row r="412">
      <x:c r="A412" t="n">
        <x:v>2032</x:v>
      </x:c>
      <x:c r="B412" t="str">
        <x:v>May</x:v>
      </x:c>
      <x:c r="C412" t="str">
        <x:v>Week</x:v>
      </x:c>
      <x:c r="D412" t="str">
        <x:v>Motorcycles</x:v>
      </x:c>
      <x:c r="E412" t="n">
        <x:v>546</x:v>
      </x:c>
      <x:c r="F412" t="n">
        <x:v>546</x:v>
      </x:c>
      <x:c r="G412" t="n">
        <x:v>8823394.52</x:v>
      </x:c>
      <x:c r="H412" t="n">
        <x:v>1.023218</x:v>
      </x:c>
      <x:c r="I412" t="n">
        <x:v>0.984658</x:v>
      </x:c>
      <x:c r="J412" t="n">
        <x:v>62243739.1</x:v>
      </x:c>
    </x:row>
    <x:row r="413">
      <x:c r="A413" t="n">
        <x:v>2032</x:v>
      </x:c>
      <x:c r="B413" t="str">
        <x:v>May</x:v>
      </x:c>
      <x:c r="C413" t="str">
        <x:v>Week</x:v>
      </x:c>
      <x:c r="D413" t="str">
        <x:v>Light Vehicles</x:v>
      </x:c>
      <x:c r="E413" t="n">
        <x:v>546</x:v>
      </x:c>
      <x:c r="F413" t="n">
        <x:v>546</x:v>
      </x:c>
      <x:c r="G413" t="n">
        <x:v>3709230.11</x:v>
      </x:c>
      <x:c r="H413" t="n">
        <x:v>1.017017</x:v>
      </x:c>
      <x:c r="I413" t="n">
        <x:v>0.988701</x:v>
      </x:c>
      <x:c r="J413" t="n">
        <x:v>26110986.8</x:v>
      </x:c>
    </x:row>
    <x:row r="414">
      <x:c r="A414" t="n">
        <x:v>2032</x:v>
      </x:c>
      <x:c r="B414" t="str">
        <x:v>May</x:v>
      </x:c>
      <x:c r="C414" t="str">
        <x:v>Week</x:v>
      </x:c>
      <x:c r="D414" t="str">
        <x:v>Buses</x:v>
      </x:c>
      <x:c r="E414" t="n">
        <x:v>546</x:v>
      </x:c>
      <x:c r="F414" t="n">
        <x:v>546</x:v>
      </x:c>
      <x:c r="G414" t="n">
        <x:v>1011756.15</x:v>
      </x:c>
      <x:c r="H414" t="n">
        <x:v>1.020272</x:v>
      </x:c>
      <x:c r="I414" t="n">
        <x:v>0.982438</x:v>
      </x:c>
      <x:c r="J414" t="n">
        <x:v>7100624.35</x:v>
      </x:c>
    </x:row>
    <x:row r="415">
      <x:c r="A415" t="n">
        <x:v>2032</x:v>
      </x:c>
      <x:c r="B415" t="str">
        <x:v>May</x:v>
      </x:c>
      <x:c r="C415" t="str">
        <x:v>Week</x:v>
      </x:c>
      <x:c r="D415" t="str">
        <x:v>Heavy Goods</x:v>
      </x:c>
      <x:c r="E415" t="n">
        <x:v>546</x:v>
      </x:c>
      <x:c r="F415" t="n">
        <x:v>546</x:v>
      </x:c>
      <x:c r="G415" t="n">
        <x:v>500033.09</x:v>
      </x:c>
      <x:c r="H415" t="n">
        <x:v>1.018384</x:v>
      </x:c>
      <x:c r="I415" t="n">
        <x:v>0.973323</x:v>
      </x:c>
      <x:c r="J415" t="n">
        <x:v>3470575.76</x:v>
      </x:c>
    </x:row>
    <x:row r="416">
      <x:c r="A416" t="n">
        <x:v>2032</x:v>
      </x:c>
      <x:c r="B416" t="str">
        <x:v>May</x:v>
      </x:c>
      <x:c r="C416" t="str">
        <x:v>Week</x:v>
      </x:c>
      <x:c r="D416" t="str">
        <x:v>Other</x:v>
      </x:c>
      <x:c r="E416" t="n">
        <x:v>546</x:v>
      </x:c>
      <x:c r="F416" t="n">
        <x:v>36</x:v>
      </x:c>
      <x:c r="G416" t="n">
        <x:v>20285.72</x:v>
      </x:c>
      <x:c r="H416" t="n">
        <x:v>1.683577</x:v>
      </x:c>
      <x:c r="I416" t="n">
        <x:v>1</x:v>
      </x:c>
      <x:c r="J416" t="n">
        <x:v>239067.96</x:v>
      </x:c>
    </x:row>
    <x:row r="417">
      <x:c r="A417" t="n">
        <x:v>2032</x:v>
      </x:c>
      <x:c r="B417" t="str">
        <x:v>May</x:v>
      </x:c>
      <x:c r="C417" t="str">
        <x:v>Month</x:v>
      </x:c>
      <x:c r="D417" t="str">
        <x:v>Motorcycles</x:v>
      </x:c>
      <x:c r="E417" t="n">
        <x:v>546</x:v>
      </x:c>
      <x:c r="F417" t="n">
        <x:v>546</x:v>
      </x:c>
      <x:c r="G417" t="n">
        <x:v>8823394.52</x:v>
      </x:c>
      <x:c r="H417" t="n">
        <x:v>1.023218</x:v>
      </x:c>
      <x:c r="I417" t="n">
        <x:v>0.984658</x:v>
      </x:c>
      <x:c r="J417" t="n">
        <x:v>275650844.6</x:v>
      </x:c>
    </x:row>
    <x:row r="418">
      <x:c r="A418" t="n">
        <x:v>2032</x:v>
      </x:c>
      <x:c r="B418" t="str">
        <x:v>May</x:v>
      </x:c>
      <x:c r="C418" t="str">
        <x:v>Month</x:v>
      </x:c>
      <x:c r="D418" t="str">
        <x:v>Light Vehicles</x:v>
      </x:c>
      <x:c r="E418" t="n">
        <x:v>546</x:v>
      </x:c>
      <x:c r="F418" t="n">
        <x:v>546</x:v>
      </x:c>
      <x:c r="G418" t="n">
        <x:v>3709230.11</x:v>
      </x:c>
      <x:c r="H418" t="n">
        <x:v>1.017017</x:v>
      </x:c>
      <x:c r="I418" t="n">
        <x:v>0.988701</x:v>
      </x:c>
      <x:c r="J418" t="n">
        <x:v>115634370.12</x:v>
      </x:c>
    </x:row>
    <x:row r="419">
      <x:c r="A419" t="n">
        <x:v>2032</x:v>
      </x:c>
      <x:c r="B419" t="str">
        <x:v>May</x:v>
      </x:c>
      <x:c r="C419" t="str">
        <x:v>Month</x:v>
      </x:c>
      <x:c r="D419" t="str">
        <x:v>Buses</x:v>
      </x:c>
      <x:c r="E419" t="n">
        <x:v>546</x:v>
      </x:c>
      <x:c r="F419" t="n">
        <x:v>546</x:v>
      </x:c>
      <x:c r="G419" t="n">
        <x:v>1011756.15</x:v>
      </x:c>
      <x:c r="H419" t="n">
        <x:v>1.020272</x:v>
      </x:c>
      <x:c r="I419" t="n">
        <x:v>0.982438</x:v>
      </x:c>
      <x:c r="J419" t="n">
        <x:v>31445622.11</x:v>
      </x:c>
    </x:row>
    <x:row r="420">
      <x:c r="A420" t="n">
        <x:v>2032</x:v>
      </x:c>
      <x:c r="B420" t="str">
        <x:v>May</x:v>
      </x:c>
      <x:c r="C420" t="str">
        <x:v>Month</x:v>
      </x:c>
      <x:c r="D420" t="str">
        <x:v>Heavy Goods</x:v>
      </x:c>
      <x:c r="E420" t="n">
        <x:v>546</x:v>
      </x:c>
      <x:c r="F420" t="n">
        <x:v>546</x:v>
      </x:c>
      <x:c r="G420" t="n">
        <x:v>500033.09</x:v>
      </x:c>
      <x:c r="H420" t="n">
        <x:v>1.018384</x:v>
      </x:c>
      <x:c r="I420" t="n">
        <x:v>0.973323</x:v>
      </x:c>
      <x:c r="J420" t="n">
        <x:v>15369692.65</x:v>
      </x:c>
    </x:row>
    <x:row r="421">
      <x:c r="A421" t="n">
        <x:v>2032</x:v>
      </x:c>
      <x:c r="B421" t="str">
        <x:v>May</x:v>
      </x:c>
      <x:c r="C421" t="str">
        <x:v>Month</x:v>
      </x:c>
      <x:c r="D421" t="str">
        <x:v>Other</x:v>
      </x:c>
      <x:c r="E421" t="n">
        <x:v>546</x:v>
      </x:c>
      <x:c r="F421" t="n">
        <x:v>36</x:v>
      </x:c>
      <x:c r="G421" t="n">
        <x:v>20285.72</x:v>
      </x:c>
      <x:c r="H421" t="n">
        <x:v>1.683577</x:v>
      </x:c>
      <x:c r="I421" t="n">
        <x:v>1</x:v>
      </x:c>
      <x:c r="J421" t="n">
        <x:v>1058729.56</x:v>
      </x:c>
    </x:row>
    <x:row r="422">
      <x:c r="A422" t="n">
        <x:v>2032</x:v>
      </x:c>
      <x:c r="B422" t="str">
        <x:v>May</x:v>
      </x:c>
      <x:c r="C422" t="str">
        <x:v>Year</x:v>
      </x:c>
      <x:c r="D422" t="str">
        <x:v>Motorcycles</x:v>
      </x:c>
      <x:c r="E422" t="n">
        <x:v>546</x:v>
      </x:c>
      <x:c r="F422" t="n">
        <x:v>546</x:v>
      </x:c>
      <x:c r="G422" t="n">
        <x:v>8823394.52</x:v>
      </x:c>
      <x:c r="H422" t="n">
        <x:v>1.023218</x:v>
      </x:c>
      <x:c r="I422" t="n">
        <x:v>0.984658</x:v>
      </x:c>
      <x:c r="J422" t="n">
        <x:v>3254458358.81</x:v>
      </x:c>
    </x:row>
    <x:row r="423">
      <x:c r="A423" t="n">
        <x:v>2032</x:v>
      </x:c>
      <x:c r="B423" t="str">
        <x:v>May</x:v>
      </x:c>
      <x:c r="C423" t="str">
        <x:v>Year</x:v>
      </x:c>
      <x:c r="D423" t="str">
        <x:v>Light Vehicles</x:v>
      </x:c>
      <x:c r="E423" t="n">
        <x:v>546</x:v>
      </x:c>
      <x:c r="F423" t="n">
        <x:v>546</x:v>
      </x:c>
      <x:c r="G423" t="n">
        <x:v>3709230.11</x:v>
      </x:c>
      <x:c r="H423" t="n">
        <x:v>1.017017</x:v>
      </x:c>
      <x:c r="I423" t="n">
        <x:v>0.988701</x:v>
      </x:c>
      <x:c r="J423" t="n">
        <x:v>1365231595.6</x:v>
      </x:c>
    </x:row>
    <x:row r="424">
      <x:c r="A424" t="n">
        <x:v>2032</x:v>
      </x:c>
      <x:c r="B424" t="str">
        <x:v>May</x:v>
      </x:c>
      <x:c r="C424" t="str">
        <x:v>Year</x:v>
      </x:c>
      <x:c r="D424" t="str">
        <x:v>Buses</x:v>
      </x:c>
      <x:c r="E424" t="n">
        <x:v>546</x:v>
      </x:c>
      <x:c r="F424" t="n">
        <x:v>546</x:v>
      </x:c>
      <x:c r="G424" t="n">
        <x:v>1011756.15</x:v>
      </x:c>
      <x:c r="H424" t="n">
        <x:v>1.020272</x:v>
      </x:c>
      <x:c r="I424" t="n">
        <x:v>0.982438</x:v>
      </x:c>
      <x:c r="J424" t="n">
        <x:v>371261215.92</x:v>
      </x:c>
    </x:row>
    <x:row r="425">
      <x:c r="A425" t="n">
        <x:v>2032</x:v>
      </x:c>
      <x:c r="B425" t="str">
        <x:v>May</x:v>
      </x:c>
      <x:c r="C425" t="str">
        <x:v>Year</x:v>
      </x:c>
      <x:c r="D425" t="str">
        <x:v>Heavy Goods</x:v>
      </x:c>
      <x:c r="E425" t="n">
        <x:v>546</x:v>
      </x:c>
      <x:c r="F425" t="n">
        <x:v>546</x:v>
      </x:c>
      <x:c r="G425" t="n">
        <x:v>500033.09</x:v>
      </x:c>
      <x:c r="H425" t="n">
        <x:v>1.018384</x:v>
      </x:c>
      <x:c r="I425" t="n">
        <x:v>0.973323</x:v>
      </x:c>
      <x:c r="J425" t="n">
        <x:v>181461532.55</x:v>
      </x:c>
    </x:row>
    <x:row r="426">
      <x:c r="A426" t="n">
        <x:v>2032</x:v>
      </x:c>
      <x:c r="B426" t="str">
        <x:v>May</x:v>
      </x:c>
      <x:c r="C426" t="str">
        <x:v>Year</x:v>
      </x:c>
      <x:c r="D426" t="str">
        <x:v>Other</x:v>
      </x:c>
      <x:c r="E426" t="n">
        <x:v>546</x:v>
      </x:c>
      <x:c r="F426" t="n">
        <x:v>36</x:v>
      </x:c>
      <x:c r="G426" t="n">
        <x:v>20285.72</x:v>
      </x:c>
      <x:c r="H426" t="n">
        <x:v>1.683577</x:v>
      </x:c>
      <x:c r="I426" t="n">
        <x:v>1</x:v>
      </x:c>
      <x:c r="J426" t="n">
        <x:v>12499839.26</x:v>
      </x:c>
    </x:row>
    <x:row r="427">
      <x:c r="A427" t="n">
        <x:v>2033</x:v>
      </x:c>
      <x:c r="B427" t="str">
        <x:v>May</x:v>
      </x:c>
      <x:c r="C427" t="str">
        <x:v>Hour</x:v>
      </x:c>
      <x:c r="D427" t="str">
        <x:v>Motorcycles</x:v>
      </x:c>
      <x:c r="E427" t="n">
        <x:v>546</x:v>
      </x:c>
      <x:c r="F427" t="n">
        <x:v>546</x:v>
      </x:c>
      <x:c r="G427" t="n">
        <x:v>8823394.52</x:v>
      </x:c>
      <x:c r="H427" t="n">
        <x:v>1.026659</x:v>
      </x:c>
      <x:c r="I427" t="n">
        <x:v>0.984658</x:v>
      </x:c>
      <x:c r="J427" t="n">
        <x:v>371757.42</x:v>
      </x:c>
    </x:row>
    <x:row r="428">
      <x:c r="A428" t="n">
        <x:v>2033</x:v>
      </x:c>
      <x:c r="B428" t="str">
        <x:v>May</x:v>
      </x:c>
      <x:c r="C428" t="str">
        <x:v>Hour</x:v>
      </x:c>
      <x:c r="D428" t="str">
        <x:v>Light Vehicles</x:v>
      </x:c>
      <x:c r="E428" t="n">
        <x:v>546</x:v>
      </x:c>
      <x:c r="F428" t="n">
        <x:v>546</x:v>
      </x:c>
      <x:c r="G428" t="n">
        <x:v>3709230.11</x:v>
      </x:c>
      <x:c r="H428" t="n">
        <x:v>1.019425</x:v>
      </x:c>
      <x:c r="I428" t="n">
        <x:v>0.988701</x:v>
      </x:c>
      <x:c r="J428" t="n">
        <x:v>155792.68</x:v>
      </x:c>
    </x:row>
    <x:row r="429">
      <x:c r="A429" t="n">
        <x:v>2033</x:v>
      </x:c>
      <x:c r="B429" t="str">
        <x:v>May</x:v>
      </x:c>
      <x:c r="C429" t="str">
        <x:v>Hour</x:v>
      </x:c>
      <x:c r="D429" t="str">
        <x:v>Buses</x:v>
      </x:c>
      <x:c r="E429" t="n">
        <x:v>546</x:v>
      </x:c>
      <x:c r="F429" t="n">
        <x:v>546</x:v>
      </x:c>
      <x:c r="G429" t="n">
        <x:v>1011756.15</x:v>
      </x:c>
      <x:c r="H429" t="n">
        <x:v>1.023276</x:v>
      </x:c>
      <x:c r="I429" t="n">
        <x:v>0.982438</x:v>
      </x:c>
      <x:c r="J429" t="n">
        <x:v>42391.4</x:v>
      </x:c>
    </x:row>
    <x:row r="430">
      <x:c r="A430" t="n">
        <x:v>2033</x:v>
      </x:c>
      <x:c r="B430" t="str">
        <x:v>May</x:v>
      </x:c>
      <x:c r="C430" t="str">
        <x:v>Hour</x:v>
      </x:c>
      <x:c r="D430" t="str">
        <x:v>Heavy Goods</x:v>
      </x:c>
      <x:c r="E430" t="n">
        <x:v>546</x:v>
      </x:c>
      <x:c r="F430" t="n">
        <x:v>546</x:v>
      </x:c>
      <x:c r="G430" t="n">
        <x:v>500033.09</x:v>
      </x:c>
      <x:c r="H430" t="n">
        <x:v>1.021177</x:v>
      </x:c>
      <x:c r="I430" t="n">
        <x:v>0.973323</x:v>
      </x:c>
      <x:c r="J430" t="n">
        <x:v>20715.76</x:v>
      </x:c>
    </x:row>
    <x:row r="431">
      <x:c r="A431" t="n">
        <x:v>2033</x:v>
      </x:c>
      <x:c r="B431" t="str">
        <x:v>May</x:v>
      </x:c>
      <x:c r="C431" t="str">
        <x:v>Hour</x:v>
      </x:c>
      <x:c r="D431" t="str">
        <x:v>Other</x:v>
      </x:c>
      <x:c r="E431" t="n">
        <x:v>546</x:v>
      </x:c>
      <x:c r="F431" t="n">
        <x:v>36</x:v>
      </x:c>
      <x:c r="G431" t="n">
        <x:v>20285.72</x:v>
      </x:c>
      <x:c r="H431" t="n">
        <x:v>1.7929</x:v>
      </x:c>
      <x:c r="I431" t="n">
        <x:v>1</x:v>
      </x:c>
      <x:c r="J431" t="n">
        <x:v>1515.43</x:v>
      </x:c>
    </x:row>
    <x:row r="432">
      <x:c r="A432" t="n">
        <x:v>2033</x:v>
      </x:c>
      <x:c r="B432" t="str">
        <x:v>May</x:v>
      </x:c>
      <x:c r="C432" t="str">
        <x:v>Day</x:v>
      </x:c>
      <x:c r="D432" t="str">
        <x:v>Motorcycles</x:v>
      </x:c>
      <x:c r="E432" t="n">
        <x:v>546</x:v>
      </x:c>
      <x:c r="F432" t="n">
        <x:v>546</x:v>
      </x:c>
      <x:c r="G432" t="n">
        <x:v>8823394.52</x:v>
      </x:c>
      <x:c r="H432" t="n">
        <x:v>1.026659</x:v>
      </x:c>
      <x:c r="I432" t="n">
        <x:v>0.984658</x:v>
      </x:c>
      <x:c r="J432" t="n">
        <x:v>8922178.11</x:v>
      </x:c>
    </x:row>
    <x:row r="433">
      <x:c r="A433" t="n">
        <x:v>2033</x:v>
      </x:c>
      <x:c r="B433" t="str">
        <x:v>May</x:v>
      </x:c>
      <x:c r="C433" t="str">
        <x:v>Day</x:v>
      </x:c>
      <x:c r="D433" t="str">
        <x:v>Light Vehicles</x:v>
      </x:c>
      <x:c r="E433" t="n">
        <x:v>546</x:v>
      </x:c>
      <x:c r="F433" t="n">
        <x:v>546</x:v>
      </x:c>
      <x:c r="G433" t="n">
        <x:v>3709230.11</x:v>
      </x:c>
      <x:c r="H433" t="n">
        <x:v>1.019425</x:v>
      </x:c>
      <x:c r="I433" t="n">
        <x:v>0.988701</x:v>
      </x:c>
      <x:c r="J433" t="n">
        <x:v>3739024.33</x:v>
      </x:c>
    </x:row>
    <x:row r="434">
      <x:c r="A434" t="n">
        <x:v>2033</x:v>
      </x:c>
      <x:c r="B434" t="str">
        <x:v>May</x:v>
      </x:c>
      <x:c r="C434" t="str">
        <x:v>Day</x:v>
      </x:c>
      <x:c r="D434" t="str">
        <x:v>Buses</x:v>
      </x:c>
      <x:c r="E434" t="n">
        <x:v>546</x:v>
      </x:c>
      <x:c r="F434" t="n">
        <x:v>546</x:v>
      </x:c>
      <x:c r="G434" t="n">
        <x:v>1011756.15</x:v>
      </x:c>
      <x:c r="H434" t="n">
        <x:v>1.023276</x:v>
      </x:c>
      <x:c r="I434" t="n">
        <x:v>0.982438</x:v>
      </x:c>
      <x:c r="J434" t="n">
        <x:v>1017393.66</x:v>
      </x:c>
    </x:row>
    <x:row r="435">
      <x:c r="A435" t="n">
        <x:v>2033</x:v>
      </x:c>
      <x:c r="B435" t="str">
        <x:v>May</x:v>
      </x:c>
      <x:c r="C435" t="str">
        <x:v>Day</x:v>
      </x:c>
      <x:c r="D435" t="str">
        <x:v>Heavy Goods</x:v>
      </x:c>
      <x:c r="E435" t="n">
        <x:v>546</x:v>
      </x:c>
      <x:c r="F435" t="n">
        <x:v>546</x:v>
      </x:c>
      <x:c r="G435" t="n">
        <x:v>500033.09</x:v>
      </x:c>
      <x:c r="H435" t="n">
        <x:v>1.021177</x:v>
      </x:c>
      <x:c r="I435" t="n">
        <x:v>0.973323</x:v>
      </x:c>
      <x:c r="J435" t="n">
        <x:v>497178.34</x:v>
      </x:c>
    </x:row>
    <x:row r="436">
      <x:c r="A436" t="n">
        <x:v>2033</x:v>
      </x:c>
      <x:c r="B436" t="str">
        <x:v>May</x:v>
      </x:c>
      <x:c r="C436" t="str">
        <x:v>Day</x:v>
      </x:c>
      <x:c r="D436" t="str">
        <x:v>Other</x:v>
      </x:c>
      <x:c r="E436" t="n">
        <x:v>546</x:v>
      </x:c>
      <x:c r="F436" t="n">
        <x:v>36</x:v>
      </x:c>
      <x:c r="G436" t="n">
        <x:v>20285.72</x:v>
      </x:c>
      <x:c r="H436" t="n">
        <x:v>1.7929</x:v>
      </x:c>
      <x:c r="I436" t="n">
        <x:v>1</x:v>
      </x:c>
      <x:c r="J436" t="n">
        <x:v>36370.28</x:v>
      </x:c>
    </x:row>
    <x:row r="437">
      <x:c r="A437" t="n">
        <x:v>2033</x:v>
      </x:c>
      <x:c r="B437" t="str">
        <x:v>May</x:v>
      </x:c>
      <x:c r="C437" t="str">
        <x:v>Week</x:v>
      </x:c>
      <x:c r="D437" t="str">
        <x:v>Motorcycles</x:v>
      </x:c>
      <x:c r="E437" t="n">
        <x:v>546</x:v>
      </x:c>
      <x:c r="F437" t="n">
        <x:v>546</x:v>
      </x:c>
      <x:c r="G437" t="n">
        <x:v>8823394.52</x:v>
      </x:c>
      <x:c r="H437" t="n">
        <x:v>1.026659</x:v>
      </x:c>
      <x:c r="I437" t="n">
        <x:v>0.984658</x:v>
      </x:c>
      <x:c r="J437" t="n">
        <x:v>62455246.79</x:v>
      </x:c>
    </x:row>
    <x:row r="438">
      <x:c r="A438" t="n">
        <x:v>2033</x:v>
      </x:c>
      <x:c r="B438" t="str">
        <x:v>May</x:v>
      </x:c>
      <x:c r="C438" t="str">
        <x:v>Week</x:v>
      </x:c>
      <x:c r="D438" t="str">
        <x:v>Light Vehicles</x:v>
      </x:c>
      <x:c r="E438" t="n">
        <x:v>546</x:v>
      </x:c>
      <x:c r="F438" t="n">
        <x:v>546</x:v>
      </x:c>
      <x:c r="G438" t="n">
        <x:v>3709230.11</x:v>
      </x:c>
      <x:c r="H438" t="n">
        <x:v>1.019425</x:v>
      </x:c>
      <x:c r="I438" t="n">
        <x:v>0.988701</x:v>
      </x:c>
      <x:c r="J438" t="n">
        <x:v>26173170.32</x:v>
      </x:c>
    </x:row>
    <x:row r="439">
      <x:c r="A439" t="n">
        <x:v>2033</x:v>
      </x:c>
      <x:c r="B439" t="str">
        <x:v>May</x:v>
      </x:c>
      <x:c r="C439" t="str">
        <x:v>Week</x:v>
      </x:c>
      <x:c r="D439" t="str">
        <x:v>Buses</x:v>
      </x:c>
      <x:c r="E439" t="n">
        <x:v>546</x:v>
      </x:c>
      <x:c r="F439" t="n">
        <x:v>546</x:v>
      </x:c>
      <x:c r="G439" t="n">
        <x:v>1011756.15</x:v>
      </x:c>
      <x:c r="H439" t="n">
        <x:v>1.023276</x:v>
      </x:c>
      <x:c r="I439" t="n">
        <x:v>0.982438</x:v>
      </x:c>
      <x:c r="J439" t="n">
        <x:v>7121755.64</x:v>
      </x:c>
    </x:row>
    <x:row r="440">
      <x:c r="A440" t="n">
        <x:v>2033</x:v>
      </x:c>
      <x:c r="B440" t="str">
        <x:v>May</x:v>
      </x:c>
      <x:c r="C440" t="str">
        <x:v>Week</x:v>
      </x:c>
      <x:c r="D440" t="str">
        <x:v>Heavy Goods</x:v>
      </x:c>
      <x:c r="E440" t="n">
        <x:v>546</x:v>
      </x:c>
      <x:c r="F440" t="n">
        <x:v>546</x:v>
      </x:c>
      <x:c r="G440" t="n">
        <x:v>500033.09</x:v>
      </x:c>
      <x:c r="H440" t="n">
        <x:v>1.021177</x:v>
      </x:c>
      <x:c r="I440" t="n">
        <x:v>0.973323</x:v>
      </x:c>
      <x:c r="J440" t="n">
        <x:v>3480248.4</x:v>
      </x:c>
    </x:row>
    <x:row r="441">
      <x:c r="A441" t="n">
        <x:v>2033</x:v>
      </x:c>
      <x:c r="B441" t="str">
        <x:v>May</x:v>
      </x:c>
      <x:c r="C441" t="str">
        <x:v>Week</x:v>
      </x:c>
      <x:c r="D441" t="str">
        <x:v>Other</x:v>
      </x:c>
      <x:c r="E441" t="n">
        <x:v>546</x:v>
      </x:c>
      <x:c r="F441" t="n">
        <x:v>36</x:v>
      </x:c>
      <x:c r="G441" t="n">
        <x:v>20285.72</x:v>
      </x:c>
      <x:c r="H441" t="n">
        <x:v>1.7929</x:v>
      </x:c>
      <x:c r="I441" t="n">
        <x:v>1</x:v>
      </x:c>
      <x:c r="J441" t="n">
        <x:v>254591.95</x:v>
      </x:c>
    </x:row>
    <x:row r="442">
      <x:c r="A442" t="n">
        <x:v>2033</x:v>
      </x:c>
      <x:c r="B442" t="str">
        <x:v>May</x:v>
      </x:c>
      <x:c r="C442" t="str">
        <x:v>Month</x:v>
      </x:c>
      <x:c r="D442" t="str">
        <x:v>Motorcycles</x:v>
      </x:c>
      <x:c r="E442" t="n">
        <x:v>546</x:v>
      </x:c>
      <x:c r="F442" t="n">
        <x:v>546</x:v>
      </x:c>
      <x:c r="G442" t="n">
        <x:v>8823394.52</x:v>
      </x:c>
      <x:c r="H442" t="n">
        <x:v>1.026659</x:v>
      </x:c>
      <x:c r="I442" t="n">
        <x:v>0.984658</x:v>
      </x:c>
      <x:c r="J442" t="n">
        <x:v>276587521.52</x:v>
      </x:c>
    </x:row>
    <x:row r="443">
      <x:c r="A443" t="n">
        <x:v>2033</x:v>
      </x:c>
      <x:c r="B443" t="str">
        <x:v>May</x:v>
      </x:c>
      <x:c r="C443" t="str">
        <x:v>Month</x:v>
      </x:c>
      <x:c r="D443" t="str">
        <x:v>Light Vehicles</x:v>
      </x:c>
      <x:c r="E443" t="n">
        <x:v>546</x:v>
      </x:c>
      <x:c r="F443" t="n">
        <x:v>546</x:v>
      </x:c>
      <x:c r="G443" t="n">
        <x:v>3709230.11</x:v>
      </x:c>
      <x:c r="H443" t="n">
        <x:v>1.019425</x:v>
      </x:c>
      <x:c r="I443" t="n">
        <x:v>0.988701</x:v>
      </x:c>
      <x:c r="J443" t="n">
        <x:v>115909754.27</x:v>
      </x:c>
    </x:row>
    <x:row r="444">
      <x:c r="A444" t="n">
        <x:v>2033</x:v>
      </x:c>
      <x:c r="B444" t="str">
        <x:v>May</x:v>
      </x:c>
      <x:c r="C444" t="str">
        <x:v>Month</x:v>
      </x:c>
      <x:c r="D444" t="str">
        <x:v>Buses</x:v>
      </x:c>
      <x:c r="E444" t="n">
        <x:v>546</x:v>
      </x:c>
      <x:c r="F444" t="n">
        <x:v>546</x:v>
      </x:c>
      <x:c r="G444" t="n">
        <x:v>1011756.15</x:v>
      </x:c>
      <x:c r="H444" t="n">
        <x:v>1.023276</x:v>
      </x:c>
      <x:c r="I444" t="n">
        <x:v>0.982438</x:v>
      </x:c>
      <x:c r="J444" t="n">
        <x:v>31539203.54</x:v>
      </x:c>
    </x:row>
    <x:row r="445">
      <x:c r="A445" t="n">
        <x:v>2033</x:v>
      </x:c>
      <x:c r="B445" t="str">
        <x:v>May</x:v>
      </x:c>
      <x:c r="C445" t="str">
        <x:v>Month</x:v>
      </x:c>
      <x:c r="D445" t="str">
        <x:v>Heavy Goods</x:v>
      </x:c>
      <x:c r="E445" t="n">
        <x:v>546</x:v>
      </x:c>
      <x:c r="F445" t="n">
        <x:v>546</x:v>
      </x:c>
      <x:c r="G445" t="n">
        <x:v>500033.09</x:v>
      </x:c>
      <x:c r="H445" t="n">
        <x:v>1.021177</x:v>
      </x:c>
      <x:c r="I445" t="n">
        <x:v>0.973323</x:v>
      </x:c>
      <x:c r="J445" t="n">
        <x:v>15412528.63</x:v>
      </x:c>
    </x:row>
    <x:row r="446">
      <x:c r="A446" t="n">
        <x:v>2033</x:v>
      </x:c>
      <x:c r="B446" t="str">
        <x:v>May</x:v>
      </x:c>
      <x:c r="C446" t="str">
        <x:v>Month</x:v>
      </x:c>
      <x:c r="D446" t="str">
        <x:v>Other</x:v>
      </x:c>
      <x:c r="E446" t="n">
        <x:v>546</x:v>
      </x:c>
      <x:c r="F446" t="n">
        <x:v>36</x:v>
      </x:c>
      <x:c r="G446" t="n">
        <x:v>20285.72</x:v>
      </x:c>
      <x:c r="H446" t="n">
        <x:v>1.7929</x:v>
      </x:c>
      <x:c r="I446" t="n">
        <x:v>1</x:v>
      </x:c>
      <x:c r="J446" t="n">
        <x:v>1127478.64</x:v>
      </x:c>
    </x:row>
    <x:row r="447">
      <x:c r="A447" t="n">
        <x:v>2033</x:v>
      </x:c>
      <x:c r="B447" t="str">
        <x:v>May</x:v>
      </x:c>
      <x:c r="C447" t="str">
        <x:v>Year</x:v>
      </x:c>
      <x:c r="D447" t="str">
        <x:v>Motorcycles</x:v>
      </x:c>
      <x:c r="E447" t="n">
        <x:v>546</x:v>
      </x:c>
      <x:c r="F447" t="n">
        <x:v>546</x:v>
      </x:c>
      <x:c r="G447" t="n">
        <x:v>8823394.52</x:v>
      </x:c>
      <x:c r="H447" t="n">
        <x:v>1.026659</x:v>
      </x:c>
      <x:c r="I447" t="n">
        <x:v>0.984658</x:v>
      </x:c>
      <x:c r="J447" t="n">
        <x:v>3256595011.43</x:v>
      </x:c>
    </x:row>
    <x:row r="448">
      <x:c r="A448" t="n">
        <x:v>2033</x:v>
      </x:c>
      <x:c r="B448" t="str">
        <x:v>May</x:v>
      </x:c>
      <x:c r="C448" t="str">
        <x:v>Year</x:v>
      </x:c>
      <x:c r="D448" t="str">
        <x:v>Light Vehicles</x:v>
      </x:c>
      <x:c r="E448" t="n">
        <x:v>546</x:v>
      </x:c>
      <x:c r="F448" t="n">
        <x:v>546</x:v>
      </x:c>
      <x:c r="G448" t="n">
        <x:v>3709230.11</x:v>
      </x:c>
      <x:c r="H448" t="n">
        <x:v>1.019425</x:v>
      </x:c>
      <x:c r="I448" t="n">
        <x:v>0.988701</x:v>
      </x:c>
      <x:c r="J448" t="n">
        <x:v>1364743880.93</x:v>
      </x:c>
    </x:row>
    <x:row r="449">
      <x:c r="A449" t="n">
        <x:v>2033</x:v>
      </x:c>
      <x:c r="B449" t="str">
        <x:v>May</x:v>
      </x:c>
      <x:c r="C449" t="str">
        <x:v>Year</x:v>
      </x:c>
      <x:c r="D449" t="str">
        <x:v>Buses</x:v>
      </x:c>
      <x:c r="E449" t="n">
        <x:v>546</x:v>
      </x:c>
      <x:c r="F449" t="n">
        <x:v>546</x:v>
      </x:c>
      <x:c r="G449" t="n">
        <x:v>1011756.15</x:v>
      </x:c>
      <x:c r="H449" t="n">
        <x:v>1.023276</x:v>
      </x:c>
      <x:c r="I449" t="n">
        <x:v>0.982438</x:v>
      </x:c>
      <x:c r="J449" t="n">
        <x:v>371348686.86</x:v>
      </x:c>
    </x:row>
    <x:row r="450">
      <x:c r="A450" t="n">
        <x:v>2033</x:v>
      </x:c>
      <x:c r="B450" t="str">
        <x:v>May</x:v>
      </x:c>
      <x:c r="C450" t="str">
        <x:v>Year</x:v>
      </x:c>
      <x:c r="D450" t="str">
        <x:v>Heavy Goods</x:v>
      </x:c>
      <x:c r="E450" t="n">
        <x:v>546</x:v>
      </x:c>
      <x:c r="F450" t="n">
        <x:v>546</x:v>
      </x:c>
      <x:c r="G450" t="n">
        <x:v>500033.09</x:v>
      </x:c>
      <x:c r="H450" t="n">
        <x:v>1.021177</x:v>
      </x:c>
      <x:c r="I450" t="n">
        <x:v>0.973323</x:v>
      </x:c>
      <x:c r="J450" t="n">
        <x:v>181470095.11</x:v>
      </x:c>
    </x:row>
    <x:row r="451">
      <x:c r="A451" t="n">
        <x:v>2033</x:v>
      </x:c>
      <x:c r="B451" t="str">
        <x:v>May</x:v>
      </x:c>
      <x:c r="C451" t="str">
        <x:v>Year</x:v>
      </x:c>
      <x:c r="D451" t="str">
        <x:v>Other</x:v>
      </x:c>
      <x:c r="E451" t="n">
        <x:v>546</x:v>
      </x:c>
      <x:c r="F451" t="n">
        <x:v>36</x:v>
      </x:c>
      <x:c r="G451" t="n">
        <x:v>20285.72</x:v>
      </x:c>
      <x:c r="H451" t="n">
        <x:v>1.7929</x:v>
      </x:c>
      <x:c r="I451" t="n">
        <x:v>1</x:v>
      </x:c>
      <x:c r="J451" t="n">
        <x:v>13275151.71</x:v>
      </x:c>
    </x:row>
    <x:row r="452">
      <x:c r="A452" t="n">
        <x:v>2034</x:v>
      </x:c>
      <x:c r="B452" t="str">
        <x:v>May</x:v>
      </x:c>
      <x:c r="C452" t="str">
        <x:v>Hour</x:v>
      </x:c>
      <x:c r="D452" t="str">
        <x:v>Motorcycles</x:v>
      </x:c>
      <x:c r="E452" t="n">
        <x:v>546</x:v>
      </x:c>
      <x:c r="F452" t="n">
        <x:v>546</x:v>
      </x:c>
      <x:c r="G452" t="n">
        <x:v>8823394.52</x:v>
      </x:c>
      <x:c r="H452" t="n">
        <x:v>1.030254</x:v>
      </x:c>
      <x:c r="I452" t="n">
        <x:v>0.984658</x:v>
      </x:c>
      <x:c r="J452" t="n">
        <x:v>373072.41</x:v>
      </x:c>
    </x:row>
    <x:row r="453">
      <x:c r="A453" t="n">
        <x:v>2034</x:v>
      </x:c>
      <x:c r="B453" t="str">
        <x:v>May</x:v>
      </x:c>
      <x:c r="C453" t="str">
        <x:v>Hour</x:v>
      </x:c>
      <x:c r="D453" t="str">
        <x:v>Light Vehicles</x:v>
      </x:c>
      <x:c r="E453" t="n">
        <x:v>546</x:v>
      </x:c>
      <x:c r="F453" t="n">
        <x:v>546</x:v>
      </x:c>
      <x:c r="G453" t="n">
        <x:v>3709230.11</x:v>
      </x:c>
      <x:c r="H453" t="n">
        <x:v>1.021899</x:v>
      </x:c>
      <x:c r="I453" t="n">
        <x:v>0.988701</x:v>
      </x:c>
      <x:c r="J453" t="n">
        <x:v>156172.87</x:v>
      </x:c>
    </x:row>
    <x:row r="454">
      <x:c r="A454" t="n">
        <x:v>2034</x:v>
      </x:c>
      <x:c r="B454" t="str">
        <x:v>May</x:v>
      </x:c>
      <x:c r="C454" t="str">
        <x:v>Hour</x:v>
      </x:c>
      <x:c r="D454" t="str">
        <x:v>Buses</x:v>
      </x:c>
      <x:c r="E454" t="n">
        <x:v>546</x:v>
      </x:c>
      <x:c r="F454" t="n">
        <x:v>546</x:v>
      </x:c>
      <x:c r="G454" t="n">
        <x:v>1011756.15</x:v>
      </x:c>
      <x:c r="H454" t="n">
        <x:v>1.026399</x:v>
      </x:c>
      <x:c r="I454" t="n">
        <x:v>0.982438</x:v>
      </x:c>
      <x:c r="J454" t="n">
        <x:v>42522.19</x:v>
      </x:c>
    </x:row>
    <x:row r="455">
      <x:c r="A455" t="n">
        <x:v>2034</x:v>
      </x:c>
      <x:c r="B455" t="str">
        <x:v>May</x:v>
      </x:c>
      <x:c r="C455" t="str">
        <x:v>Hour</x:v>
      </x:c>
      <x:c r="D455" t="str">
        <x:v>Heavy Goods</x:v>
      </x:c>
      <x:c r="E455" t="n">
        <x:v>546</x:v>
      </x:c>
      <x:c r="F455" t="n">
        <x:v>546</x:v>
      </x:c>
      <x:c r="G455" t="n">
        <x:v>500033.09</x:v>
      </x:c>
      <x:c r="H455" t="n">
        <x:v>1.024081</x:v>
      </x:c>
      <x:c r="I455" t="n">
        <x:v>0.973323</x:v>
      </x:c>
      <x:c r="J455" t="n">
        <x:v>20775.64</x:v>
      </x:c>
    </x:row>
    <x:row r="456">
      <x:c r="A456" t="n">
        <x:v>2034</x:v>
      </x:c>
      <x:c r="B456" t="str">
        <x:v>May</x:v>
      </x:c>
      <x:c r="C456" t="str">
        <x:v>Hour</x:v>
      </x:c>
      <x:c r="D456" t="str">
        <x:v>Other</x:v>
      </x:c>
      <x:c r="E456" t="n">
        <x:v>546</x:v>
      </x:c>
      <x:c r="F456" t="n">
        <x:v>36</x:v>
      </x:c>
      <x:c r="G456" t="n">
        <x:v>20285.72</x:v>
      </x:c>
      <x:c r="H456" t="n">
        <x:v>1.910923</x:v>
      </x:c>
      <x:c r="I456" t="n">
        <x:v>1</x:v>
      </x:c>
      <x:c r="J456" t="n">
        <x:v>1615.19</x:v>
      </x:c>
    </x:row>
    <x:row r="457">
      <x:c r="A457" t="n">
        <x:v>2034</x:v>
      </x:c>
      <x:c r="B457" t="str">
        <x:v>May</x:v>
      </x:c>
      <x:c r="C457" t="str">
        <x:v>Day</x:v>
      </x:c>
      <x:c r="D457" t="str">
        <x:v>Motorcycles</x:v>
      </x:c>
      <x:c r="E457" t="n">
        <x:v>546</x:v>
      </x:c>
      <x:c r="F457" t="n">
        <x:v>546</x:v>
      </x:c>
      <x:c r="G457" t="n">
        <x:v>8823394.52</x:v>
      </x:c>
      <x:c r="H457" t="n">
        <x:v>1.030254</x:v>
      </x:c>
      <x:c r="I457" t="n">
        <x:v>0.984658</x:v>
      </x:c>
      <x:c r="J457" t="n">
        <x:v>8953737.93</x:v>
      </x:c>
    </x:row>
    <x:row r="458">
      <x:c r="A458" t="n">
        <x:v>2034</x:v>
      </x:c>
      <x:c r="B458" t="str">
        <x:v>May</x:v>
      </x:c>
      <x:c r="C458" t="str">
        <x:v>Day</x:v>
      </x:c>
      <x:c r="D458" t="str">
        <x:v>Light Vehicles</x:v>
      </x:c>
      <x:c r="E458" t="n">
        <x:v>546</x:v>
      </x:c>
      <x:c r="F458" t="n">
        <x:v>546</x:v>
      </x:c>
      <x:c r="G458" t="n">
        <x:v>3709230.11</x:v>
      </x:c>
      <x:c r="H458" t="n">
        <x:v>1.021899</x:v>
      </x:c>
      <x:c r="I458" t="n">
        <x:v>0.988701</x:v>
      </x:c>
      <x:c r="J458" t="n">
        <x:v>3748148.88</x:v>
      </x:c>
    </x:row>
    <x:row r="459">
      <x:c r="A459" t="n">
        <x:v>2034</x:v>
      </x:c>
      <x:c r="B459" t="str">
        <x:v>May</x:v>
      </x:c>
      <x:c r="C459" t="str">
        <x:v>Day</x:v>
      </x:c>
      <x:c r="D459" t="str">
        <x:v>Buses</x:v>
      </x:c>
      <x:c r="E459" t="n">
        <x:v>546</x:v>
      </x:c>
      <x:c r="F459" t="n">
        <x:v>546</x:v>
      </x:c>
      <x:c r="G459" t="n">
        <x:v>1011756.15</x:v>
      </x:c>
      <x:c r="H459" t="n">
        <x:v>1.026399</x:v>
      </x:c>
      <x:c r="I459" t="n">
        <x:v>0.982438</x:v>
      </x:c>
      <x:c r="J459" t="n">
        <x:v>1020532.68</x:v>
      </x:c>
    </x:row>
    <x:row r="460">
      <x:c r="A460" t="n">
        <x:v>2034</x:v>
      </x:c>
      <x:c r="B460" t="str">
        <x:v>May</x:v>
      </x:c>
      <x:c r="C460" t="str">
        <x:v>Day</x:v>
      </x:c>
      <x:c r="D460" t="str">
        <x:v>Heavy Goods</x:v>
      </x:c>
      <x:c r="E460" t="n">
        <x:v>546</x:v>
      </x:c>
      <x:c r="F460" t="n">
        <x:v>546</x:v>
      </x:c>
      <x:c r="G460" t="n">
        <x:v>500033.09</x:v>
      </x:c>
      <x:c r="H460" t="n">
        <x:v>1.024081</x:v>
      </x:c>
      <x:c r="I460" t="n">
        <x:v>0.973323</x:v>
      </x:c>
      <x:c r="J460" t="n">
        <x:v>498615.44</x:v>
      </x:c>
    </x:row>
    <x:row r="461">
      <x:c r="A461" t="n">
        <x:v>2034</x:v>
      </x:c>
      <x:c r="B461" t="str">
        <x:v>May</x:v>
      </x:c>
      <x:c r="C461" t="str">
        <x:v>Day</x:v>
      </x:c>
      <x:c r="D461" t="str">
        <x:v>Other</x:v>
      </x:c>
      <x:c r="E461" t="n">
        <x:v>546</x:v>
      </x:c>
      <x:c r="F461" t="n">
        <x:v>36</x:v>
      </x:c>
      <x:c r="G461" t="n">
        <x:v>20285.72</x:v>
      </x:c>
      <x:c r="H461" t="n">
        <x:v>1.910923</x:v>
      </x:c>
      <x:c r="I461" t="n">
        <x:v>1</x:v>
      </x:c>
      <x:c r="J461" t="n">
        <x:v>38764.44</x:v>
      </x:c>
    </x:row>
    <x:row r="462">
      <x:c r="A462" t="n">
        <x:v>2034</x:v>
      </x:c>
      <x:c r="B462" t="str">
        <x:v>May</x:v>
      </x:c>
      <x:c r="C462" t="str">
        <x:v>Week</x:v>
      </x:c>
      <x:c r="D462" t="str">
        <x:v>Motorcycles</x:v>
      </x:c>
      <x:c r="E462" t="n">
        <x:v>546</x:v>
      </x:c>
      <x:c r="F462" t="n">
        <x:v>546</x:v>
      </x:c>
      <x:c r="G462" t="n">
        <x:v>8823394.52</x:v>
      </x:c>
      <x:c r="H462" t="n">
        <x:v>1.030254</x:v>
      </x:c>
      <x:c r="I462" t="n">
        <x:v>0.984658</x:v>
      </x:c>
      <x:c r="J462" t="n">
        <x:v>62676165.5</x:v>
      </x:c>
    </x:row>
    <x:row r="463">
      <x:c r="A463" t="n">
        <x:v>2034</x:v>
      </x:c>
      <x:c r="B463" t="str">
        <x:v>May</x:v>
      </x:c>
      <x:c r="C463" t="str">
        <x:v>Week</x:v>
      </x:c>
      <x:c r="D463" t="str">
        <x:v>Light Vehicles</x:v>
      </x:c>
      <x:c r="E463" t="n">
        <x:v>546</x:v>
      </x:c>
      <x:c r="F463" t="n">
        <x:v>546</x:v>
      </x:c>
      <x:c r="G463" t="n">
        <x:v>3709230.11</x:v>
      </x:c>
      <x:c r="H463" t="n">
        <x:v>1.021899</x:v>
      </x:c>
      <x:c r="I463" t="n">
        <x:v>0.988701</x:v>
      </x:c>
      <x:c r="J463" t="n">
        <x:v>26237042.17</x:v>
      </x:c>
    </x:row>
    <x:row r="464">
      <x:c r="A464" t="n">
        <x:v>2034</x:v>
      </x:c>
      <x:c r="B464" t="str">
        <x:v>May</x:v>
      </x:c>
      <x:c r="C464" t="str">
        <x:v>Week</x:v>
      </x:c>
      <x:c r="D464" t="str">
        <x:v>Buses</x:v>
      </x:c>
      <x:c r="E464" t="n">
        <x:v>546</x:v>
      </x:c>
      <x:c r="F464" t="n">
        <x:v>546</x:v>
      </x:c>
      <x:c r="G464" t="n">
        <x:v>1011756.15</x:v>
      </x:c>
      <x:c r="H464" t="n">
        <x:v>1.026399</x:v>
      </x:c>
      <x:c r="I464" t="n">
        <x:v>0.982438</x:v>
      </x:c>
      <x:c r="J464" t="n">
        <x:v>7143728.75</x:v>
      </x:c>
    </x:row>
    <x:row r="465">
      <x:c r="A465" t="n">
        <x:v>2034</x:v>
      </x:c>
      <x:c r="B465" t="str">
        <x:v>May</x:v>
      </x:c>
      <x:c r="C465" t="str">
        <x:v>Week</x:v>
      </x:c>
      <x:c r="D465" t="str">
        <x:v>Heavy Goods</x:v>
      </x:c>
      <x:c r="E465" t="n">
        <x:v>546</x:v>
      </x:c>
      <x:c r="F465" t="n">
        <x:v>546</x:v>
      </x:c>
      <x:c r="G465" t="n">
        <x:v>500033.09</x:v>
      </x:c>
      <x:c r="H465" t="n">
        <x:v>1.024081</x:v>
      </x:c>
      <x:c r="I465" t="n">
        <x:v>0.973323</x:v>
      </x:c>
      <x:c r="J465" t="n">
        <x:v>3490308.06</x:v>
      </x:c>
    </x:row>
    <x:row r="466">
      <x:c r="A466" t="n">
        <x:v>2034</x:v>
      </x:c>
      <x:c r="B466" t="str">
        <x:v>May</x:v>
      </x:c>
      <x:c r="C466" t="str">
        <x:v>Week</x:v>
      </x:c>
      <x:c r="D466" t="str">
        <x:v>Other</x:v>
      </x:c>
      <x:c r="E466" t="n">
        <x:v>546</x:v>
      </x:c>
      <x:c r="F466" t="n">
        <x:v>36</x:v>
      </x:c>
      <x:c r="G466" t="n">
        <x:v>20285.72</x:v>
      </x:c>
      <x:c r="H466" t="n">
        <x:v>1.910923</x:v>
      </x:c>
      <x:c r="I466" t="n">
        <x:v>1</x:v>
      </x:c>
      <x:c r="J466" t="n">
        <x:v>271351.11</x:v>
      </x:c>
    </x:row>
    <x:row r="467">
      <x:c r="A467" t="n">
        <x:v>2034</x:v>
      </x:c>
      <x:c r="B467" t="str">
        <x:v>May</x:v>
      </x:c>
      <x:c r="C467" t="str">
        <x:v>Month</x:v>
      </x:c>
      <x:c r="D467" t="str">
        <x:v>Motorcycles</x:v>
      </x:c>
      <x:c r="E467" t="n">
        <x:v>546</x:v>
      </x:c>
      <x:c r="F467" t="n">
        <x:v>546</x:v>
      </x:c>
      <x:c r="G467" t="n">
        <x:v>8823394.52</x:v>
      </x:c>
      <x:c r="H467" t="n">
        <x:v>1.030254</x:v>
      </x:c>
      <x:c r="I467" t="n">
        <x:v>0.984658</x:v>
      </x:c>
      <x:c r="J467" t="n">
        <x:v>277565875.8</x:v>
      </x:c>
    </x:row>
    <x:row r="468">
      <x:c r="A468" t="n">
        <x:v>2034</x:v>
      </x:c>
      <x:c r="B468" t="str">
        <x:v>May</x:v>
      </x:c>
      <x:c r="C468" t="str">
        <x:v>Month</x:v>
      </x:c>
      <x:c r="D468" t="str">
        <x:v>Light Vehicles</x:v>
      </x:c>
      <x:c r="E468" t="n">
        <x:v>546</x:v>
      </x:c>
      <x:c r="F468" t="n">
        <x:v>546</x:v>
      </x:c>
      <x:c r="G468" t="n">
        <x:v>3709230.11</x:v>
      </x:c>
      <x:c r="H468" t="n">
        <x:v>1.021899</x:v>
      </x:c>
      <x:c r="I468" t="n">
        <x:v>0.988701</x:v>
      </x:c>
      <x:c r="J468" t="n">
        <x:v>116192615.32</x:v>
      </x:c>
    </x:row>
    <x:row r="469">
      <x:c r="A469" t="n">
        <x:v>2034</x:v>
      </x:c>
      <x:c r="B469" t="str">
        <x:v>May</x:v>
      </x:c>
      <x:c r="C469" t="str">
        <x:v>Month</x:v>
      </x:c>
      <x:c r="D469" t="str">
        <x:v>Buses</x:v>
      </x:c>
      <x:c r="E469" t="n">
        <x:v>546</x:v>
      </x:c>
      <x:c r="F469" t="n">
        <x:v>546</x:v>
      </x:c>
      <x:c r="G469" t="n">
        <x:v>1011756.15</x:v>
      </x:c>
      <x:c r="H469" t="n">
        <x:v>1.026399</x:v>
      </x:c>
      <x:c r="I469" t="n">
        <x:v>0.982438</x:v>
      </x:c>
      <x:c r="J469" t="n">
        <x:v>31636513.02</x:v>
      </x:c>
    </x:row>
    <x:row r="470">
      <x:c r="A470" t="n">
        <x:v>2034</x:v>
      </x:c>
      <x:c r="B470" t="str">
        <x:v>May</x:v>
      </x:c>
      <x:c r="C470" t="str">
        <x:v>Month</x:v>
      </x:c>
      <x:c r="D470" t="str">
        <x:v>Heavy Goods</x:v>
      </x:c>
      <x:c r="E470" t="n">
        <x:v>546</x:v>
      </x:c>
      <x:c r="F470" t="n">
        <x:v>546</x:v>
      </x:c>
      <x:c r="G470" t="n">
        <x:v>500033.09</x:v>
      </x:c>
      <x:c r="H470" t="n">
        <x:v>1.024081</x:v>
      </x:c>
      <x:c r="I470" t="n">
        <x:v>0.973323</x:v>
      </x:c>
      <x:c r="J470" t="n">
        <x:v>15457078.53</x:v>
      </x:c>
    </x:row>
    <x:row r="471">
      <x:c r="A471" t="n">
        <x:v>2034</x:v>
      </x:c>
      <x:c r="B471" t="str">
        <x:v>May</x:v>
      </x:c>
      <x:c r="C471" t="str">
        <x:v>Month</x:v>
      </x:c>
      <x:c r="D471" t="str">
        <x:v>Other</x:v>
      </x:c>
      <x:c r="E471" t="n">
        <x:v>546</x:v>
      </x:c>
      <x:c r="F471" t="n">
        <x:v>36</x:v>
      </x:c>
      <x:c r="G471" t="n">
        <x:v>20285.72</x:v>
      </x:c>
      <x:c r="H471" t="n">
        <x:v>1.910923</x:v>
      </x:c>
      <x:c r="I471" t="n">
        <x:v>1</x:v>
      </x:c>
      <x:c r="J471" t="n">
        <x:v>1201697.77</x:v>
      </x:c>
    </x:row>
    <x:row r="472">
      <x:c r="A472" t="n">
        <x:v>2034</x:v>
      </x:c>
      <x:c r="B472" t="str">
        <x:v>May</x:v>
      </x:c>
      <x:c r="C472" t="str">
        <x:v>Year</x:v>
      </x:c>
      <x:c r="D472" t="str">
        <x:v>Motorcycles</x:v>
      </x:c>
      <x:c r="E472" t="n">
        <x:v>546</x:v>
      </x:c>
      <x:c r="F472" t="n">
        <x:v>546</x:v>
      </x:c>
      <x:c r="G472" t="n">
        <x:v>8823394.52</x:v>
      </x:c>
      <x:c r="H472" t="n">
        <x:v>1.030254</x:v>
      </x:c>
      <x:c r="I472" t="n">
        <x:v>0.984658</x:v>
      </x:c>
      <x:c r="J472" t="n">
        <x:v>3268114344.1</x:v>
      </x:c>
    </x:row>
    <x:row r="473">
      <x:c r="A473" t="n">
        <x:v>2034</x:v>
      </x:c>
      <x:c r="B473" t="str">
        <x:v>May</x:v>
      </x:c>
      <x:c r="C473" t="str">
        <x:v>Year</x:v>
      </x:c>
      <x:c r="D473" t="str">
        <x:v>Light Vehicles</x:v>
      </x:c>
      <x:c r="E473" t="n">
        <x:v>546</x:v>
      </x:c>
      <x:c r="F473" t="n">
        <x:v>546</x:v>
      </x:c>
      <x:c r="G473" t="n">
        <x:v>3709230.11</x:v>
      </x:c>
      <x:c r="H473" t="n">
        <x:v>1.021899</x:v>
      </x:c>
      <x:c r="I473" t="n">
        <x:v>0.988701</x:v>
      </x:c>
      <x:c r="J473" t="n">
        <x:v>1368074341.68</x:v>
      </x:c>
    </x:row>
    <x:row r="474">
      <x:c r="A474" t="n">
        <x:v>2034</x:v>
      </x:c>
      <x:c r="B474" t="str">
        <x:v>May</x:v>
      </x:c>
      <x:c r="C474" t="str">
        <x:v>Year</x:v>
      </x:c>
      <x:c r="D474" t="str">
        <x:v>Buses</x:v>
      </x:c>
      <x:c r="E474" t="n">
        <x:v>546</x:v>
      </x:c>
      <x:c r="F474" t="n">
        <x:v>546</x:v>
      </x:c>
      <x:c r="G474" t="n">
        <x:v>1011756.15</x:v>
      </x:c>
      <x:c r="H474" t="n">
        <x:v>1.026399</x:v>
      </x:c>
      <x:c r="I474" t="n">
        <x:v>0.982438</x:v>
      </x:c>
      <x:c r="J474" t="n">
        <x:v>372494427.47</x:v>
      </x:c>
    </x:row>
    <x:row r="475">
      <x:c r="A475" t="n">
        <x:v>2034</x:v>
      </x:c>
      <x:c r="B475" t="str">
        <x:v>May</x:v>
      </x:c>
      <x:c r="C475" t="str">
        <x:v>Year</x:v>
      </x:c>
      <x:c r="D475" t="str">
        <x:v>Heavy Goods</x:v>
      </x:c>
      <x:c r="E475" t="n">
        <x:v>546</x:v>
      </x:c>
      <x:c r="F475" t="n">
        <x:v>546</x:v>
      </x:c>
      <x:c r="G475" t="n">
        <x:v>500033.09</x:v>
      </x:c>
      <x:c r="H475" t="n">
        <x:v>1.024081</x:v>
      </x:c>
      <x:c r="I475" t="n">
        <x:v>0.973323</x:v>
      </x:c>
      <x:c r="J475" t="n">
        <x:v>181994634.33</x:v>
      </x:c>
    </x:row>
    <x:row r="476">
      <x:c r="A476" t="n">
        <x:v>2034</x:v>
      </x:c>
      <x:c r="B476" t="str">
        <x:v>May</x:v>
      </x:c>
      <x:c r="C476" t="str">
        <x:v>Year</x:v>
      </x:c>
      <x:c r="D476" t="str">
        <x:v>Other</x:v>
      </x:c>
      <x:c r="E476" t="n">
        <x:v>546</x:v>
      </x:c>
      <x:c r="F476" t="n">
        <x:v>36</x:v>
      </x:c>
      <x:c r="G476" t="n">
        <x:v>20285.72</x:v>
      </x:c>
      <x:c r="H476" t="n">
        <x:v>1.910923</x:v>
      </x:c>
      <x:c r="I476" t="n">
        <x:v>1</x:v>
      </x:c>
      <x:c r="J476" t="n">
        <x:v>14149022.08</x:v>
      </x:c>
    </x:row>
    <x:row r="477">
      <x:c r="A477" t="n">
        <x:v>2035</x:v>
      </x:c>
      <x:c r="B477" t="str">
        <x:v>May</x:v>
      </x:c>
      <x:c r="C477" t="str">
        <x:v>Hour</x:v>
      </x:c>
      <x:c r="D477" t="str">
        <x:v>Motorcycles</x:v>
      </x:c>
      <x:c r="E477" t="n">
        <x:v>546</x:v>
      </x:c>
      <x:c r="F477" t="n">
        <x:v>546</x:v>
      </x:c>
      <x:c r="G477" t="n">
        <x:v>8823394.52</x:v>
      </x:c>
      <x:c r="H477" t="n">
        <x:v>1.034013</x:v>
      </x:c>
      <x:c r="I477" t="n">
        <x:v>0.984658</x:v>
      </x:c>
      <x:c r="J477" t="n">
        <x:v>374447.79</x:v>
      </x:c>
    </x:row>
    <x:row r="478">
      <x:c r="A478" t="n">
        <x:v>2035</x:v>
      </x:c>
      <x:c r="B478" t="str">
        <x:v>May</x:v>
      </x:c>
      <x:c r="C478" t="str">
        <x:v>Hour</x:v>
      </x:c>
      <x:c r="D478" t="str">
        <x:v>Light Vehicles</x:v>
      </x:c>
      <x:c r="E478" t="n">
        <x:v>546</x:v>
      </x:c>
      <x:c r="F478" t="n">
        <x:v>546</x:v>
      </x:c>
      <x:c r="G478" t="n">
        <x:v>3709230.11</x:v>
      </x:c>
      <x:c r="H478" t="n">
        <x:v>1.024442</x:v>
      </x:c>
      <x:c r="I478" t="n">
        <x:v>0.988701</x:v>
      </x:c>
      <x:c r="J478" t="n">
        <x:v>156563.87</x:v>
      </x:c>
    </x:row>
    <x:row r="479">
      <x:c r="A479" t="n">
        <x:v>2035</x:v>
      </x:c>
      <x:c r="B479" t="str">
        <x:v>May</x:v>
      </x:c>
      <x:c r="C479" t="str">
        <x:v>Hour</x:v>
      </x:c>
      <x:c r="D479" t="str">
        <x:v>Buses</x:v>
      </x:c>
      <x:c r="E479" t="n">
        <x:v>546</x:v>
      </x:c>
      <x:c r="F479" t="n">
        <x:v>546</x:v>
      </x:c>
      <x:c r="G479" t="n">
        <x:v>1011756.15</x:v>
      </x:c>
      <x:c r="H479" t="n">
        <x:v>1.02965</x:v>
      </x:c>
      <x:c r="I479" t="n">
        <x:v>0.982438</x:v>
      </x:c>
      <x:c r="J479" t="n">
        <x:v>42658.39</x:v>
      </x:c>
    </x:row>
    <x:row r="480">
      <x:c r="A480" t="n">
        <x:v>2035</x:v>
      </x:c>
      <x:c r="B480" t="str">
        <x:v>May</x:v>
      </x:c>
      <x:c r="C480" t="str">
        <x:v>Hour</x:v>
      </x:c>
      <x:c r="D480" t="str">
        <x:v>Heavy Goods</x:v>
      </x:c>
      <x:c r="E480" t="n">
        <x:v>546</x:v>
      </x:c>
      <x:c r="F480" t="n">
        <x:v>546</x:v>
      </x:c>
      <x:c r="G480" t="n">
        <x:v>500033.09</x:v>
      </x:c>
      <x:c r="H480" t="n">
        <x:v>1.027104</x:v>
      </x:c>
      <x:c r="I480" t="n">
        <x:v>0.973323</x:v>
      </x:c>
      <x:c r="J480" t="n">
        <x:v>20838</x:v>
      </x:c>
    </x:row>
    <x:row r="481">
      <x:c r="A481" t="n">
        <x:v>2035</x:v>
      </x:c>
      <x:c r="B481" t="str">
        <x:v>May</x:v>
      </x:c>
      <x:c r="C481" t="str">
        <x:v>Hour</x:v>
      </x:c>
      <x:c r="D481" t="str">
        <x:v>Other</x:v>
      </x:c>
      <x:c r="E481" t="n">
        <x:v>546</x:v>
      </x:c>
      <x:c r="F481" t="n">
        <x:v>36</x:v>
      </x:c>
      <x:c r="G481" t="n">
        <x:v>20285.72</x:v>
      </x:c>
      <x:c r="H481" t="n">
        <x:v>2.038337</x:v>
      </x:c>
      <x:c r="I481" t="n">
        <x:v>1</x:v>
      </x:c>
      <x:c r="J481" t="n">
        <x:v>1722.88</x:v>
      </x:c>
    </x:row>
    <x:row r="482">
      <x:c r="A482" t="n">
        <x:v>2035</x:v>
      </x:c>
      <x:c r="B482" t="str">
        <x:v>May</x:v>
      </x:c>
      <x:c r="C482" t="str">
        <x:v>Day</x:v>
      </x:c>
      <x:c r="D482" t="str">
        <x:v>Motorcycles</x:v>
      </x:c>
      <x:c r="E482" t="n">
        <x:v>546</x:v>
      </x:c>
      <x:c r="F482" t="n">
        <x:v>546</x:v>
      </x:c>
      <x:c r="G482" t="n">
        <x:v>8823394.52</x:v>
      </x:c>
      <x:c r="H482" t="n">
        <x:v>1.034013</x:v>
      </x:c>
      <x:c r="I482" t="n">
        <x:v>0.984658</x:v>
      </x:c>
      <x:c r="J482" t="n">
        <x:v>8986747.04</x:v>
      </x:c>
    </x:row>
    <x:row r="483">
      <x:c r="A483" t="n">
        <x:v>2035</x:v>
      </x:c>
      <x:c r="B483" t="str">
        <x:v>May</x:v>
      </x:c>
      <x:c r="C483" t="str">
        <x:v>Day</x:v>
      </x:c>
      <x:c r="D483" t="str">
        <x:v>Light Vehicles</x:v>
      </x:c>
      <x:c r="E483" t="n">
        <x:v>546</x:v>
      </x:c>
      <x:c r="F483" t="n">
        <x:v>546</x:v>
      </x:c>
      <x:c r="G483" t="n">
        <x:v>3709230.11</x:v>
      </x:c>
      <x:c r="H483" t="n">
        <x:v>1.024442</x:v>
      </x:c>
      <x:c r="I483" t="n">
        <x:v>0.988701</x:v>
      </x:c>
      <x:c r="J483" t="n">
        <x:v>3757532.9</x:v>
      </x:c>
    </x:row>
    <x:row r="484">
      <x:c r="A484" t="n">
        <x:v>2035</x:v>
      </x:c>
      <x:c r="B484" t="str">
        <x:v>May</x:v>
      </x:c>
      <x:c r="C484" t="str">
        <x:v>Day</x:v>
      </x:c>
      <x:c r="D484" t="str">
        <x:v>Buses</x:v>
      </x:c>
      <x:c r="E484" t="n">
        <x:v>546</x:v>
      </x:c>
      <x:c r="F484" t="n">
        <x:v>546</x:v>
      </x:c>
      <x:c r="G484" t="n">
        <x:v>1011756.15</x:v>
      </x:c>
      <x:c r="H484" t="n">
        <x:v>1.02965</x:v>
      </x:c>
      <x:c r="I484" t="n">
        <x:v>0.982438</x:v>
      </x:c>
      <x:c r="J484" t="n">
        <x:v>1023801.28</x:v>
      </x:c>
    </x:row>
    <x:row r="485">
      <x:c r="A485" t="n">
        <x:v>2035</x:v>
      </x:c>
      <x:c r="B485" t="str">
        <x:v>May</x:v>
      </x:c>
      <x:c r="C485" t="str">
        <x:v>Day</x:v>
      </x:c>
      <x:c r="D485" t="str">
        <x:v>Heavy Goods</x:v>
      </x:c>
      <x:c r="E485" t="n">
        <x:v>546</x:v>
      </x:c>
      <x:c r="F485" t="n">
        <x:v>546</x:v>
      </x:c>
      <x:c r="G485" t="n">
        <x:v>500033.09</x:v>
      </x:c>
      <x:c r="H485" t="n">
        <x:v>1.027104</x:v>
      </x:c>
      <x:c r="I485" t="n">
        <x:v>0.973323</x:v>
      </x:c>
      <x:c r="J485" t="n">
        <x:v>500112.08</x:v>
      </x:c>
    </x:row>
    <x:row r="486">
      <x:c r="A486" t="n">
        <x:v>2035</x:v>
      </x:c>
      <x:c r="B486" t="str">
        <x:v>May</x:v>
      </x:c>
      <x:c r="C486" t="str">
        <x:v>Day</x:v>
      </x:c>
      <x:c r="D486" t="str">
        <x:v>Other</x:v>
      </x:c>
      <x:c r="E486" t="n">
        <x:v>546</x:v>
      </x:c>
      <x:c r="F486" t="n">
        <x:v>36</x:v>
      </x:c>
      <x:c r="G486" t="n">
        <x:v>20285.72</x:v>
      </x:c>
      <x:c r="H486" t="n">
        <x:v>2.038337</x:v>
      </x:c>
      <x:c r="I486" t="n">
        <x:v>1</x:v>
      </x:c>
      <x:c r="J486" t="n">
        <x:v>41349.12</x:v>
      </x:c>
    </x:row>
    <x:row r="487">
      <x:c r="A487" t="n">
        <x:v>2035</x:v>
      </x:c>
      <x:c r="B487" t="str">
        <x:v>May</x:v>
      </x:c>
      <x:c r="C487" t="str">
        <x:v>Week</x:v>
      </x:c>
      <x:c r="D487" t="str">
        <x:v>Motorcycles</x:v>
      </x:c>
      <x:c r="E487" t="n">
        <x:v>546</x:v>
      </x:c>
      <x:c r="F487" t="n">
        <x:v>546</x:v>
      </x:c>
      <x:c r="G487" t="n">
        <x:v>8823394.52</x:v>
      </x:c>
      <x:c r="H487" t="n">
        <x:v>1.034013</x:v>
      </x:c>
      <x:c r="I487" t="n">
        <x:v>0.984658</x:v>
      </x:c>
      <x:c r="J487" t="n">
        <x:v>62907229.26</x:v>
      </x:c>
    </x:row>
    <x:row r="488">
      <x:c r="A488" t="n">
        <x:v>2035</x:v>
      </x:c>
      <x:c r="B488" t="str">
        <x:v>May</x:v>
      </x:c>
      <x:c r="C488" t="str">
        <x:v>Week</x:v>
      </x:c>
      <x:c r="D488" t="str">
        <x:v>Light Vehicles</x:v>
      </x:c>
      <x:c r="E488" t="n">
        <x:v>546</x:v>
      </x:c>
      <x:c r="F488" t="n">
        <x:v>546</x:v>
      </x:c>
      <x:c r="G488" t="n">
        <x:v>3709230.11</x:v>
      </x:c>
      <x:c r="H488" t="n">
        <x:v>1.024442</x:v>
      </x:c>
      <x:c r="I488" t="n">
        <x:v>0.988701</x:v>
      </x:c>
      <x:c r="J488" t="n">
        <x:v>26302730.32</x:v>
      </x:c>
    </x:row>
    <x:row r="489">
      <x:c r="A489" t="n">
        <x:v>2035</x:v>
      </x:c>
      <x:c r="B489" t="str">
        <x:v>May</x:v>
      </x:c>
      <x:c r="C489" t="str">
        <x:v>Week</x:v>
      </x:c>
      <x:c r="D489" t="str">
        <x:v>Buses</x:v>
      </x:c>
      <x:c r="E489" t="n">
        <x:v>546</x:v>
      </x:c>
      <x:c r="F489" t="n">
        <x:v>546</x:v>
      </x:c>
      <x:c r="G489" t="n">
        <x:v>1011756.15</x:v>
      </x:c>
      <x:c r="H489" t="n">
        <x:v>1.02965</x:v>
      </x:c>
      <x:c r="I489" t="n">
        <x:v>0.982438</x:v>
      </x:c>
      <x:c r="J489" t="n">
        <x:v>7166608.96</x:v>
      </x:c>
    </x:row>
    <x:row r="490">
      <x:c r="A490" t="n">
        <x:v>2035</x:v>
      </x:c>
      <x:c r="B490" t="str">
        <x:v>May</x:v>
      </x:c>
      <x:c r="C490" t="str">
        <x:v>Week</x:v>
      </x:c>
      <x:c r="D490" t="str">
        <x:v>Heavy Goods</x:v>
      </x:c>
      <x:c r="E490" t="n">
        <x:v>546</x:v>
      </x:c>
      <x:c r="F490" t="n">
        <x:v>546</x:v>
      </x:c>
      <x:c r="G490" t="n">
        <x:v>500033.09</x:v>
      </x:c>
      <x:c r="H490" t="n">
        <x:v>1.027104</x:v>
      </x:c>
      <x:c r="I490" t="n">
        <x:v>0.973323</x:v>
      </x:c>
      <x:c r="J490" t="n">
        <x:v>3500784.57</x:v>
      </x:c>
    </x:row>
    <x:row r="491">
      <x:c r="A491" t="n">
        <x:v>2035</x:v>
      </x:c>
      <x:c r="B491" t="str">
        <x:v>May</x:v>
      </x:c>
      <x:c r="C491" t="str">
        <x:v>Week</x:v>
      </x:c>
      <x:c r="D491" t="str">
        <x:v>Other</x:v>
      </x:c>
      <x:c r="E491" t="n">
        <x:v>546</x:v>
      </x:c>
      <x:c r="F491" t="n">
        <x:v>36</x:v>
      </x:c>
      <x:c r="G491" t="n">
        <x:v>20285.72</x:v>
      </x:c>
      <x:c r="H491" t="n">
        <x:v>2.038337</x:v>
      </x:c>
      <x:c r="I491" t="n">
        <x:v>1</x:v>
      </x:c>
      <x:c r="J491" t="n">
        <x:v>289443.87</x:v>
      </x:c>
    </x:row>
    <x:row r="492">
      <x:c r="A492" t="n">
        <x:v>2035</x:v>
      </x:c>
      <x:c r="B492" t="str">
        <x:v>May</x:v>
      </x:c>
      <x:c r="C492" t="str">
        <x:v>Month</x:v>
      </x:c>
      <x:c r="D492" t="str">
        <x:v>Motorcycles</x:v>
      </x:c>
      <x:c r="E492" t="n">
        <x:v>546</x:v>
      </x:c>
      <x:c r="F492" t="n">
        <x:v>546</x:v>
      </x:c>
      <x:c r="G492" t="n">
        <x:v>8823394.52</x:v>
      </x:c>
      <x:c r="H492" t="n">
        <x:v>1.034013</x:v>
      </x:c>
      <x:c r="I492" t="n">
        <x:v>0.984658</x:v>
      </x:c>
      <x:c r="J492" t="n">
        <x:v>278589158.16</x:v>
      </x:c>
    </x:row>
    <x:row r="493">
      <x:c r="A493" t="n">
        <x:v>2035</x:v>
      </x:c>
      <x:c r="B493" t="str">
        <x:v>May</x:v>
      </x:c>
      <x:c r="C493" t="str">
        <x:v>Month</x:v>
      </x:c>
      <x:c r="D493" t="str">
        <x:v>Light Vehicles</x:v>
      </x:c>
      <x:c r="E493" t="n">
        <x:v>546</x:v>
      </x:c>
      <x:c r="F493" t="n">
        <x:v>546</x:v>
      </x:c>
      <x:c r="G493" t="n">
        <x:v>3709230.11</x:v>
      </x:c>
      <x:c r="H493" t="n">
        <x:v>1.024442</x:v>
      </x:c>
      <x:c r="I493" t="n">
        <x:v>0.988701</x:v>
      </x:c>
      <x:c r="J493" t="n">
        <x:v>116483519.99</x:v>
      </x:c>
    </x:row>
    <x:row r="494">
      <x:c r="A494" t="n">
        <x:v>2035</x:v>
      </x:c>
      <x:c r="B494" t="str">
        <x:v>May</x:v>
      </x:c>
      <x:c r="C494" t="str">
        <x:v>Month</x:v>
      </x:c>
      <x:c r="D494" t="str">
        <x:v>Buses</x:v>
      </x:c>
      <x:c r="E494" t="n">
        <x:v>546</x:v>
      </x:c>
      <x:c r="F494" t="n">
        <x:v>546</x:v>
      </x:c>
      <x:c r="G494" t="n">
        <x:v>1011756.15</x:v>
      </x:c>
      <x:c r="H494" t="n">
        <x:v>1.02965</x:v>
      </x:c>
      <x:c r="I494" t="n">
        <x:v>0.982438</x:v>
      </x:c>
      <x:c r="J494" t="n">
        <x:v>31737839.69</x:v>
      </x:c>
    </x:row>
    <x:row r="495">
      <x:c r="A495" t="n">
        <x:v>2035</x:v>
      </x:c>
      <x:c r="B495" t="str">
        <x:v>May</x:v>
      </x:c>
      <x:c r="C495" t="str">
        <x:v>Month</x:v>
      </x:c>
      <x:c r="D495" t="str">
        <x:v>Heavy Goods</x:v>
      </x:c>
      <x:c r="E495" t="n">
        <x:v>546</x:v>
      </x:c>
      <x:c r="F495" t="n">
        <x:v>546</x:v>
      </x:c>
      <x:c r="G495" t="n">
        <x:v>500033.09</x:v>
      </x:c>
      <x:c r="H495" t="n">
        <x:v>1.027104</x:v>
      </x:c>
      <x:c r="I495" t="n">
        <x:v>0.973323</x:v>
      </x:c>
      <x:c r="J495" t="n">
        <x:v>15503474.51</x:v>
      </x:c>
    </x:row>
    <x:row r="496">
      <x:c r="A496" t="n">
        <x:v>2035</x:v>
      </x:c>
      <x:c r="B496" t="str">
        <x:v>May</x:v>
      </x:c>
      <x:c r="C496" t="str">
        <x:v>Month</x:v>
      </x:c>
      <x:c r="D496" t="str">
        <x:v>Other</x:v>
      </x:c>
      <x:c r="E496" t="n">
        <x:v>546</x:v>
      </x:c>
      <x:c r="F496" t="n">
        <x:v>36</x:v>
      </x:c>
      <x:c r="G496" t="n">
        <x:v>20285.72</x:v>
      </x:c>
      <x:c r="H496" t="n">
        <x:v>2.038337</x:v>
      </x:c>
      <x:c r="I496" t="n">
        <x:v>1</x:v>
      </x:c>
      <x:c r="J496" t="n">
        <x:v>1281822.87</x:v>
      </x:c>
    </x:row>
    <x:row r="497">
      <x:c r="A497" t="n">
        <x:v>2035</x:v>
      </x:c>
      <x:c r="B497" t="str">
        <x:v>May</x:v>
      </x:c>
      <x:c r="C497" t="str">
        <x:v>Year</x:v>
      </x:c>
      <x:c r="D497" t="str">
        <x:v>Motorcycles</x:v>
      </x:c>
      <x:c r="E497" t="n">
        <x:v>546</x:v>
      </x:c>
      <x:c r="F497" t="n">
        <x:v>546</x:v>
      </x:c>
      <x:c r="G497" t="n">
        <x:v>8823394.52</x:v>
      </x:c>
      <x:c r="H497" t="n">
        <x:v>1.034013</x:v>
      </x:c>
      <x:c r="I497" t="n">
        <x:v>0.984658</x:v>
      </x:c>
      <x:c r="J497" t="n">
        <x:v>3280162668.65</x:v>
      </x:c>
    </x:row>
    <x:row r="498">
      <x:c r="A498" t="n">
        <x:v>2035</x:v>
      </x:c>
      <x:c r="B498" t="str">
        <x:v>May</x:v>
      </x:c>
      <x:c r="C498" t="str">
        <x:v>Year</x:v>
      </x:c>
      <x:c r="D498" t="str">
        <x:v>Light Vehicles</x:v>
      </x:c>
      <x:c r="E498" t="n">
        <x:v>546</x:v>
      </x:c>
      <x:c r="F498" t="n">
        <x:v>546</x:v>
      </x:c>
      <x:c r="G498" t="n">
        <x:v>3709230.11</x:v>
      </x:c>
      <x:c r="H498" t="n">
        <x:v>1.024442</x:v>
      </x:c>
      <x:c r="I498" t="n">
        <x:v>0.988701</x:v>
      </x:c>
      <x:c r="J498" t="n">
        <x:v>1371499509.55</x:v>
      </x:c>
    </x:row>
    <x:row r="499">
      <x:c r="A499" t="n">
        <x:v>2035</x:v>
      </x:c>
      <x:c r="B499" t="str">
        <x:v>May</x:v>
      </x:c>
      <x:c r="C499" t="str">
        <x:v>Year</x:v>
      </x:c>
      <x:c r="D499" t="str">
        <x:v>Buses</x:v>
      </x:c>
      <x:c r="E499" t="n">
        <x:v>546</x:v>
      </x:c>
      <x:c r="F499" t="n">
        <x:v>546</x:v>
      </x:c>
      <x:c r="G499" t="n">
        <x:v>1011756.15</x:v>
      </x:c>
      <x:c r="H499" t="n">
        <x:v>1.02965</x:v>
      </x:c>
      <x:c r="I499" t="n">
        <x:v>0.982438</x:v>
      </x:c>
      <x:c r="J499" t="n">
        <x:v>373687467.26</x:v>
      </x:c>
    </x:row>
    <x:row r="500">
      <x:c r="A500" t="n">
        <x:v>2035</x:v>
      </x:c>
      <x:c r="B500" t="str">
        <x:v>May</x:v>
      </x:c>
      <x:c r="C500" t="str">
        <x:v>Year</x:v>
      </x:c>
      <x:c r="D500" t="str">
        <x:v>Heavy Goods</x:v>
      </x:c>
      <x:c r="E500" t="n">
        <x:v>546</x:v>
      </x:c>
      <x:c r="F500" t="n">
        <x:v>546</x:v>
      </x:c>
      <x:c r="G500" t="n">
        <x:v>500033.09</x:v>
      </x:c>
      <x:c r="H500" t="n">
        <x:v>1.027104</x:v>
      </x:c>
      <x:c r="I500" t="n">
        <x:v>0.973323</x:v>
      </x:c>
      <x:c r="J500" t="n">
        <x:v>182540909.54</x:v>
      </x:c>
    </x:row>
    <x:row r="501">
      <x:c r="A501" t="n">
        <x:v>2035</x:v>
      </x:c>
      <x:c r="B501" t="str">
        <x:v>May</x:v>
      </x:c>
      <x:c r="C501" t="str">
        <x:v>Year</x:v>
      </x:c>
      <x:c r="D501" t="str">
        <x:v>Other</x:v>
      </x:c>
      <x:c r="E501" t="n">
        <x:v>546</x:v>
      </x:c>
      <x:c r="F501" t="n">
        <x:v>36</x:v>
      </x:c>
      <x:c r="G501" t="n">
        <x:v>20285.72</x:v>
      </x:c>
      <x:c r="H501" t="n">
        <x:v>2.038337</x:v>
      </x:c>
      <x:c r="I501" t="n">
        <x:v>1</x:v>
      </x:c>
      <x:c r="J501" t="n">
        <x:v>15092430.6</x:v>
      </x:c>
    </x:row>
  </x:sheetData>
  <x:conditionalFormatting sqref="G2:G50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e43a07f9-624e-4ed9-aa1f-618d999f5fd2</x14:id>
        </x:ext>
      </x:extLst>
    </x:cfRule>
  </x:conditionalFormatting>
  <x:conditionalFormatting sqref="J2:J501">
    <x:cfRule type="dataBar" priority="2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cfefa574-452e-4a41-b4e0-a756148a015f</x14:id>
        </x:ext>
      </x:extLst>
    </x:cfRule>
  </x:conditionalFormatting>
  <x:conditionalFormatting sqref="A2:J501">
    <x:cfRule type="containsErrors" dxfId="13" priority="3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e43a07f9-624e-4ed9-aa1f-618d999f5fd2">
            <x14:dataBar gradient="1">
              <x14:cfvo type="min"/>
              <x14:cfvo type="max"/>
              <x14:fillColor rgb="FF2563EB"/>
            </x14:dataBar>
          </x14:cfRule>
          <xm:sqref>G2:G501</xm:sqref>
        </x14:conditionalFormatting>
        <x14:conditionalFormatting>
          <x14:cfRule type="dataBar" priority="2" id="cfefa574-452e-4a41-b4e0-a756148a015f">
            <x14:dataBar gradient="1">
              <x14:cfvo type="min"/>
              <x14:cfvo type="max"/>
              <x14:fillColor rgb="FF7C3AED"/>
            </x14:dataBar>
          </x14:cfRule>
          <xm:sqref>J2:J501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24.8799991607666" hidden="0" customWidth="1"/>
    <x:col min="3" max="3" width="10.380000114440918" hidden="0" customWidth="1"/>
    <x:col min="4" max="4" width="10.880000114440918" hidden="0" customWidth="1"/>
    <x:col min="5" max="5" width="48" hidden="0" customWidth="1"/>
  </x:cols>
  <x:sheetData>
    <x:row r="1">
      <x:c r="A1" s="3" t="str">
        <x:v>Dimension</x:v>
      </x:c>
      <x:c r="B1" s="3" t="str">
        <x:v>Category</x:v>
      </x:c>
      <x:c r="C1" s="3" t="str">
        <x:v>Bridge Count</x:v>
      </x:c>
      <x:c r="D1" s="3" t="str">
        <x:v>AADT incl MC</x:v>
      </x:c>
      <x:c r="E1" s="3" t="str">
        <x:v>Status / method</x:v>
      </x:c>
    </x:row>
    <x:row r="2">
      <x:c r="A2" t="str">
        <x:v>Surface Type</x:v>
      </x:c>
      <x:c r="B2" t="str">
        <x:v>Paved</x:v>
      </x:c>
      <x:c r="C2" t="n">
        <x:v>224</x:v>
      </x:c>
      <x:c r="D2" t="n">
        <x:v>3469495.140000004</x:v>
      </x:c>
      <x:c r="E2" t="str">
        <x:v>Modelled AADT; complete authoritative bridge population</x:v>
      </x:c>
    </x:row>
    <x:row r="3">
      <x:c r="A3" t="str">
        <x:v>Surface Type</x:v>
      </x:c>
      <x:c r="B3" t="str">
        <x:v>Unpaved</x:v>
      </x:c>
      <x:c r="C3" t="n">
        <x:v>322</x:v>
      </x:c>
      <x:c r="D3" t="n">
        <x:v>518505.3499999999</x:v>
      </x:c>
      <x:c r="E3" t="str">
        <x:v>Modelled AADT; complete authoritative bridge population</x:v>
      </x:c>
    </x:row>
    <x:row r="4">
      <x:c r="A4" t="str">
        <x:v>Functional Class</x:v>
      </x:c>
      <x:c r="B4" t="str">
        <x:v>A</x:v>
      </x:c>
      <x:c r="C4" t="n">
        <x:v>64</x:v>
      </x:c>
      <x:c r="D4" t="n">
        <x:v>541701.4199999999</x:v>
      </x:c>
      <x:c r="E4" t="str">
        <x:v>Modelled AADT; complete authoritative bridge population</x:v>
      </x:c>
    </x:row>
    <x:row r="5">
      <x:c r="A5" t="str">
        <x:v>Functional Class</x:v>
      </x:c>
      <x:c r="B5" t="str">
        <x:v>B</x:v>
      </x:c>
      <x:c r="C5" t="n">
        <x:v>97</x:v>
      </x:c>
      <x:c r="D5" t="n">
        <x:v>252369.3099999999</x:v>
      </x:c>
      <x:c r="E5" t="str">
        <x:v>Modelled AADT; complete authoritative bridge population</x:v>
      </x:c>
    </x:row>
    <x:row r="6">
      <x:c r="A6" t="str">
        <x:v>Functional Class</x:v>
      </x:c>
      <x:c r="B6" t="str">
        <x:v>C</x:v>
      </x:c>
      <x:c r="C6" t="n">
        <x:v>310</x:v>
      </x:c>
      <x:c r="D6" t="n">
        <x:v>583555.4700000007</x:v>
      </x:c>
      <x:c r="E6" t="str">
        <x:v>Modelled AADT; complete authoritative bridge population</x:v>
      </x:c>
    </x:row>
    <x:row r="7">
      <x:c r="A7" t="str">
        <x:v>Functional Class</x:v>
      </x:c>
      <x:c r="B7" t="str">
        <x:v>M</x:v>
      </x:c>
      <x:c r="C7" t="n">
        <x:v>75</x:v>
      </x:c>
      <x:c r="D7" t="n">
        <x:v>2610374.290000003</x:v>
      </x:c>
      <x:c r="E7" t="str">
        <x:v>Modelled AADT; complete authoritative bridge population</x:v>
      </x:c>
    </x:row>
    <x:row r="8">
      <x:c r="A8" t="str">
        <x:v>Road Type</x:v>
      </x:c>
      <x:c r="B8" t="str">
        <x:v>Not available in governed source</x:v>
      </x:c>
      <x:c r="C8" t="n">
        <x:v>546</x:v>
      </x:c>
      <x:c r="D8" t="n">
        <x:v>3988000.490000004</x:v>
      </x:c>
      <x:c r="E8" t="str">
        <x:v>Modelled AADT; complete authoritative bridge population</x:v>
      </x:c>
    </x:row>
    <x:row r="9">
      <x:c r="A9" t="str">
        <x:v>Sub-Region</x:v>
      </x:c>
      <x:c r="B9" t="str">
        <x:v>Not available in governed source</x:v>
      </x:c>
      <x:c r="C9" t="n">
        <x:v>546</x:v>
      </x:c>
      <x:c r="D9" t="n">
        <x:v>3988000.490000004</x:v>
      </x:c>
      <x:c r="E9" t="str">
        <x:v>Modelled AADT; complete authoritative bridge population</x:v>
      </x:c>
    </x:row>
    <x:row r="10">
      <x:c r="A10" t="str">
        <x:v>Financial Year</x:v>
      </x:c>
      <x:c r="B10" t="str">
        <x:v>FY2025/26</x:v>
      </x:c>
      <x:c r="C10" t="n">
        <x:v>546</x:v>
      </x:c>
      <x:c r="D10" t="n">
        <x:v>3988000.490000004</x:v>
      </x:c>
      <x:c r="E10" t="str">
        <x:v>Modelled AADT; complete authoritative bridge population</x:v>
      </x:c>
    </x:row>
    <x:row r="11">
      <x:c r="A11" t="str">
        <x:v>Condition</x:v>
      </x:c>
      <x:c r="B11" t="str">
        <x:v>Critical</x:v>
      </x:c>
      <x:c r="C11" t="n">
        <x:v>13</x:v>
      </x:c>
      <x:c r="D11" t="n">
        <x:v>19816.56</x:v>
      </x:c>
      <x:c r="E11" t="str">
        <x:v>Modelled AADT; complete authoritative bridge population</x:v>
      </x:c>
    </x:row>
    <x:row r="12">
      <x:c r="A12" t="str">
        <x:v>Condition</x:v>
      </x:c>
      <x:c r="B12" t="str">
        <x:v>Good</x:v>
      </x:c>
      <x:c r="C12" t="n">
        <x:v>245</x:v>
      </x:c>
      <x:c r="D12" t="n">
        <x:v>2857226.660000001</x:v>
      </x:c>
      <x:c r="E12" t="str">
        <x:v>Modelled AADT; complete authoritative bridge population</x:v>
      </x:c>
    </x:row>
    <x:row r="13">
      <x:c r="A13" t="str">
        <x:v>Condition</x:v>
      </x:c>
      <x:c r="B13" t="str">
        <x:v>Marginal</x:v>
      </x:c>
      <x:c r="C13" t="n">
        <x:v>161</x:v>
      </x:c>
      <x:c r="D13" t="n">
        <x:v>499099.6300000001</x:v>
      </x:c>
      <x:c r="E13" t="str">
        <x:v>Modelled AADT; complete authoritative bridge population</x:v>
      </x:c>
    </x:row>
    <x:row r="14">
      <x:c r="A14" t="str">
        <x:v>Condition</x:v>
      </x:c>
      <x:c r="B14" t="str">
        <x:v>Poor</x:v>
      </x:c>
      <x:c r="C14" t="n">
        <x:v>50</x:v>
      </x:c>
      <x:c r="D14" t="n">
        <x:v>121907.58000000002</x:v>
      </x:c>
      <x:c r="E14" t="str">
        <x:v>Modelled AADT; complete authoritative bridge population</x:v>
      </x:c>
    </x:row>
    <x:row r="15">
      <x:c r="A15" t="str">
        <x:v>Condition</x:v>
      </x:c>
      <x:c r="B15" t="str">
        <x:v>Satisfactory</x:v>
      </x:c>
      <x:c r="C15" t="n">
        <x:v>70</x:v>
      </x:c>
      <x:c r="D15" t="n">
        <x:v>478514.4599999997</x:v>
      </x:c>
      <x:c r="E15" t="str">
        <x:v>Modelled AADT; complete authoritative bridge population</x:v>
      </x:c>
    </x:row>
    <x:row r="16">
      <x:c r="A16" t="str">
        <x:v>Condition</x:v>
      </x:c>
      <x:c r="B16" t="str">
        <x:v>Under Construction</x:v>
      </x:c>
      <x:c r="C16" t="n">
        <x:v>7</x:v>
      </x:c>
      <x:c r="D16" t="n">
        <x:v>11435.6</x:v>
      </x:c>
      <x:c r="E16" t="str">
        <x:v>Modelled AADT; complete authoritative bridge population</x:v>
      </x:c>
    </x:row>
    <x:row r="17">
      <x:c r="A17" t="str">
        <x:v>Region</x:v>
      </x:c>
      <x:c r="B17" t="str">
        <x:v>Central</x:v>
      </x:c>
      <x:c r="C17" t="n">
        <x:v>107</x:v>
      </x:c>
      <x:c r="D17" t="n">
        <x:v>2967939.9900000026</x:v>
      </x:c>
      <x:c r="E17" t="str">
        <x:v>Modelled AADT; complete authoritative bridge population</x:v>
      </x:c>
    </x:row>
    <x:row r="18">
      <x:c r="A18" t="str">
        <x:v>Region</x:v>
      </x:c>
      <x:c r="B18" t="str">
        <x:v>Eastern</x:v>
      </x:c>
      <x:c r="C18" t="n">
        <x:v>91</x:v>
      </x:c>
      <x:c r="D18" t="n">
        <x:v>310084.5299999999</x:v>
      </x:c>
      <x:c r="E18" t="str">
        <x:v>Modelled AADT; complete authoritative bridge population</x:v>
      </x:c>
    </x:row>
    <x:row r="19">
      <x:c r="A19" t="str">
        <x:v>Region</x:v>
      </x:c>
      <x:c r="B19" t="str">
        <x:v>North Eastern</x:v>
      </x:c>
      <x:c r="C19" t="n">
        <x:v>54</x:v>
      </x:c>
      <x:c r="D19" t="n">
        <x:v>133364.32</x:v>
      </x:c>
      <x:c r="E19" t="str">
        <x:v>Modelled AADT; complete authoritative bridge population</x:v>
      </x:c>
    </x:row>
    <x:row r="20">
      <x:c r="A20" t="str">
        <x:v>Region</x:v>
      </x:c>
      <x:c r="B20" t="str">
        <x:v>Northern</x:v>
      </x:c>
      <x:c r="C20" t="n">
        <x:v>176</x:v>
      </x:c>
      <x:c r="D20" t="n">
        <x:v>331006.4800000001</x:v>
      </x:c>
      <x:c r="E20" t="str">
        <x:v>Modelled AADT; complete authoritative bridge population</x:v>
      </x:c>
    </x:row>
    <x:row r="21">
      <x:c r="A21" t="str">
        <x:v>Region</x:v>
      </x:c>
      <x:c r="B21" t="str">
        <x:v>Southern</x:v>
      </x:c>
      <x:c r="C21" t="n">
        <x:v>76</x:v>
      </x:c>
      <x:c r="D21" t="n">
        <x:v>155175.95000000013</x:v>
      </x:c>
      <x:c r="E21" t="str">
        <x:v>Modelled AADT; complete authoritative bridge population</x:v>
      </x:c>
    </x:row>
    <x:row r="22">
      <x:c r="A22" t="str">
        <x:v>Region</x:v>
      </x:c>
      <x:c r="B22" t="str">
        <x:v>Western</x:v>
      </x:c>
      <x:c r="C22" t="n">
        <x:v>42</x:v>
      </x:c>
      <x:c r="D22" t="n">
        <x:v>90429.21999999997</x:v>
      </x:c>
      <x:c r="E22" t="str">
        <x:v>Modelled AADT; complete authoritative bridge population</x:v>
      </x:c>
    </x:row>
    <x:row r="23">
      <x:c r="A23" t="str">
        <x:v>Station</x:v>
      </x:c>
      <x:c r="B23" t="str">
        <x:v>Arua</x:v>
      </x:c>
      <x:c r="C23" t="n">
        <x:v>56</x:v>
      </x:c>
      <x:c r="D23" t="n">
        <x:v>97867.53000000001</x:v>
      </x:c>
      <x:c r="E23" t="str">
        <x:v>Modelled AADT; complete authoritative bridge population</x:v>
      </x:c>
    </x:row>
    <x:row r="24">
      <x:c r="A24" t="str">
        <x:v>Station</x:v>
      </x:c>
      <x:c r="B24" t="str">
        <x:v>Fort Portal</x:v>
      </x:c>
      <x:c r="C24" t="n">
        <x:v>19</x:v>
      </x:c>
      <x:c r="D24" t="n">
        <x:v>67345.84999999998</x:v>
      </x:c>
      <x:c r="E24" t="str">
        <x:v>Modelled AADT; complete authoritative bridge population</x:v>
      </x:c>
    </x:row>
    <x:row r="25">
      <x:c r="A25" t="str">
        <x:v>Station</x:v>
      </x:c>
      <x:c r="B25" t="str">
        <x:v>Gulu</x:v>
      </x:c>
      <x:c r="C25" t="n">
        <x:v>24</x:v>
      </x:c>
      <x:c r="D25" t="n">
        <x:v>63792.620000000024</x:v>
      </x:c>
      <x:c r="E25" t="str">
        <x:v>Modelled AADT; complete authoritative bridge population</x:v>
      </x:c>
    </x:row>
    <x:row r="26">
      <x:c r="A26" t="str">
        <x:v>Station</x:v>
      </x:c>
      <x:c r="B26" t="str">
        <x:v>Hoima</x:v>
      </x:c>
      <x:c r="C26" t="n">
        <x:v>11</x:v>
      </x:c>
      <x:c r="D26" t="n">
        <x:v>16794.27</x:v>
      </x:c>
      <x:c r="E26" t="str">
        <x:v>Modelled AADT; complete authoritative bridge population</x:v>
      </x:c>
    </x:row>
    <x:row r="27">
      <x:c r="A27" t="str">
        <x:v>Station</x:v>
      </x:c>
      <x:c r="B27" t="str">
        <x:v>Ibanda</x:v>
      </x:c>
      <x:c r="C27" t="n">
        <x:v>13</x:v>
      </x:c>
      <x:c r="D27" t="n">
        <x:v>28422.449999999997</x:v>
      </x:c>
      <x:c r="E27" t="str">
        <x:v>Modelled AADT; complete authoritative bridge population</x:v>
      </x:c>
    </x:row>
    <x:row r="28">
      <x:c r="A28" t="str">
        <x:v>Station</x:v>
      </x:c>
      <x:c r="B28" t="str">
        <x:v>Jinja</x:v>
      </x:c>
      <x:c r="C28" t="n">
        <x:v>4</x:v>
      </x:c>
      <x:c r="D28" t="n">
        <x:v>63613.770000000004</x:v>
      </x:c>
      <x:c r="E28" t="str">
        <x:v>Modelled AADT; complete authoritative bridge population</x:v>
      </x:c>
    </x:row>
    <x:row r="29">
      <x:c r="A29" t="str">
        <x:v>Station</x:v>
      </x:c>
      <x:c r="B29" t="str">
        <x:v>Kabale</x:v>
      </x:c>
      <x:c r="C29" t="n">
        <x:v>30</x:v>
      </x:c>
      <x:c r="D29" t="n">
        <x:v>57673.72999999999</x:v>
      </x:c>
      <x:c r="E29" t="str">
        <x:v>Modelled AADT; complete authoritative bridge population</x:v>
      </x:c>
    </x:row>
    <x:row r="30">
      <x:c r="A30" t="str">
        <x:v>Station</x:v>
      </x:c>
      <x:c r="B30" t="str">
        <x:v>Kampala</x:v>
      </x:c>
      <x:c r="C30" t="n">
        <x:v>91</x:v>
      </x:c>
      <x:c r="D30" t="n">
        <x:v>2911357.640000003</x:v>
      </x:c>
      <x:c r="E30" t="str">
        <x:v>Modelled AADT; complete authoritative bridge population</x:v>
      </x:c>
    </x:row>
    <x:row r="31">
      <x:c r="A31" t="str">
        <x:v>Station</x:v>
      </x:c>
      <x:c r="B31" t="str">
        <x:v>Kasese</x:v>
      </x:c>
      <x:c r="C31" t="n">
        <x:v>22</x:v>
      </x:c>
      <x:c r="D31" t="n">
        <x:v>42220.91999999999</x:v>
      </x:c>
      <x:c r="E31" t="str">
        <x:v>Modelled AADT; complete authoritative bridge population</x:v>
      </x:c>
    </x:row>
    <x:row r="32">
      <x:c r="A32" t="str">
        <x:v>Station</x:v>
      </x:c>
      <x:c r="B32" t="str">
        <x:v>Kitgum</x:v>
      </x:c>
      <x:c r="C32" t="n">
        <x:v>49</x:v>
      </x:c>
      <x:c r="D32" t="n">
        <x:v>72959.48999999995</x:v>
      </x:c>
      <x:c r="E32" t="str">
        <x:v>Modelled AADT; complete authoritative bridge population</x:v>
      </x:c>
    </x:row>
    <x:row r="33">
      <x:c r="A33" t="str">
        <x:v>Station</x:v>
      </x:c>
      <x:c r="B33" t="str">
        <x:v>Kotido</x:v>
      </x:c>
      <x:c r="C33" t="n">
        <x:v>17</x:v>
      </x:c>
      <x:c r="D33" t="n">
        <x:v>12604.140000000003</x:v>
      </x:c>
      <x:c r="E33" t="str">
        <x:v>Modelled AADT; complete authoritative bridge population</x:v>
      </x:c>
    </x:row>
    <x:row r="34">
      <x:c r="A34" t="str">
        <x:v>Station</x:v>
      </x:c>
      <x:c r="B34" t="str">
        <x:v>Lira</x:v>
      </x:c>
      <x:c r="C34" t="n">
        <x:v>19</x:v>
      </x:c>
      <x:c r="D34" t="n">
        <x:v>31768.190000000002</x:v>
      </x:c>
      <x:c r="E34" t="str">
        <x:v>Modelled AADT; complete authoritative bridge population</x:v>
      </x:c>
    </x:row>
    <x:row r="35">
      <x:c r="A35" t="str">
        <x:v>Station</x:v>
      </x:c>
      <x:c r="B35" t="str">
        <x:v>Luwero</x:v>
      </x:c>
      <x:c r="C35" t="n">
        <x:v>8</x:v>
      </x:c>
      <x:c r="D35" t="n">
        <x:v>20096.36</x:v>
      </x:c>
      <x:c r="E35" t="str">
        <x:v>Modelled AADT; complete authoritative bridge population</x:v>
      </x:c>
    </x:row>
    <x:row r="36">
      <x:c r="A36" t="str">
        <x:v>Station</x:v>
      </x:c>
      <x:c r="B36" t="str">
        <x:v>Masaka</x:v>
      </x:c>
      <x:c r="C36" t="n">
        <x:v>3</x:v>
      </x:c>
      <x:c r="D36" t="n">
        <x:v>5635.360000000001</x:v>
      </x:c>
      <x:c r="E36" t="str">
        <x:v>Modelled AADT; complete authoritative bridge population</x:v>
      </x:c>
    </x:row>
    <x:row r="37">
      <x:c r="A37" t="str">
        <x:v>Station</x:v>
      </x:c>
      <x:c r="B37" t="str">
        <x:v>Masindi</x:v>
      </x:c>
      <x:c r="C37" t="n">
        <x:v>12</x:v>
      </x:c>
      <x:c r="D37" t="n">
        <x:v>6289.1</x:v>
      </x:c>
      <x:c r="E37" t="str">
        <x:v>Modelled AADT; complete authoritative bridge population</x:v>
      </x:c>
    </x:row>
    <x:row r="38">
      <x:c r="A38" t="str">
        <x:v>Station</x:v>
      </x:c>
      <x:c r="B38" t="str">
        <x:v>Mbale</x:v>
      </x:c>
      <x:c r="C38" t="n">
        <x:v>58</x:v>
      </x:c>
      <x:c r="D38" t="n">
        <x:v>124636.74000000008</x:v>
      </x:c>
      <x:c r="E38" t="str">
        <x:v>Modelled AADT; complete authoritative bridge population</x:v>
      </x:c>
    </x:row>
    <x:row r="39">
      <x:c r="A39" t="str">
        <x:v>Station</x:v>
      </x:c>
      <x:c r="B39" t="str">
        <x:v>Mbarara</x:v>
      </x:c>
      <x:c r="C39" t="n">
        <x:v>11</x:v>
      </x:c>
      <x:c r="D39" t="n">
        <x:v>26858.849999999995</x:v>
      </x:c>
      <x:c r="E39" t="str">
        <x:v>Modelled AADT; complete authoritative bridge population</x:v>
      </x:c>
    </x:row>
    <x:row r="40">
      <x:c r="A40" t="str">
        <x:v>Station</x:v>
      </x:c>
      <x:c r="B40" t="str">
        <x:v>Moroto</x:v>
      </x:c>
      <x:c r="C40" t="n">
        <x:v>22</x:v>
      </x:c>
      <x:c r="D40" t="n">
        <x:v>57031.95999999999</x:v>
      </x:c>
      <x:c r="E40" t="str">
        <x:v>Modelled AADT; complete authoritative bridge population</x:v>
      </x:c>
    </x:row>
    <x:row r="41">
      <x:c r="A41" t="str">
        <x:v>Station</x:v>
      </x:c>
      <x:c r="B41" t="str">
        <x:v>Moyo</x:v>
      </x:c>
      <x:c r="C41" t="n">
        <x:v>28</x:v>
      </x:c>
      <x:c r="D41" t="n">
        <x:v>64618.64999999997</x:v>
      </x:c>
      <x:c r="E41" t="str">
        <x:v>Modelled AADT; complete authoritative bridge population</x:v>
      </x:c>
    </x:row>
    <x:row r="42">
      <x:c r="A42" t="str">
        <x:v>Station</x:v>
      </x:c>
      <x:c r="B42" t="str">
        <x:v>Mpigi</x:v>
      </x:c>
      <x:c r="C42" t="n">
        <x:v>4</x:v>
      </x:c>
      <x:c r="D42" t="n">
        <x:v>26315.510000000002</x:v>
      </x:c>
      <x:c r="E42" t="str">
        <x:v>Modelled AADT; complete authoritative bridge population</x:v>
      </x:c>
    </x:row>
    <x:row r="43">
      <x:c r="A43" t="str">
        <x:v>Station</x:v>
      </x:c>
      <x:c r="B43" t="str">
        <x:v>Mubende</x:v>
      </x:c>
      <x:c r="C43" t="n">
        <x:v>1</x:v>
      </x:c>
      <x:c r="D43" t="n">
        <x:v>4535.12</x:v>
      </x:c>
      <x:c r="E43" t="str">
        <x:v>Modelled AADT; complete authoritative bridge population</x:v>
      </x:c>
    </x:row>
    <x:row r="44">
      <x:c r="A44" t="str">
        <x:v>Station</x:v>
      </x:c>
      <x:c r="B44" t="str">
        <x:v>Soroti</x:v>
      </x:c>
      <x:c r="C44" t="n">
        <x:v>15</x:v>
      </x:c>
      <x:c r="D44" t="n">
        <x:v>63728.21999999999</x:v>
      </x:c>
      <x:c r="E44" t="str">
        <x:v>Modelled AADT; complete authoritative bridge population</x:v>
      </x:c>
    </x:row>
    <x:row r="45">
      <x:c r="A45" t="str">
        <x:v>Station</x:v>
      </x:c>
      <x:c r="B45" t="str">
        <x:v>Tororo</x:v>
      </x:c>
      <x:c r="C45" t="n">
        <x:v>29</x:v>
      </x:c>
      <x:c r="D45" t="n">
        <x:v>121834.02000000002</x:v>
      </x:c>
      <x:c r="E45" t="str">
        <x:v>Modelled AADT; complete authoritative bridge population</x:v>
      </x:c>
    </x:row>
  </x:sheetData>
  <x:conditionalFormatting sqref="C2:C4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1edfdeb9-d790-4bc3-afb4-ebde219749dd</x14:id>
        </x:ext>
      </x:extLst>
    </x:cfRule>
  </x:conditionalFormatting>
  <x:conditionalFormatting sqref="D2:D45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2f756bf1-8a9f-4b24-9396-b9e6ef8c780e</x14:id>
        </x:ext>
      </x:extLst>
    </x:cfRule>
  </x:conditionalFormatting>
  <x:conditionalFormatting sqref="A2:E45">
    <x:cfRule type="containsErrors" dxfId="14" priority="3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1edfdeb9-d790-4bc3-afb4-ebde219749dd">
            <x14:dataBar gradient="1">
              <x14:cfvo type="min"/>
              <x14:cfvo type="max"/>
              <x14:fillColor rgb="FF0F766E"/>
            </x14:dataBar>
          </x14:cfRule>
          <xm:sqref>C2:C45</xm:sqref>
        </x14:conditionalFormatting>
        <x14:conditionalFormatting>
          <x14:cfRule type="dataBar" priority="2" id="2f756bf1-8a9f-4b24-9396-b9e6ef8c780e">
            <x14:dataBar gradient="1">
              <x14:cfvo type="min"/>
              <x14:cfvo type="max"/>
              <x14:fillColor rgb="FF2563EB"/>
            </x14:dataBar>
          </x14:cfRule>
          <xm:sqref>D2:D45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8" hidden="0" customWidth="1"/>
    <x:col min="3" max="3" width="12.25" hidden="0" customWidth="1"/>
    <x:col min="4" max="4" width="8.630000114440918" hidden="0" customWidth="1"/>
    <x:col min="5" max="5" width="10.880000114440918" hidden="0" customWidth="1"/>
    <x:col min="6" max="6" width="8.380000114440918" hidden="0" customWidth="1"/>
    <x:col min="7" max="7" width="23.1299991607666" hidden="0" customWidth="1"/>
    <x:col min="8" max="8" width="23.75" hidden="0" customWidth="1"/>
    <x:col min="9" max="9" width="12.5" hidden="0" customWidth="1"/>
    <x:col min="10" max="10" width="13.380000114440918" hidden="0" customWidth="1"/>
    <x:col min="11" max="11" width="14.5" hidden="0" customWidth="1"/>
    <x:col min="12" max="12" width="8.5" hidden="0" customWidth="1"/>
    <x:col min="13" max="13" width="14.130000114440918" hidden="0" customWidth="1"/>
    <x:col min="14" max="14" width="8.5" hidden="0" customWidth="1"/>
  </x:cols>
  <x:sheetData>
    <x:row r="1">
      <x:c r="A1" s="3" t="str">
        <x:v>Bridge Name</x:v>
      </x:c>
      <x:c r="B1" s="3" t="str">
        <x:v>Bridge No</x:v>
      </x:c>
      <x:c r="C1" s="3" t="str">
        <x:v>Link ID</x:v>
      </x:c>
      <x:c r="D1" s="3" t="str">
        <x:v>Road Class</x:v>
      </x:c>
      <x:c r="E1" s="3" t="str">
        <x:v>Region</x:v>
      </x:c>
      <x:c r="F1" s="3" t="str">
        <x:v>Station</x:v>
      </x:c>
      <x:c r="G1" s="3" t="str">
        <x:v>Current Assigned ADT Incl MC</x:v>
      </x:c>
      <x:c r="H1" s="3" t="str">
        <x:v>Annual Weighted Growth Rate</x:v>
      </x:c>
      <x:c r="I1" s="3" t="str">
        <x:v>Seasonal Factor</x:v>
      </x:c>
      <x:c r="J1" s="3" t="str">
        <x:v>Motorcycles ADT</x:v>
      </x:c>
      <x:c r="K1" s="3" t="str">
        <x:v>Light Vehicles ADT</x:v>
      </x:c>
      <x:c r="L1" s="3" t="str">
        <x:v>Buses ADT</x:v>
      </x:c>
      <x:c r="M1" s="3" t="str">
        <x:v>Heavy Goods ADT</x:v>
      </x:c>
      <x:c r="N1" s="3" t="str">
        <x:v>Other ADT</x:v>
      </x:c>
    </x:row>
    <x:row r="2">
      <x:c r="A2" t="str">
        <x:v>Rwizi Bridge</x:v>
      </x:c>
      <x:c r="B2" t="str">
        <x:v>B548</x:v>
      </x:c>
      <x:c r="C2" t="str">
        <x:v>A002_Link08</x:v>
      </x:c>
      <x:c r="D2" t="str">
        <x:v>A</x:v>
      </x:c>
      <x:c r="E2" t="str">
        <x:v>Southern</x:v>
      </x:c>
      <x:c r="F2" t="str">
        <x:v>Mbarara</x:v>
      </x:c>
      <x:c r="G2" t="n">
        <x:v>6206.4</x:v>
      </x:c>
      <x:c r="H2" t="n">
        <x:v>0.001304</x:v>
      </x:c>
      <x:c r="I2" t="n">
        <x:v>0.9728</x:v>
      </x:c>
      <x:c r="J2" t="n">
        <x:v>4365.46</x:v>
      </x:c>
      <x:c r="K2" t="n">
        <x:v>981.68</x:v>
      </x:c>
      <x:c r="L2" t="n">
        <x:v>488.04</x:v>
      </x:c>
      <x:c r="M2" t="n">
        <x:v>371.22</x:v>
      </x:c>
      <x:c r="N2" t="n">
        <x:v>0</x:v>
      </x:c>
    </x:row>
    <x:row r="3">
      <x:c r="A3" t="str">
        <x:v>Kibimba</x:v>
      </x:c>
      <x:c r="B3" t="str">
        <x:v>B001</x:v>
      </x:c>
      <x:c r="C3" t="str">
        <x:v>A001_Link08</x:v>
      </x:c>
      <x:c r="D3" t="str">
        <x:v>A</x:v>
      </x:c>
      <x:c r="E3" t="str">
        <x:v>Eastern</x:v>
      </x:c>
      <x:c r="F3" t="str">
        <x:v>Jinja</x:v>
      </x:c>
      <x:c r="G3" t="n">
        <x:v>14461.44</x:v>
      </x:c>
      <x:c r="H3" t="n">
        <x:v>0.001304</x:v>
      </x:c>
      <x:c r="I3" t="n">
        <x:v>0.9312</x:v>
      </x:c>
      <x:c r="J3" t="n">
        <x:v>10416.93</x:v>
      </x:c>
      <x:c r="K3" t="n">
        <x:v>281.48</x:v>
      </x:c>
      <x:c r="L3" t="n">
        <x:v>1013.03</x:v>
      </x:c>
      <x:c r="M3" t="n">
        <x:v>2749.99</x:v>
      </x:c>
      <x:c r="N3" t="n">
        <x:v>0</x:v>
      </x:c>
    </x:row>
    <x:row r="4">
      <x:c r="A4" t="str">
        <x:v>Malaba</x:v>
      </x:c>
      <x:c r="B4" t="str">
        <x:v>B002</x:v>
      </x:c>
      <x:c r="C4" t="str">
        <x:v>A001_Link11</x:v>
      </x:c>
      <x:c r="D4" t="str">
        <x:v>A</x:v>
      </x:c>
      <x:c r="E4" t="str">
        <x:v>Eastern</x:v>
      </x:c>
      <x:c r="F4" t="str">
        <x:v>Tororo</x:v>
      </x:c>
      <x:c r="G4" t="n">
        <x:v>12039.86</x:v>
      </x:c>
      <x:c r="H4" t="n">
        <x:v>0.001304</x:v>
      </x:c>
      <x:c r="I4" t="n">
        <x:v>0.9312</x:v>
      </x:c>
      <x:c r="J4" t="n">
        <x:v>7378.41</x:v>
      </x:c>
      <x:c r="K4" t="n">
        <x:v>2729.58</x:v>
      </x:c>
      <x:c r="L4" t="n">
        <x:v>1097.43</x:v>
      </x:c>
      <x:c r="M4" t="n">
        <x:v>834.44</x:v>
      </x:c>
      <x:c r="N4" t="n">
        <x:v>0</x:v>
      </x:c>
    </x:row>
    <x:row r="5">
      <x:c r="A5" t="str">
        <x:v>Busega</x:v>
      </x:c>
      <x:c r="B5" t="str">
        <x:v>B003</x:v>
      </x:c>
      <x:c r="C5" t="str">
        <x:v>A002_Link02</x:v>
      </x:c>
      <x:c r="D5" t="str">
        <x:v>A</x:v>
      </x:c>
      <x:c r="E5" t="str">
        <x:v>Central</x:v>
      </x:c>
      <x:c r="F5" t="str">
        <x:v>Mpigi</x:v>
      </x:c>
      <x:c r="G5" t="n">
        <x:v>14744.59</x:v>
      </x:c>
      <x:c r="H5" t="n">
        <x:v>0.001304</x:v>
      </x:c>
      <x:c r="I5" t="n">
        <x:v>0.9781</x:v>
      </x:c>
      <x:c r="J5" t="n">
        <x:v>9619.49</x:v>
      </x:c>
      <x:c r="K5" t="n">
        <x:v>3117.7</x:v>
      </x:c>
      <x:c r="L5" t="n">
        <x:v>1224.92</x:v>
      </x:c>
      <x:c r="M5" t="n">
        <x:v>782.48</x:v>
      </x:c>
      <x:c r="N5" t="n">
        <x:v>0</x:v>
      </x:c>
    </x:row>
    <x:row r="6">
      <x:c r="A6" t="str">
        <x:v>Katonga Bridge</x:v>
      </x:c>
      <x:c r="B6" t="str">
        <x:v>B004</x:v>
      </x:c>
      <x:c r="C6" t="str">
        <x:v>A002_Link04</x:v>
      </x:c>
      <x:c r="D6" t="str">
        <x:v>A</x:v>
      </x:c>
      <x:c r="E6" t="str">
        <x:v>Central</x:v>
      </x:c>
      <x:c r="F6" t="str">
        <x:v>Mpigi</x:v>
      </x:c>
      <x:c r="G6" t="n">
        <x:v>8993.24</x:v>
      </x:c>
      <x:c r="H6" t="n">
        <x:v>0.001304</x:v>
      </x:c>
      <x:c r="I6" t="n">
        <x:v>0.9781</x:v>
      </x:c>
      <x:c r="J6" t="n">
        <x:v>1660.72</x:v>
      </x:c>
      <x:c r="K6" t="n">
        <x:v>4106.53</x:v>
      </x:c>
      <x:c r="L6" t="n">
        <x:v>2240.75</x:v>
      </x:c>
      <x:c r="M6" t="n">
        <x:v>985.25</x:v>
      </x:c>
      <x:c r="N6" t="n">
        <x:v>0</x:v>
      </x:c>
    </x:row>
    <x:row r="7">
      <x:c r="A7" t="str">
        <x:v>Rwizi Bridge</x:v>
      </x:c>
      <x:c r="B7" t="str">
        <x:v>B005</x:v>
      </x:c>
      <x:c r="C7" t="str">
        <x:v>A002_Link08</x:v>
      </x:c>
      <x:c r="D7" t="str">
        <x:v>A</x:v>
      </x:c>
      <x:c r="E7" t="str">
        <x:v>Southern</x:v>
      </x:c>
      <x:c r="F7" t="str">
        <x:v>Mbarara</x:v>
      </x:c>
      <x:c r="G7" t="n">
        <x:v>6206.4</x:v>
      </x:c>
      <x:c r="H7" t="n">
        <x:v>0.001304</x:v>
      </x:c>
      <x:c r="I7" t="n">
        <x:v>0.9728</x:v>
      </x:c>
      <x:c r="J7" t="n">
        <x:v>4365.46</x:v>
      </x:c>
      <x:c r="K7" t="n">
        <x:v>981.68</x:v>
      </x:c>
      <x:c r="L7" t="n">
        <x:v>488.04</x:v>
      </x:c>
      <x:c r="M7" t="n">
        <x:v>371.22</x:v>
      </x:c>
      <x:c r="N7" t="n">
        <x:v>0</x:v>
      </x:c>
    </x:row>
    <x:row r="8">
      <x:c r="A8" t="str">
        <x:v>Kamira Bridge</x:v>
      </x:c>
      <x:c r="B8" t="str">
        <x:v>B006</x:v>
      </x:c>
      <x:c r="C8" t="str">
        <x:v>A002_Link09</x:v>
      </x:c>
      <x:c r="D8" t="str">
        <x:v>A</x:v>
      </x:c>
      <x:c r="E8" t="str">
        <x:v>Southern</x:v>
      </x:c>
      <x:c r="F8" t="str">
        <x:v>Kabale</x:v>
      </x:c>
      <x:c r="G8" t="n">
        <x:v>6420.02</x:v>
      </x:c>
      <x:c r="H8" t="n">
        <x:v>0.001304</x:v>
      </x:c>
      <x:c r="I8" t="n">
        <x:v>0.9728</x:v>
      </x:c>
      <x:c r="J8" t="n">
        <x:v>4692.04</x:v>
      </x:c>
      <x:c r="K8" t="n">
        <x:v>907.41</x:v>
      </x:c>
      <x:c r="L8" t="n">
        <x:v>463.35</x:v>
      </x:c>
      <x:c r="M8" t="n">
        <x:v>357.21</x:v>
      </x:c>
      <x:c r="N8" t="n">
        <x:v>0</x:v>
      </x:c>
    </x:row>
    <x:row r="9">
      <x:c r="A9" t="str">
        <x:v>Rubanga Bridge</x:v>
      </x:c>
      <x:c r="B9" t="str">
        <x:v>B007</x:v>
      </x:c>
      <x:c r="C9" t="str">
        <x:v>A002_Link09</x:v>
      </x:c>
      <x:c r="D9" t="str">
        <x:v>A</x:v>
      </x:c>
      <x:c r="E9" t="str">
        <x:v>Southern</x:v>
      </x:c>
      <x:c r="F9" t="str">
        <x:v>Kabale</x:v>
      </x:c>
      <x:c r="G9" t="n">
        <x:v>6420.06</x:v>
      </x:c>
      <x:c r="H9" t="n">
        <x:v>0.001304</x:v>
      </x:c>
      <x:c r="I9" t="n">
        <x:v>0.9728</x:v>
      </x:c>
      <x:c r="J9" t="n">
        <x:v>4692.05</x:v>
      </x:c>
      <x:c r="K9" t="n">
        <x:v>907.43</x:v>
      </x:c>
      <x:c r="L9" t="n">
        <x:v>463.36</x:v>
      </x:c>
      <x:c r="M9" t="n">
        <x:v>357.22</x:v>
      </x:c>
      <x:c r="N9" t="n">
        <x:v>0</x:v>
      </x:c>
    </x:row>
    <x:row r="10">
      <x:c r="A10" t="str">
        <x:v>Katinada Bridge</x:v>
      </x:c>
      <x:c r="B10" t="str">
        <x:v>B008</x:v>
      </x:c>
      <x:c r="C10" t="str">
        <x:v>A002_Link09</x:v>
      </x:c>
      <x:c r="D10" t="str">
        <x:v>A</x:v>
      </x:c>
      <x:c r="E10" t="str">
        <x:v>Southern</x:v>
      </x:c>
      <x:c r="F10" t="str">
        <x:v>Kabale</x:v>
      </x:c>
      <x:c r="G10" t="n">
        <x:v>6521.99</x:v>
      </x:c>
      <x:c r="H10" t="n">
        <x:v>0.001304</x:v>
      </x:c>
      <x:c r="I10" t="n">
        <x:v>0.9728</x:v>
      </x:c>
      <x:c r="J10" t="n">
        <x:v>4716.17</x:v>
      </x:c>
      <x:c r="K10" t="n">
        <x:v>950.74</x:v>
      </x:c>
      <x:c r="L10" t="n">
        <x:v>482.43</x:v>
      </x:c>
      <x:c r="M10" t="n">
        <x:v>372.65</x:v>
      </x:c>
      <x:c r="N10" t="n">
        <x:v>0</x:v>
      </x:c>
    </x:row>
    <x:row r="11">
      <x:c r="A11" t="str">
        <x:v>Rubaale - Muhanga - Kabale</x:v>
      </x:c>
      <x:c r="B11" t="str">
        <x:v>B009</x:v>
      </x:c>
      <x:c r="C11" t="str">
        <x:v>A002_Link10</x:v>
      </x:c>
      <x:c r="D11" t="str">
        <x:v>A</x:v>
      </x:c>
      <x:c r="E11" t="str">
        <x:v>Southern</x:v>
      </x:c>
      <x:c r="F11" t="str">
        <x:v>Kabale</x:v>
      </x:c>
      <x:c r="G11" t="n">
        <x:v>6764.75</x:v>
      </x:c>
      <x:c r="H11" t="n">
        <x:v>0.001304</x:v>
      </x:c>
      <x:c r="I11" t="n">
        <x:v>0.9728</x:v>
      </x:c>
      <x:c r="J11" t="n">
        <x:v>4788.47</x:v>
      </x:c>
      <x:c r="K11" t="n">
        <x:v>1044.85</x:v>
      </x:c>
      <x:c r="L11" t="n">
        <x:v>524.26</x:v>
      </x:c>
      <x:c r="M11" t="n">
        <x:v>407.17</x:v>
      </x:c>
      <x:c r="N11" t="n">
        <x:v>0</x:v>
      </x:c>
    </x:row>
    <x:row r="12">
      <x:c r="A12" t="str">
        <x:v>Bumuli Overbridge 2</x:v>
      </x:c>
      <x:c r="B12" t="str">
        <x:v>B045</x:v>
      </x:c>
      <x:c r="C12" t="str">
        <x:v>M3_Link01</x:v>
      </x:c>
      <x:c r="D12" t="str">
        <x:v>M</x:v>
      </x:c>
      <x:c r="E12" t="str">
        <x:v>Central</x:v>
      </x:c>
      <x:c r="F12" t="str">
        <x:v>Kampala</x:v>
      </x:c>
      <x:c r="G12" t="n">
        <x:v>20711.35</x:v>
      </x:c>
      <x:c r="H12" t="n">
        <x:v>0.001594</x:v>
      </x:c>
      <x:c r="I12" t="n">
        <x:v>0.9781</x:v>
      </x:c>
      <x:c r="J12" t="n">
        <x:v>16575</x:v>
      </x:c>
      <x:c r="K12" t="n">
        <x:v>2266.83</x:v>
      </x:c>
      <x:c r="L12" t="n">
        <x:v>1144.07</x:v>
      </x:c>
      <x:c r="M12" t="n">
        <x:v>725.45</x:v>
      </x:c>
      <x:c r="N12" t="n">
        <x:v>0</x:v>
      </x:c>
    </x:row>
    <x:row r="13">
      <x:c r="A13" t="str">
        <x:v>Source Of The Nile Bridge Jinja (New Jinja Bridge)</x:v>
      </x:c>
      <x:c r="B13" t="str">
        <x:v>B046</x:v>
      </x:c>
      <x:c r="C13" t="str">
        <x:v>A001N1_Link01</x:v>
      </x:c>
      <x:c r="D13" t="str">
        <x:v>A</x:v>
      </x:c>
      <x:c r="E13" t="str">
        <x:v>Central</x:v>
      </x:c>
      <x:c r="F13" t="str">
        <x:v>Kampala</x:v>
      </x:c>
      <x:c r="G13" t="n">
        <x:v>18798.83</x:v>
      </x:c>
      <x:c r="H13" t="n">
        <x:v>0.001304</x:v>
      </x:c>
      <x:c r="I13" t="n">
        <x:v>0.9781</x:v>
      </x:c>
      <x:c r="J13" t="n">
        <x:v>12512.02</x:v>
      </x:c>
      <x:c r="K13" t="n">
        <x:v>3453.41</x:v>
      </x:c>
      <x:c r="L13" t="n">
        <x:v>1500.24</x:v>
      </x:c>
      <x:c r="M13" t="n">
        <x:v>1333.17</x:v>
      </x:c>
      <x:c r="N13" t="n">
        <x:v>0</x:v>
      </x:c>
    </x:row>
    <x:row r="14">
      <x:c r="A14" t="str">
        <x:v>Kee B7 Overbridge</x:v>
      </x:c>
      <x:c r="B14" t="str">
        <x:v>B063</x:v>
      </x:c>
      <x:c r="C14" t="str">
        <x:v>M3_Link01</x:v>
      </x:c>
      <x:c r="D14" t="str">
        <x:v>M</x:v>
      </x:c>
      <x:c r="E14" t="str">
        <x:v>Central</x:v>
      </x:c>
      <x:c r="F14" t="str">
        <x:v>Kampala</x:v>
      </x:c>
      <x:c r="G14" t="n">
        <x:v>20711.35</x:v>
      </x:c>
      <x:c r="H14" t="n">
        <x:v>0.001594</x:v>
      </x:c>
      <x:c r="I14" t="n">
        <x:v>0.9781</x:v>
      </x:c>
      <x:c r="J14" t="n">
        <x:v>14139.11</x:v>
      </x:c>
      <x:c r="K14" t="n">
        <x:v>3938.01</x:v>
      </x:c>
      <x:c r="L14" t="n">
        <x:v>1598.5</x:v>
      </x:c>
      <x:c r="M14" t="n">
        <x:v>1035.72</x:v>
      </x:c>
      <x:c r="N14" t="n">
        <x:v>0</x:v>
      </x:c>
    </x:row>
    <x:row r="15">
      <x:c r="A15" t="str">
        <x:v>Sisa Bridge Underpass</x:v>
      </x:c>
      <x:c r="B15" t="str">
        <x:v>B064</x:v>
      </x:c>
      <x:c r="C15" t="str">
        <x:v>M3_Link01</x:v>
      </x:c>
      <x:c r="D15" t="str">
        <x:v>M</x:v>
      </x:c>
      <x:c r="E15" t="str">
        <x:v>Central</x:v>
      </x:c>
      <x:c r="F15" t="str">
        <x:v>Kampala</x:v>
      </x:c>
      <x:c r="G15" t="n">
        <x:v>20711.35</x:v>
      </x:c>
      <x:c r="H15" t="n">
        <x:v>0.001594</x:v>
      </x:c>
      <x:c r="I15" t="n">
        <x:v>0.9781</x:v>
      </x:c>
      <x:c r="J15" t="n">
        <x:v>17263.95</x:v>
      </x:c>
      <x:c r="K15" t="n">
        <x:v>1815.25</x:v>
      </x:c>
      <x:c r="L15" t="n">
        <x:v>1010.27</x:v>
      </x:c>
      <x:c r="M15" t="n">
        <x:v>621.88</x:v>
      </x:c>
      <x:c r="N15" t="n">
        <x:v>0</x:v>
      </x:c>
    </x:row>
    <x:row r="16">
      <x:c r="A16" t="str">
        <x:v>Mwanyare</x:v>
      </x:c>
      <x:c r="B16" t="str">
        <x:v>B010</x:v>
      </x:c>
      <x:c r="C16" t="str">
        <x:v>A002_Link11</x:v>
      </x:c>
      <x:c r="D16" t="str">
        <x:v>A</x:v>
      </x:c>
      <x:c r="E16" t="str">
        <x:v>Southern</x:v>
      </x:c>
      <x:c r="F16" t="str">
        <x:v>Kabale</x:v>
      </x:c>
      <x:c r="G16" t="n">
        <x:v>6908.28</x:v>
      </x:c>
      <x:c r="H16" t="n">
        <x:v>0.001304</x:v>
      </x:c>
      <x:c r="I16" t="n">
        <x:v>0.9728</x:v>
      </x:c>
      <x:c r="J16" t="n">
        <x:v>4848.32</x:v>
      </x:c>
      <x:c r="K16" t="n">
        <x:v>1090.03</x:v>
      </x:c>
      <x:c r="L16" t="n">
        <x:v>545.11</x:v>
      </x:c>
      <x:c r="M16" t="n">
        <x:v>424.83</x:v>
      </x:c>
      <x:c r="N16" t="n">
        <x:v>0</x:v>
      </x:c>
    </x:row>
    <x:row r="17">
      <x:c r="A17" t="str">
        <x:v>Kee B8 Overbridge</x:v>
      </x:c>
      <x:c r="B17" t="str">
        <x:v>B065</x:v>
      </x:c>
      <x:c r="C17" t="str">
        <x:v>M3_Link01</x:v>
      </x:c>
      <x:c r="D17" t="str">
        <x:v>M</x:v>
      </x:c>
      <x:c r="E17" t="str">
        <x:v>Central</x:v>
      </x:c>
      <x:c r="F17" t="str">
        <x:v>Kampala</x:v>
      </x:c>
      <x:c r="G17" t="n">
        <x:v>20711.35</x:v>
      </x:c>
      <x:c r="H17" t="n">
        <x:v>0.001594</x:v>
      </x:c>
      <x:c r="I17" t="n">
        <x:v>0.9781</x:v>
      </x:c>
      <x:c r="J17" t="n">
        <x:v>14276.19</x:v>
      </x:c>
      <x:c r="K17" t="n">
        <x:v>3839.05</x:v>
      </x:c>
      <x:c r="L17" t="n">
        <x:v>1574.27</x:v>
      </x:c>
      <x:c r="M17" t="n">
        <x:v>1021.84</x:v>
      </x:c>
      <x:c r="N17" t="n">
        <x:v>0</x:v>
      </x:c>
    </x:row>
    <x:row r="18">
      <x:c r="A18" t="str">
        <x:v>19+580 Over-Bridge</x:v>
      </x:c>
      <x:c r="B18" t="str">
        <x:v>B066</x:v>
      </x:c>
      <x:c r="C18" t="str">
        <x:v>M3_Link01</x:v>
      </x:c>
      <x:c r="D18" t="str">
        <x:v>M</x:v>
      </x:c>
      <x:c r="E18" t="str">
        <x:v>Central</x:v>
      </x:c>
      <x:c r="F18" t="str">
        <x:v>Kampala</x:v>
      </x:c>
      <x:c r="G18" t="n">
        <x:v>20711.35</x:v>
      </x:c>
      <x:c r="H18" t="n">
        <x:v>0.001594</x:v>
      </x:c>
      <x:c r="I18" t="n">
        <x:v>0.9781</x:v>
      </x:c>
      <x:c r="J18" t="n">
        <x:v>17747.06</x:v>
      </x:c>
      <x:c r="K18" t="n">
        <x:v>1503.48</x:v>
      </x:c>
      <x:c r="L18" t="n">
        <x:v>915.1</x:v>
      </x:c>
      <x:c r="M18" t="n">
        <x:v>545.71</x:v>
      </x:c>
      <x:c r="N18" t="n">
        <x:v>0</x:v>
      </x:c>
    </x:row>
    <x:row r="19">
      <x:c r="A19" t="str">
        <x:v>Bukoola</x:v>
      </x:c>
      <x:c r="B19" t="str">
        <x:v>B011</x:v>
      </x:c>
      <x:c r="C19" t="str">
        <x:v>A004_Link02</x:v>
      </x:c>
      <x:c r="D19" t="str">
        <x:v>A</x:v>
      </x:c>
      <x:c r="E19" t="str">
        <x:v>Central</x:v>
      </x:c>
      <x:c r="F19" t="str">
        <x:v>Masaka</x:v>
      </x:c>
      <x:c r="G19" t="n">
        <x:v>8203.85</x:v>
      </x:c>
      <x:c r="H19" t="n">
        <x:v>0.001304</x:v>
      </x:c>
      <x:c r="I19" t="n">
        <x:v>0.9781</x:v>
      </x:c>
      <x:c r="J19" t="n">
        <x:v>5709.56</x:v>
      </x:c>
      <x:c r="K19" t="n">
        <x:v>1291.43</x:v>
      </x:c>
      <x:c r="L19" t="n">
        <x:v>664.31</x:v>
      </x:c>
      <x:c r="M19" t="n">
        <x:v>538.55</x:v>
      </x:c>
      <x:c r="N19" t="n">
        <x:v>0</x:v>
      </x:c>
    </x:row>
    <x:row r="20">
      <x:c r="A20" t="str">
        <x:v>Kee B9 Overbridge</x:v>
      </x:c>
      <x:c r="B20" t="str">
        <x:v>B083</x:v>
      </x:c>
      <x:c r="C20" t="str">
        <x:v>M3_Link01</x:v>
      </x:c>
      <x:c r="D20" t="str">
        <x:v>M</x:v>
      </x:c>
      <x:c r="E20" t="str">
        <x:v>Central</x:v>
      </x:c>
      <x:c r="F20" t="str">
        <x:v>Kampala</x:v>
      </x:c>
      <x:c r="G20" t="n">
        <x:v>20711.35</x:v>
      </x:c>
      <x:c r="H20" t="n">
        <x:v>0.001594</x:v>
      </x:c>
      <x:c r="I20" t="n">
        <x:v>0.9781</x:v>
      </x:c>
      <x:c r="J20" t="n">
        <x:v>14715.71</x:v>
      </x:c>
      <x:c r="K20" t="n">
        <x:v>3527.44</x:v>
      </x:c>
      <x:c r="L20" t="n">
        <x:v>1494.86</x:v>
      </x:c>
      <x:c r="M20" t="n">
        <x:v>973.35</x:v>
      </x:c>
      <x:c r="N20" t="n">
        <x:v>0</x:v>
      </x:c>
    </x:row>
    <x:row r="21">
      <x:c r="A21" t="str">
        <x:v>Ziiru Overbridge</x:v>
      </x:c>
      <x:c r="B21" t="str">
        <x:v>B084</x:v>
      </x:c>
      <x:c r="C21" t="str">
        <x:v>M3_Link01</x:v>
      </x:c>
      <x:c r="D21" t="str">
        <x:v>M</x:v>
      </x:c>
      <x:c r="E21" t="str">
        <x:v>Central</x:v>
      </x:c>
      <x:c r="F21" t="str">
        <x:v>Kampala</x:v>
      </x:c>
      <x:c r="G21" t="n">
        <x:v>20711.35</x:v>
      </x:c>
      <x:c r="H21" t="n">
        <x:v>0.001594</x:v>
      </x:c>
      <x:c r="I21" t="n">
        <x:v>0.9781</x:v>
      </x:c>
      <x:c r="J21" t="n">
        <x:v>17892.98</x:v>
      </x:c>
      <x:c r="K21" t="n">
        <x:v>1409.86</x:v>
      </x:c>
      <x:c r="L21" t="n">
        <x:v>886.21</x:v>
      </x:c>
      <x:c r="M21" t="n">
        <x:v>522.3</x:v>
      </x:c>
      <x:c r="N21" t="n">
        <x:v>0</x:v>
      </x:c>
    </x:row>
    <x:row r="22">
      <x:c r="A22" t="str">
        <x:v>Buyala</x:v>
      </x:c>
      <x:c r="B22" t="str">
        <x:v>B012</x:v>
      </x:c>
      <x:c r="C22" t="str">
        <x:v>A005_Link01</x:v>
      </x:c>
      <x:c r="D22" t="str">
        <x:v>A</x:v>
      </x:c>
      <x:c r="E22" t="str">
        <x:v>Central</x:v>
      </x:c>
      <x:c r="F22" t="str">
        <x:v>Mpigi</x:v>
      </x:c>
      <x:c r="G22" t="n">
        <x:v>13671.06</x:v>
      </x:c>
      <x:c r="H22" t="n">
        <x:v>0.001304</x:v>
      </x:c>
      <x:c r="I22" t="n">
        <x:v>0.9781</x:v>
      </x:c>
      <x:c r="J22" t="n">
        <x:v>9266.76</x:v>
      </x:c>
      <x:c r="K22" t="n">
        <x:v>2562.27</x:v>
      </x:c>
      <x:c r="L22" t="n">
        <x:v>1093.91</x:v>
      </x:c>
      <x:c r="M22" t="n">
        <x:v>748.12</x:v>
      </x:c>
      <x:c r="N22" t="n">
        <x:v>0</x:v>
      </x:c>
    </x:row>
    <x:row r="23">
      <x:c r="A23" t="str">
        <x:v>Kajjansi Interchange Kee B10</x:v>
      </x:c>
      <x:c r="B23" t="str">
        <x:v>B086</x:v>
      </x:c>
      <x:c r="C23" t="str">
        <x:v>M3_Link01</x:v>
      </x:c>
      <x:c r="D23" t="str">
        <x:v>M</x:v>
      </x:c>
      <x:c r="E23" t="str">
        <x:v>Central</x:v>
      </x:c>
      <x:c r="F23" t="str">
        <x:v>Kampala</x:v>
      </x:c>
      <x:c r="G23" t="n">
        <x:v>20711.35</x:v>
      </x:c>
      <x:c r="H23" t="n">
        <x:v>0.001594</x:v>
      </x:c>
      <x:c r="I23" t="n">
        <x:v>0.9781</x:v>
      </x:c>
      <x:c r="J23" t="n">
        <x:v>15122.66</x:v>
      </x:c>
      <x:c r="K23" t="n">
        <x:v>3249.15</x:v>
      </x:c>
      <x:c r="L23" t="n">
        <x:v>1418.37</x:v>
      </x:c>
      <x:c r="M23" t="n">
        <x:v>921.18</x:v>
      </x:c>
      <x:c r="N23" t="n">
        <x:v>0</x:v>
      </x:c>
    </x:row>
    <x:row r="24">
      <x:c r="A24" t="str">
        <x:v>Ziiru Overbridge 2</x:v>
      </x:c>
      <x:c r="B24" t="str">
        <x:v>B273</x:v>
      </x:c>
      <x:c r="C24" t="str">
        <x:v>M3_Link01</x:v>
      </x:c>
      <x:c r="D24" t="str">
        <x:v>M</x:v>
      </x:c>
      <x:c r="E24" t="str">
        <x:v>Central</x:v>
      </x:c>
      <x:c r="F24" t="str">
        <x:v>Kampala</x:v>
      </x:c>
      <x:c r="G24" t="n">
        <x:v>20711.35</x:v>
      </x:c>
      <x:c r="H24" t="n">
        <x:v>0.001594</x:v>
      </x:c>
      <x:c r="I24" t="n">
        <x:v>0.9781</x:v>
      </x:c>
      <x:c r="J24" t="n">
        <x:v>18293.37</x:v>
      </x:c>
      <x:c r="K24" t="n">
        <x:v>1154.13</x:v>
      </x:c>
      <x:c r="L24" t="n">
        <x:v>806.62</x:v>
      </x:c>
      <x:c r="M24" t="n">
        <x:v>457.22</x:v>
      </x:c>
      <x:c r="N24" t="n">
        <x:v>0</x:v>
      </x:c>
    </x:row>
    <x:row r="25">
      <x:c r="A25" t="str">
        <x:v>Mpanga</x:v>
      </x:c>
      <x:c r="B25" t="str">
        <x:v>B013</x:v>
      </x:c>
      <x:c r="C25" t="str">
        <x:v>A005_Link10</x:v>
      </x:c>
      <x:c r="D25" t="str">
        <x:v>A</x:v>
      </x:c>
      <x:c r="E25" t="str">
        <x:v>Western</x:v>
      </x:c>
      <x:c r="F25" t="str">
        <x:v>Fort Portal</x:v>
      </x:c>
      <x:c r="G25" t="n">
        <x:v>3674.32</x:v>
      </x:c>
      <x:c r="H25" t="n">
        <x:v>0.001304</x:v>
      </x:c>
      <x:c r="I25" t="n">
        <x:v>0.9388</x:v>
      </x:c>
      <x:c r="J25" t="n">
        <x:v>819.02</x:v>
      </x:c>
      <x:c r="K25" t="n">
        <x:v>2090.24</x:v>
      </x:c>
      <x:c r="L25" t="n">
        <x:v>630.78</x:v>
      </x:c>
      <x:c r="M25" t="n">
        <x:v>134.27</x:v>
      </x:c>
      <x:c r="N25" t="n">
        <x:v>0</x:v>
      </x:c>
    </x:row>
    <x:row r="26">
      <x:c r="A26" t="str">
        <x:v>Kajjansi Interchange Kee B11</x:v>
      </x:c>
      <x:c r="B26" t="str">
        <x:v>B132</x:v>
      </x:c>
      <x:c r="C26" t="str">
        <x:v>M3_Link01</x:v>
      </x:c>
      <x:c r="D26" t="str">
        <x:v>M</x:v>
      </x:c>
      <x:c r="E26" t="str">
        <x:v>Central</x:v>
      </x:c>
      <x:c r="F26" t="str">
        <x:v>Kampala</x:v>
      </x:c>
      <x:c r="G26" t="n">
        <x:v>20711.35</x:v>
      </x:c>
      <x:c r="H26" t="n">
        <x:v>0.001594</x:v>
      </x:c>
      <x:c r="I26" t="n">
        <x:v>0.9781</x:v>
      </x:c>
      <x:c r="J26" t="n">
        <x:v>13312.24</x:v>
      </x:c>
      <x:c r="K26" t="n">
        <x:v>4561.59</x:v>
      </x:c>
      <x:c r="L26" t="n">
        <x:v>1735.23</x:v>
      </x:c>
      <x:c r="M26" t="n">
        <x:v>1102.28</x:v>
      </x:c>
      <x:c r="N26" t="n">
        <x:v>0</x:v>
      </x:c>
    </x:row>
    <x:row r="27">
      <x:c r="A27" t="str">
        <x:v>Nambigirwa Bridge 1</x:v>
      </x:c>
      <x:c r="B27" t="str">
        <x:v>B133</x:v>
      </x:c>
      <x:c r="C27" t="str">
        <x:v>M3_Link01</x:v>
      </x:c>
      <x:c r="D27" t="str">
        <x:v>M</x:v>
      </x:c>
      <x:c r="E27" t="str">
        <x:v>Central</x:v>
      </x:c>
      <x:c r="F27" t="str">
        <x:v>Kampala</x:v>
      </x:c>
      <x:c r="G27" t="n">
        <x:v>20711.35</x:v>
      </x:c>
      <x:c r="H27" t="n">
        <x:v>0.001594</x:v>
      </x:c>
      <x:c r="I27" t="n">
        <x:v>0.9781</x:v>
      </x:c>
      <x:c r="J27" t="n">
        <x:v>13312.24</x:v>
      </x:c>
      <x:c r="K27" t="n">
        <x:v>4561.59</x:v>
      </x:c>
      <x:c r="L27" t="n">
        <x:v>1735.23</x:v>
      </x:c>
      <x:c r="M27" t="n">
        <x:v>1102.28</x:v>
      </x:c>
      <x:c r="N27" t="n">
        <x:v>0</x:v>
      </x:c>
    </x:row>
    <x:row r="28">
      <x:c r="A28" t="str">
        <x:v>Mpanga</x:v>
      </x:c>
      <x:c r="B28" t="str">
        <x:v>B014</x:v>
      </x:c>
      <x:c r="C28" t="str">
        <x:v>C542_Link01</x:v>
      </x:c>
      <x:c r="D28" t="str">
        <x:v>C</x:v>
      </x:c>
      <x:c r="E28" t="str">
        <x:v>Western</x:v>
      </x:c>
      <x:c r="F28" t="str">
        <x:v>Fort Portal</x:v>
      </x:c>
      <x:c r="G28" t="n">
        <x:v>4647.17</x:v>
      </x:c>
      <x:c r="H28" t="n">
        <x:v>0.000928</x:v>
      </x:c>
      <x:c r="I28" t="n">
        <x:v>0.9388</x:v>
      </x:c>
      <x:c r="J28" t="n">
        <x:v>2865.59</x:v>
      </x:c>
      <x:c r="K28" t="n">
        <x:v>1067.96</x:v>
      </x:c>
      <x:c r="L28" t="n">
        <x:v>440.32</x:v>
      </x:c>
      <x:c r="M28" t="n">
        <x:v>273.29</x:v>
      </x:c>
      <x:c r="N28" t="n">
        <x:v>0</x:v>
      </x:c>
    </x:row>
    <x:row r="29">
      <x:c r="A29" t="str">
        <x:v>Kajjansi Overbridge 1 Kee B11</x:v>
      </x:c>
      <x:c r="B29" t="str">
        <x:v>B375</x:v>
      </x:c>
      <x:c r="C29" t="str">
        <x:v>M3_Link01</x:v>
      </x:c>
      <x:c r="D29" t="str">
        <x:v>M</x:v>
      </x:c>
      <x:c r="E29" t="str">
        <x:v>Central</x:v>
      </x:c>
      <x:c r="F29" t="str">
        <x:v>Kampala</x:v>
      </x:c>
      <x:c r="G29" t="n">
        <x:v>20711.35</x:v>
      </x:c>
      <x:c r="H29" t="n">
        <x:v>0.001594</x:v>
      </x:c>
      <x:c r="I29" t="n">
        <x:v>0.9781</x:v>
      </x:c>
      <x:c r="J29" t="n">
        <x:v>15335.5</x:v>
      </x:c>
      <x:c r="K29" t="n">
        <x:v>3102.3</x:v>
      </x:c>
      <x:c r="L29" t="n">
        <x:v>1378.86</x:v>
      </x:c>
      <x:c r="M29" t="n">
        <x:v>894.7</x:v>
      </x:c>
      <x:c r="N29" t="n">
        <x:v>0</x:v>
      </x:c>
    </x:row>
    <x:row r="30">
      <x:c r="A30" t="str">
        <x:v>Nambigirwa Bridge 2</x:v>
      </x:c>
      <x:c r="B30" t="str">
        <x:v>B633</x:v>
      </x:c>
      <x:c r="C30" t="str">
        <x:v>C575_Link01</x:v>
      </x:c>
      <x:c r="D30" t="str">
        <x:v>C</x:v>
      </x:c>
      <x:c r="E30" t="str">
        <x:v>Western</x:v>
      </x:c>
      <x:c r="F30" t="str">
        <x:v>Fort Portal</x:v>
      </x:c>
      <x:c r="G30" t="n">
        <x:v>20711.35</x:v>
      </x:c>
      <x:c r="H30" t="n">
        <x:v>0.000928</x:v>
      </x:c>
      <x:c r="I30" t="n">
        <x:v>0.9388</x:v>
      </x:c>
      <x:c r="J30" t="n">
        <x:v>13600.03</x:v>
      </x:c>
      <x:c r="K30" t="n">
        <x:v>4015.63</x:v>
      </x:c>
      <x:c r="L30" t="n">
        <x:v>1805.79</x:v>
      </x:c>
      <x:c r="M30" t="n">
        <x:v>1289.9</x:v>
      </x:c>
      <x:c r="N30" t="n">
        <x:v>0</x:v>
      </x:c>
    </x:row>
    <x:row r="31">
      <x:c r="A31" t="str">
        <x:v>Mpanga</x:v>
      </x:c>
      <x:c r="B31" t="str">
        <x:v>B015</x:v>
      </x:c>
      <x:c r="C31" t="str">
        <x:v>A005_Link10</x:v>
      </x:c>
      <x:c r="D31" t="str">
        <x:v>A</x:v>
      </x:c>
      <x:c r="E31" t="str">
        <x:v>Western</x:v>
      </x:c>
      <x:c r="F31" t="str">
        <x:v>Fort Portal</x:v>
      </x:c>
      <x:c r="G31" t="n">
        <x:v>3101.88</x:v>
      </x:c>
      <x:c r="H31" t="n">
        <x:v>0.001304</x:v>
      </x:c>
      <x:c r="I31" t="n">
        <x:v>0.9388</x:v>
      </x:c>
      <x:c r="J31" t="n">
        <x:v>691.42</x:v>
      </x:c>
      <x:c r="K31" t="n">
        <x:v>1764.6</x:v>
      </x:c>
      <x:c r="L31" t="n">
        <x:v>532.51</x:v>
      </x:c>
      <x:c r="M31" t="n">
        <x:v>113.36</x:v>
      </x:c>
      <x:c r="N31" t="n">
        <x:v>0</x:v>
      </x:c>
    </x:row>
    <x:row r="32">
      <x:c r="A32" t="str">
        <x:v>Kajjansi Overbridge 2 Kee B12</x:v>
      </x:c>
      <x:c r="B32" t="str">
        <x:v>B721</x:v>
      </x:c>
      <x:c r="C32" t="str">
        <x:v>M3_Link01</x:v>
      </x:c>
      <x:c r="D32" t="str">
        <x:v>M</x:v>
      </x:c>
      <x:c r="E32" t="str">
        <x:v>Central</x:v>
      </x:c>
      <x:c r="F32" t="str">
        <x:v>Kampala</x:v>
      </x:c>
      <x:c r="G32" t="n">
        <x:v>20711.35</x:v>
      </x:c>
      <x:c r="H32" t="n">
        <x:v>0.001594</x:v>
      </x:c>
      <x:c r="I32" t="n">
        <x:v>0.9781</x:v>
      </x:c>
      <x:c r="J32" t="n">
        <x:v>15453.13</x:v>
      </x:c>
      <x:c r="K32" t="n">
        <x:v>3021.69</x:v>
      </x:c>
      <x:c r="L32" t="n">
        <x:v>1356.89</x:v>
      </x:c>
      <x:c r="M32" t="n">
        <x:v>879.65</x:v>
      </x:c>
      <x:c r="N32" t="n">
        <x:v>0</x:v>
      </x:c>
    </x:row>
    <x:row r="33">
      <x:c r="A33" t="str">
        <x:v>Mpalla 1</x:v>
      </x:c>
      <x:c r="B33" t="str">
        <x:v>B722</x:v>
      </x:c>
      <x:c r="C33" t="str">
        <x:v>C677_Link02</x:v>
      </x:c>
      <x:c r="D33" t="str">
        <x:v>C</x:v>
      </x:c>
      <x:c r="E33" t="str">
        <x:v>Northern</x:v>
      </x:c>
      <x:c r="F33" t="str">
        <x:v>Kitgum</x:v>
      </x:c>
      <x:c r="G33" t="n">
        <x:v>6427.84</x:v>
      </x:c>
      <x:c r="H33" t="n">
        <x:v>0.000928</x:v>
      </x:c>
      <x:c r="I33" t="n">
        <x:v>0.9376</x:v>
      </x:c>
      <x:c r="J33" t="n">
        <x:v>4373.72</x:v>
      </x:c>
      <x:c r="K33" t="n">
        <x:v>1105.68</x:v>
      </x:c>
      <x:c r="L33" t="n">
        <x:v>514.42</x:v>
      </x:c>
      <x:c r="M33" t="n">
        <x:v>434.02</x:v>
      </x:c>
      <x:c r="N33" t="n">
        <x:v>0</x:v>
      </x:c>
    </x:row>
    <x:row r="34">
      <x:c r="A34" t="str">
        <x:v>Rwimi</x:v>
      </x:c>
      <x:c r="B34" t="str">
        <x:v>B016</x:v>
      </x:c>
      <x:c r="C34" t="str">
        <x:v>A005_Link11</x:v>
      </x:c>
      <x:c r="D34" t="str">
        <x:v>A</x:v>
      </x:c>
      <x:c r="E34" t="str">
        <x:v>Western</x:v>
      </x:c>
      <x:c r="F34" t="str">
        <x:v>Fort Portal</x:v>
      </x:c>
      <x:c r="G34" t="n">
        <x:v>5246.59</x:v>
      </x:c>
      <x:c r="H34" t="n">
        <x:v>0.001304</x:v>
      </x:c>
      <x:c r="I34" t="n">
        <x:v>0.9388</x:v>
      </x:c>
      <x:c r="J34" t="n">
        <x:v>3337.04</x:v>
      </x:c>
      <x:c r="K34" t="n">
        <x:v>1131.51</x:v>
      </x:c>
      <x:c r="L34" t="n">
        <x:v>473.92</x:v>
      </x:c>
      <x:c r="M34" t="n">
        <x:v>304.12</x:v>
      </x:c>
      <x:c r="N34" t="n">
        <x:v>0</x:v>
      </x:c>
    </x:row>
    <x:row r="35">
      <x:c r="A35" t="str">
        <x:v>Kajjansi Overbridge 3 Kee 13</x:v>
      </x:c>
      <x:c r="B35" t="str">
        <x:v>B723</x:v>
      </x:c>
      <x:c r="C35" t="str">
        <x:v>M3_Link01</x:v>
      </x:c>
      <x:c r="D35" t="str">
        <x:v>M</x:v>
      </x:c>
      <x:c r="E35" t="str">
        <x:v>Central</x:v>
      </x:c>
      <x:c r="F35" t="str">
        <x:v>Kampala</x:v>
      </x:c>
      <x:c r="G35" t="n">
        <x:v>20711.35</x:v>
      </x:c>
      <x:c r="H35" t="n">
        <x:v>0.001594</x:v>
      </x:c>
      <x:c r="I35" t="n">
        <x:v>0.9781</x:v>
      </x:c>
      <x:c r="J35" t="n">
        <x:v>15731.86</x:v>
      </x:c>
      <x:c r="K35" t="n">
        <x:v>2832.16</x:v>
      </x:c>
      <x:c r="L35" t="n">
        <x:v>1304.46</x:v>
      </x:c>
      <x:c r="M35" t="n">
        <x:v>842.87</x:v>
      </x:c>
      <x:c r="N35" t="n">
        <x:v>0</x:v>
      </x:c>
    </x:row>
    <x:row r="36">
      <x:c r="A36" t="str">
        <x:v>Mpalla 2</x:v>
      </x:c>
      <x:c r="B36" t="str">
        <x:v>B017</x:v>
      </x:c>
      <x:c r="C36" t="str">
        <x:v>C963_Link02</x:v>
      </x:c>
      <x:c r="D36" t="str">
        <x:v>C</x:v>
      </x:c>
      <x:c r="E36" t="str">
        <x:v>North Eastern</x:v>
      </x:c>
      <x:c r="F36" t="str">
        <x:v>Moroto</x:v>
      </x:c>
      <x:c r="G36" t="n">
        <x:v>7441.88</x:v>
      </x:c>
      <x:c r="H36" t="n">
        <x:v>0.000928</x:v>
      </x:c>
      <x:c r="I36" t="n">
        <x:v>0.9376</x:v>
      </x:c>
      <x:c r="J36" t="n">
        <x:v>5005.23</x:v>
      </x:c>
      <x:c r="K36" t="n">
        <x:v>1322.98</x:v>
      </x:c>
      <x:c r="L36" t="n">
        <x:v>604.04</x:v>
      </x:c>
      <x:c r="M36" t="n">
        <x:v>509.64</x:v>
      </x:c>
      <x:c r="N36" t="n">
        <x:v>0</x:v>
      </x:c>
    </x:row>
    <x:row r="37">
      <x:c r="A37" t="str">
        <x:v>Nsonja</x:v>
      </x:c>
      <x:c r="B37" t="str">
        <x:v>B644</x:v>
      </x:c>
      <x:c r="C37" t="str">
        <x:v>C547_Link01</x:v>
      </x:c>
      <x:c r="D37" t="str">
        <x:v>C</x:v>
      </x:c>
      <x:c r="E37" t="str">
        <x:v>Western</x:v>
      </x:c>
      <x:c r="F37" t="str">
        <x:v>Fort Portal</x:v>
      </x:c>
      <x:c r="G37" t="n">
        <x:v>4299.55</x:v>
      </x:c>
      <x:c r="H37" t="n">
        <x:v>0.000928</x:v>
      </x:c>
      <x:c r="I37" t="n">
        <x:v>0.9388</x:v>
      </x:c>
      <x:c r="J37" t="n">
        <x:v>2919.05</x:v>
      </x:c>
      <x:c r="K37" t="n">
        <x:v>791.61</x:v>
      </x:c>
      <x:c r="L37" t="n">
        <x:v>343.43</x:v>
      </x:c>
      <x:c r="M37" t="n">
        <x:v>245.46</x:v>
      </x:c>
      <x:c r="N37" t="n">
        <x:v>0</x:v>
      </x:c>
    </x:row>
    <x:row r="38">
      <x:c r="A38" t="str">
        <x:v>Bumuli Overbridge</x:v>
      </x:c>
      <x:c r="B38" t="str">
        <x:v>B767</x:v>
      </x:c>
      <x:c r="C38" t="str">
        <x:v>C963_Link03</x:v>
      </x:c>
      <x:c r="D38" t="str">
        <x:v>C</x:v>
      </x:c>
      <x:c r="E38" t="str">
        <x:v>North Eastern</x:v>
      </x:c>
      <x:c r="F38" t="str">
        <x:v>Moroto</x:v>
      </x:c>
      <x:c r="G38" t="n">
        <x:v>7526.86</x:v>
      </x:c>
      <x:c r="H38" t="n">
        <x:v>0.000928</x:v>
      </x:c>
      <x:c r="I38" t="n">
        <x:v>0.9376</x:v>
      </x:c>
      <x:c r="J38" t="n">
        <x:v>5044.61</x:v>
      </x:c>
      <x:c r="K38" t="n">
        <x:v>1351.72</x:v>
      </x:c>
      <x:c r="L38" t="n">
        <x:v>613.06</x:v>
      </x:c>
      <x:c r="M38" t="n">
        <x:v>517.47</x:v>
      </x:c>
      <x:c r="N38" t="n">
        <x:v>0</x:v>
      </x:c>
    </x:row>
    <x:row r="39">
      <x:c r="A39" t="str">
        <x:v>Mpalla 3</x:v>
      </x:c>
      <x:c r="B39" t="str">
        <x:v>B768</x:v>
      </x:c>
      <x:c r="C39" t="str">
        <x:v>C964_Link02</x:v>
      </x:c>
      <x:c r="D39" t="str">
        <x:v>C</x:v>
      </x:c>
      <x:c r="E39" t="str">
        <x:v>North Eastern</x:v>
      </x:c>
      <x:c r="F39" t="str">
        <x:v>Soroti</x:v>
      </x:c>
      <x:c r="G39" t="n">
        <x:v>20711.35</x:v>
      </x:c>
      <x:c r="H39" t="n">
        <x:v>0.000928</x:v>
      </x:c>
      <x:c r="I39" t="n">
        <x:v>0.9376</x:v>
      </x:c>
      <x:c r="J39" t="n">
        <x:v>13731.59</x:v>
      </x:c>
      <x:c r="K39" t="n">
        <x:v>3899.55</x:v>
      </x:c>
      <x:c r="L39" t="n">
        <x:v>1683.61</x:v>
      </x:c>
      <x:c r="M39" t="n">
        <x:v>1396.6</x:v>
      </x:c>
      <x:c r="N39" t="n">
        <x:v>0</x:v>
      </x:c>
    </x:row>
    <x:row r="40">
      <x:c r="A40" t="str">
        <x:v>Mubuku Bridge</x:v>
      </x:c>
      <x:c r="B40" t="str">
        <x:v>B018</x:v>
      </x:c>
      <x:c r="C40" t="str">
        <x:v>A005_Link13</x:v>
      </x:c>
      <x:c r="D40" t="str">
        <x:v>A</x:v>
      </x:c>
      <x:c r="E40" t="str">
        <x:v>Southern</x:v>
      </x:c>
      <x:c r="F40" t="str">
        <x:v>Kasese</x:v>
      </x:c>
      <x:c r="G40" t="n">
        <x:v>5246.59</x:v>
      </x:c>
      <x:c r="H40" t="n">
        <x:v>0.001304</x:v>
      </x:c>
      <x:c r="I40" t="n">
        <x:v>0.9728</x:v>
      </x:c>
      <x:c r="J40" t="n">
        <x:v>3470.92</x:v>
      </x:c>
      <x:c r="K40" t="n">
        <x:v>1022.69</x:v>
      </x:c>
      <x:c r="L40" t="n">
        <x:v>447.08</x:v>
      </x:c>
      <x:c r="M40" t="n">
        <x:v>305.9</x:v>
      </x:c>
      <x:c r="N40" t="n">
        <x:v>0</x:v>
      </x:c>
    </x:row>
    <x:row r="41">
      <x:c r="A41" t="str">
        <x:v>Mubuku</x:v>
      </x:c>
      <x:c r="B41" t="str">
        <x:v>B769</x:v>
      </x:c>
      <x:c r="C41" t="str">
        <x:v>C967_Link01</x:v>
      </x:c>
      <x:c r="D41" t="str">
        <x:v>C</x:v>
      </x:c>
      <x:c r="E41" t="str">
        <x:v>North Eastern</x:v>
      </x:c>
      <x:c r="F41" t="str">
        <x:v>Moroto</x:v>
      </x:c>
      <x:c r="G41" t="n">
        <x:v>7194.99</x:v>
      </x:c>
      <x:c r="H41" t="n">
        <x:v>0.000928</x:v>
      </x:c>
      <x:c r="I41" t="n">
        <x:v>0.9376</x:v>
      </x:c>
      <x:c r="J41" t="n">
        <x:v>4842.08</x:v>
      </x:c>
      <x:c r="K41" t="n">
        <x:v>1280.28</x:v>
      </x:c>
      <x:c r="L41" t="n">
        <x:v>582.23</x:v>
      </x:c>
      <x:c r="M41" t="n">
        <x:v>490.41</x:v>
      </x:c>
      <x:c r="N41" t="n">
        <x:v>0</x:v>
      </x:c>
    </x:row>
    <x:row r="42">
      <x:c r="A42" t="str">
        <x:v>Nyamwamba Bridge</x:v>
      </x:c>
      <x:c r="B42" t="str">
        <x:v>B544</x:v>
      </x:c>
      <x:c r="C42" t="str">
        <x:v>A005_Link13</x:v>
      </x:c>
      <x:c r="D42" t="str">
        <x:v>A</x:v>
      </x:c>
      <x:c r="E42" t="str">
        <x:v>Southern</x:v>
      </x:c>
      <x:c r="F42" t="str">
        <x:v>Kasese</x:v>
      </x:c>
      <x:c r="G42" t="n">
        <x:v>5246.59</x:v>
      </x:c>
      <x:c r="H42" t="n">
        <x:v>0.001304</x:v>
      </x:c>
      <x:c r="I42" t="n">
        <x:v>0.9728</x:v>
      </x:c>
      <x:c r="J42" t="n">
        <x:v>3509.83</x:v>
      </x:c>
      <x:c r="K42" t="n">
        <x:v>994.04</x:v>
      </x:c>
      <x:c r="L42" t="n">
        <x:v>438.59</x:v>
      </x:c>
      <x:c r="M42" t="n">
        <x:v>304.13</x:v>
      </x:c>
      <x:c r="N42" t="n">
        <x:v>0</x:v>
      </x:c>
    </x:row>
    <x:row r="43">
      <x:c r="A43" t="str">
        <x:v>Kaseiga</x:v>
      </x:c>
      <x:c r="B43" t="str">
        <x:v>B387</x:v>
      </x:c>
      <x:c r="C43" t="str">
        <x:v>B152_Link04</x:v>
      </x:c>
      <x:c r="D43" t="str">
        <x:v>B</x:v>
      </x:c>
      <x:c r="E43" t="str">
        <x:v>Southern</x:v>
      </x:c>
      <x:c r="F43" t="str">
        <x:v>Kasese</x:v>
      </x:c>
      <x:c r="G43" t="n">
        <x:v>5684.07</x:v>
      </x:c>
      <x:c r="H43" t="n">
        <x:v>0.001101</x:v>
      </x:c>
      <x:c r="I43" t="n">
        <x:v>0.9728</x:v>
      </x:c>
      <x:c r="J43" t="n">
        <x:v>3837.47</x:v>
      </x:c>
      <x:c r="K43" t="n">
        <x:v>1081.81</x:v>
      </x:c>
      <x:c r="L43" t="n">
        <x:v>459.54</x:v>
      </x:c>
      <x:c r="M43" t="n">
        <x:v>305.25</x:v>
      </x:c>
      <x:c r="N43" t="n">
        <x:v>0</x:v>
      </x:c>
    </x:row>
    <x:row r="44">
      <x:c r="A44" t="str">
        <x:v>Iriri Mpcs</x:v>
      </x:c>
      <x:c r="B44" t="str">
        <x:v>B021</x:v>
      </x:c>
      <x:c r="C44" t="str">
        <x:v>B303_Link03</x:v>
      </x:c>
      <x:c r="D44" t="str">
        <x:v>B</x:v>
      </x:c>
      <x:c r="E44" t="str">
        <x:v>North Eastern</x:v>
      </x:c>
      <x:c r="F44" t="str">
        <x:v>Moroto</x:v>
      </x:c>
      <x:c r="G44" t="n">
        <x:v>7039.03</x:v>
      </x:c>
      <x:c r="H44" t="n">
        <x:v>0.001101</x:v>
      </x:c>
      <x:c r="I44" t="n">
        <x:v>0.9376</x:v>
      </x:c>
      <x:c r="J44" t="n">
        <x:v>4714.63</x:v>
      </x:c>
      <x:c r="K44" t="n">
        <x:v>1275.06</x:v>
      </x:c>
      <x:c r="L44" t="n">
        <x:v>570.44</x:v>
      </x:c>
      <x:c r="M44" t="n">
        <x:v>478.91</x:v>
      </x:c>
      <x:c r="N44" t="n">
        <x:v>0</x:v>
      </x:c>
    </x:row>
    <x:row r="45">
      <x:c r="A45" t="str">
        <x:v>Mpondwe Bridge</x:v>
      </x:c>
      <x:c r="B45" t="str">
        <x:v>B022</x:v>
      </x:c>
      <x:c r="C45" t="str">
        <x:v>A005_LINK15</x:v>
      </x:c>
      <x:c r="D45" t="str">
        <x:v>A</x:v>
      </x:c>
      <x:c r="E45" t="str">
        <x:v>Southern</x:v>
      </x:c>
      <x:c r="F45" t="str">
        <x:v>Kasese</x:v>
      </x:c>
      <x:c r="G45" t="n">
        <x:v>5619.06</x:v>
      </x:c>
      <x:c r="H45" t="n">
        <x:v>0.001304</x:v>
      </x:c>
      <x:c r="I45" t="n">
        <x:v>0.9728</x:v>
      </x:c>
      <x:c r="J45" t="n">
        <x:v>3871</x:v>
      </x:c>
      <x:c r="K45" t="n">
        <x:v>973.79</x:v>
      </x:c>
      <x:c r="L45" t="n">
        <x:v>447.95</x:v>
      </x:c>
      <x:c r="M45" t="n">
        <x:v>326.32</x:v>
      </x:c>
      <x:c r="N45" t="n">
        <x:v>0</x:v>
      </x:c>
    </x:row>
    <x:row r="46">
      <x:c r="A46" t="str">
        <x:v>Kafu Bridge</x:v>
      </x:c>
      <x:c r="B46" t="str">
        <x:v>B023</x:v>
      </x:c>
      <x:c r="C46" t="str">
        <x:v>A006_Link06</x:v>
      </x:c>
      <x:c r="D46" t="str">
        <x:v>A</x:v>
      </x:c>
      <x:c r="E46" t="str">
        <x:v>Central</x:v>
      </x:c>
      <x:c r="F46" t="str">
        <x:v>Luwero</x:v>
      </x:c>
      <x:c r="G46" t="n">
        <x:v>9527.92</x:v>
      </x:c>
      <x:c r="H46" t="n">
        <x:v>0.001304</x:v>
      </x:c>
      <x:c r="I46" t="n">
        <x:v>0.9781</x:v>
      </x:c>
      <x:c r="J46" t="n">
        <x:v>6704.91</x:v>
      </x:c>
      <x:c r="K46" t="n">
        <x:v>1468.66</x:v>
      </x:c>
      <x:c r="L46" t="n">
        <x:v>744.24</x:v>
      </x:c>
      <x:c r="M46" t="n">
        <x:v>610.1</x:v>
      </x:c>
      <x:c r="N46" t="n">
        <x:v>0</x:v>
      </x:c>
    </x:row>
    <x:row r="47">
      <x:c r="A47" t="str">
        <x:v>Titi</x:v>
      </x:c>
      <x:c r="B47" t="str">
        <x:v>B024</x:v>
      </x:c>
      <x:c r="C47" t="str">
        <x:v>C677_Link02</x:v>
      </x:c>
      <x:c r="D47" t="str">
        <x:v>C</x:v>
      </x:c>
      <x:c r="E47" t="str">
        <x:v>Northern</x:v>
      </x:c>
      <x:c r="F47" t="str">
        <x:v>Kitgum</x:v>
      </x:c>
      <x:c r="G47" t="n">
        <x:v>6483.03</x:v>
      </x:c>
      <x:c r="H47" t="n">
        <x:v>0.000928</x:v>
      </x:c>
      <x:c r="I47" t="n">
        <x:v>0.9376</x:v>
      </x:c>
      <x:c r="J47" t="n">
        <x:v>4408.5</x:v>
      </x:c>
      <x:c r="K47" t="n">
        <x:v>1118.39</x:v>
      </x:c>
      <x:c r="L47" t="n">
        <x:v>518.85</x:v>
      </x:c>
      <x:c r="M47" t="n">
        <x:v>437.3</x:v>
      </x:c>
      <x:c r="N47" t="n">
        <x:v>0</x:v>
      </x:c>
    </x:row>
    <x:row r="48">
      <x:c r="A48" t="str">
        <x:v>Karuma Bridge</x:v>
      </x:c>
      <x:c r="B48" t="str">
        <x:v>B025</x:v>
      </x:c>
      <x:c r="C48" t="str">
        <x:v>C677_Link02</x:v>
      </x:c>
      <x:c r="D48" t="str">
        <x:v>C</x:v>
      </x:c>
      <x:c r="E48" t="str">
        <x:v>Northern</x:v>
      </x:c>
      <x:c r="F48" t="str">
        <x:v>Kitgum</x:v>
      </x:c>
      <x:c r="G48" t="n">
        <x:v>6496.85</x:v>
      </x:c>
      <x:c r="H48" t="n">
        <x:v>0.000928</x:v>
      </x:c>
      <x:c r="I48" t="n">
        <x:v>0.9376</x:v>
      </x:c>
      <x:c r="J48" t="n">
        <x:v>4417.48</x:v>
      </x:c>
      <x:c r="K48" t="n">
        <x:v>1121.03</x:v>
      </x:c>
      <x:c r="L48" t="n">
        <x:v>520.04</x:v>
      </x:c>
      <x:c r="M48" t="n">
        <x:v>438.29</x:v>
      </x:c>
      <x:c r="N48" t="n">
        <x:v>0</x:v>
      </x:c>
    </x:row>
    <x:row r="49">
      <x:c r="A49" t="str">
        <x:v>Magodes</x:v>
      </x:c>
      <x:c r="B49" t="str">
        <x:v>B026</x:v>
      </x:c>
      <x:c r="C49" t="str">
        <x:v>C963_Link03</x:v>
      </x:c>
      <x:c r="D49" t="str">
        <x:v>C</x:v>
      </x:c>
      <x:c r="E49" t="str">
        <x:v>North Eastern</x:v>
      </x:c>
      <x:c r="F49" t="str">
        <x:v>Moroto</x:v>
      </x:c>
      <x:c r="G49" t="n">
        <x:v>23460.74</x:v>
      </x:c>
      <x:c r="H49" t="n">
        <x:v>0.000928</x:v>
      </x:c>
      <x:c r="I49" t="n">
        <x:v>0.9376</x:v>
      </x:c>
      <x:c r="J49" t="n">
        <x:v>15705.3</x:v>
      </x:c>
      <x:c r="K49" t="n">
        <x:v>4227.19</x:v>
      </x:c>
      <x:c r="L49" t="n">
        <x:v>1913.21</x:v>
      </x:c>
      <x:c r="M49" t="n">
        <x:v>1615.04</x:v>
      </x:c>
      <x:c r="N49" t="n">
        <x:v>0</x:v>
      </x:c>
    </x:row>
    <x:row r="50">
      <x:c r="A50" t="str">
        <x:v>Nabuyonga Bridge</x:v>
      </x:c>
      <x:c r="B50" t="str">
        <x:v>B027</x:v>
      </x:c>
      <x:c r="C50" t="str">
        <x:v>A007_Link04</x:v>
      </x:c>
      <x:c r="D50" t="str">
        <x:v>A</x:v>
      </x:c>
      <x:c r="E50" t="str">
        <x:v>Eastern</x:v>
      </x:c>
      <x:c r="F50" t="str">
        <x:v>Mbale</x:v>
      </x:c>
      <x:c r="G50" t="n">
        <x:v>10667.71</x:v>
      </x:c>
      <x:c r="H50" t="n">
        <x:v>0.001304</x:v>
      </x:c>
      <x:c r="I50" t="n">
        <x:v>0.9312</x:v>
      </x:c>
      <x:c r="J50" t="n">
        <x:v>6712.52</x:v>
      </x:c>
      <x:c r="K50" t="n">
        <x:v>2318.8</x:v>
      </x:c>
      <x:c r="L50" t="n">
        <x:v>942.18</x:v>
      </x:c>
      <x:c r="M50" t="n">
        <x:v>694.21</x:v>
      </x:c>
      <x:c r="N50" t="n">
        <x:v>0</x:v>
      </x:c>
    </x:row>
    <x:row r="51">
      <x:c r="A51" t="str">
        <x:v>Namatala</x:v>
      </x:c>
      <x:c r="B51" t="str">
        <x:v>B028</x:v>
      </x:c>
      <x:c r="C51" t="str">
        <x:v>C967_Link01</x:v>
      </x:c>
      <x:c r="D51" t="str">
        <x:v>C</x:v>
      </x:c>
      <x:c r="E51" t="str">
        <x:v>North Eastern</x:v>
      </x:c>
      <x:c r="F51" t="str">
        <x:v>Moroto</x:v>
      </x:c>
      <x:c r="G51" t="n">
        <x:v>10667.71</x:v>
      </x:c>
      <x:c r="H51" t="n">
        <x:v>0.000928</x:v>
      </x:c>
      <x:c r="I51" t="n">
        <x:v>0.9376</x:v>
      </x:c>
      <x:c r="J51" t="n">
        <x:v>7178.58</x:v>
      </x:c>
      <x:c r="K51" t="n">
        <x:v>1898.73</x:v>
      </x:c>
      <x:c r="L51" t="n">
        <x:v>863.28</x:v>
      </x:c>
      <x:c r="M51" t="n">
        <x:v>727.12</x:v>
      </x:c>
      <x:c r="N51" t="n">
        <x:v>0</x:v>
      </x:c>
    </x:row>
    <x:row r="52">
      <x:c r="A52" t="str">
        <x:v>Kabobo - Mpcs</x:v>
      </x:c>
      <x:c r="B52" t="str">
        <x:v>B875</x:v>
      </x:c>
      <x:c r="C52" t="str">
        <x:v>C419_Link01</x:v>
      </x:c>
      <x:c r="D52" t="str">
        <x:v>C</x:v>
      </x:c>
      <x:c r="E52" t="str">
        <x:v>Southern</x:v>
      </x:c>
      <x:c r="F52" t="str">
        <x:v>Mbarara</x:v>
      </x:c>
      <x:c r="G52" t="n">
        <x:v>6921.83</x:v>
      </x:c>
      <x:c r="H52" t="n">
        <x:v>0.000928</x:v>
      </x:c>
      <x:c r="I52" t="n">
        <x:v>0.9728</x:v>
      </x:c>
      <x:c r="J52" t="n">
        <x:v>4950.36</x:v>
      </x:c>
      <x:c r="K52" t="n">
        <x:v>1039.01</x:v>
      </x:c>
      <x:c r="L52" t="n">
        <x:v>519.25</x:v>
      </x:c>
      <x:c r="M52" t="n">
        <x:v>413.21</x:v>
      </x:c>
      <x:c r="N52" t="n">
        <x:v>0</x:v>
      </x:c>
    </x:row>
    <x:row r="53">
      <x:c r="A53" t="str">
        <x:v>Fika-Salaama</x:v>
      </x:c>
      <x:c r="B53" t="str">
        <x:v>B029</x:v>
      </x:c>
      <x:c r="C53" t="str">
        <x:v>A007_Link04</x:v>
      </x:c>
      <x:c r="D53" t="str">
        <x:v>A</x:v>
      </x:c>
      <x:c r="E53" t="str">
        <x:v>Eastern</x:v>
      </x:c>
      <x:c r="F53" t="str">
        <x:v>Mbale</x:v>
      </x:c>
      <x:c r="G53" t="n">
        <x:v>10667.71</x:v>
      </x:c>
      <x:c r="H53" t="n">
        <x:v>0.001304</x:v>
      </x:c>
      <x:c r="I53" t="n">
        <x:v>0.9312</x:v>
      </x:c>
      <x:c r="J53" t="n">
        <x:v>6694.41</x:v>
      </x:c>
      <x:c r="K53" t="n">
        <x:v>2324.95</x:v>
      </x:c>
      <x:c r="L53" t="n">
        <x:v>950.08</x:v>
      </x:c>
      <x:c r="M53" t="n">
        <x:v>698.27</x:v>
      </x:c>
      <x:c r="N53" t="n">
        <x:v>0</x:v>
      </x:c>
    </x:row>
    <x:row r="54">
      <x:c r="A54" t="str">
        <x:v>Nyabisheke - Mpcs</x:v>
      </x:c>
      <x:c r="B54" t="str">
        <x:v>B879</x:v>
      </x:c>
      <x:c r="C54" t="str">
        <x:v>C357_Link01</x:v>
      </x:c>
      <x:c r="D54" t="str">
        <x:v>C</x:v>
      </x:c>
      <x:c r="E54" t="str">
        <x:v>Southern</x:v>
      </x:c>
      <x:c r="F54" t="str">
        <x:v>Ibanda</x:v>
      </x:c>
      <x:c r="G54" t="n">
        <x:v>6012.94</x:v>
      </x:c>
      <x:c r="H54" t="n">
        <x:v>0.000928</x:v>
      </x:c>
      <x:c r="I54" t="n">
        <x:v>0.9728</x:v>
      </x:c>
      <x:c r="J54" t="n">
        <x:v>4135.14</x:v>
      </x:c>
      <x:c r="K54" t="n">
        <x:v>1014.16</x:v>
      </x:c>
      <x:c r="L54" t="n">
        <x:v>488.1</x:v>
      </x:c>
      <x:c r="M54" t="n">
        <x:v>375.53</x:v>
      </x:c>
      <x:c r="N54" t="n">
        <x:v>0</x:v>
      </x:c>
    </x:row>
    <x:row r="55">
      <x:c r="A55" t="str">
        <x:v>Awoja</x:v>
      </x:c>
      <x:c r="B55" t="str">
        <x:v>B030</x:v>
      </x:c>
      <x:c r="C55" t="str">
        <x:v>M3_Link01</x:v>
      </x:c>
      <x:c r="D55" t="str">
        <x:v>M</x:v>
      </x:c>
      <x:c r="E55" t="str">
        <x:v>Central</x:v>
      </x:c>
      <x:c r="F55" t="str">
        <x:v>Kampala</x:v>
      </x:c>
      <x:c r="G55" t="n">
        <x:v>17475.34</x:v>
      </x:c>
      <x:c r="H55" t="n">
        <x:v>0.001594</x:v>
      </x:c>
      <x:c r="I55" t="n">
        <x:v>0.9781</x:v>
      </x:c>
      <x:c r="J55" t="n">
        <x:v>14002.91</x:v>
      </x:c>
      <x:c r="K55" t="n">
        <x:v>1900.92</x:v>
      </x:c>
      <x:c r="L55" t="n">
        <x:v>961.94</x:v>
      </x:c>
      <x:c r="M55" t="n">
        <x:v>609.57</x:v>
      </x:c>
      <x:c r="N55" t="n">
        <x:v>0</x:v>
      </x:c>
    </x:row>
    <x:row r="56">
      <x:c r="A56" t="str">
        <x:v>Tochi Bridge</x:v>
      </x:c>
      <x:c r="B56" t="str">
        <x:v>B031</x:v>
      </x:c>
      <x:c r="C56" t="str">
        <x:v>A007_Link10</x:v>
      </x:c>
      <x:c r="D56" t="str">
        <x:v>A</x:v>
      </x:c>
      <x:c r="E56" t="str">
        <x:v>Northern</x:v>
      </x:c>
      <x:c r="F56" t="str">
        <x:v>Lira</x:v>
      </x:c>
      <x:c r="G56" t="n">
        <x:v>4863.69</x:v>
      </x:c>
      <x:c r="H56" t="n">
        <x:v>0.001304</x:v>
      </x:c>
      <x:c r="I56" t="n">
        <x:v>0.9376</x:v>
      </x:c>
      <x:c r="J56" t="n">
        <x:v>3803.7</x:v>
      </x:c>
      <x:c r="K56" t="n">
        <x:v>216.17</x:v>
      </x:c>
      <x:c r="L56" t="n">
        <x:v>309.36</x:v>
      </x:c>
      <x:c r="M56" t="n">
        <x:v>534.46</x:v>
      </x:c>
      <x:c r="N56" t="n">
        <x:v>0</x:v>
      </x:c>
    </x:row>
    <x:row r="57">
      <x:c r="A57" t="str">
        <x:v>Albert Nile Bridge</x:v>
      </x:c>
      <x:c r="B57" t="str">
        <x:v>B032</x:v>
      </x:c>
      <x:c r="C57" t="str">
        <x:v>A008_LINK03</x:v>
      </x:c>
      <x:c r="D57" t="str">
        <x:v>A</x:v>
      </x:c>
      <x:c r="E57" t="str">
        <x:v>Northern</x:v>
      </x:c>
      <x:c r="F57" t="str">
        <x:v>Arua</x:v>
      </x:c>
      <x:c r="G57" t="n">
        <x:v>4439.22</x:v>
      </x:c>
      <x:c r="H57" t="n">
        <x:v>0.001304</x:v>
      </x:c>
      <x:c r="I57" t="n">
        <x:v>0.9376</x:v>
      </x:c>
      <x:c r="J57" t="n">
        <x:v>2933.1</x:v>
      </x:c>
      <x:c r="K57" t="n">
        <x:v>731.81</x:v>
      </x:c>
      <x:c r="L57" t="n">
        <x:v>404.55</x:v>
      </x:c>
      <x:c r="M57" t="n">
        <x:v>369.75</x:v>
      </x:c>
      <x:c r="N57" t="n">
        <x:v>0</x:v>
      </x:c>
    </x:row>
    <x:row r="58">
      <x:c r="A58" t="str">
        <x:v>Achwera Bridge</x:v>
      </x:c>
      <x:c r="B58" t="str">
        <x:v>B033</x:v>
      </x:c>
      <x:c r="C58" t="str">
        <x:v>A008_Link03</x:v>
      </x:c>
      <x:c r="D58" t="str">
        <x:v>A</x:v>
      </x:c>
      <x:c r="E58" t="str">
        <x:v>Northern</x:v>
      </x:c>
      <x:c r="F58" t="str">
        <x:v>Arua</x:v>
      </x:c>
      <x:c r="G58" t="n">
        <x:v>2992.62</x:v>
      </x:c>
      <x:c r="H58" t="n">
        <x:v>0.001304</x:v>
      </x:c>
      <x:c r="I58" t="n">
        <x:v>0.9376</x:v>
      </x:c>
      <x:c r="J58" t="n">
        <x:v>1915.25</x:v>
      </x:c>
      <x:c r="K58" t="n">
        <x:v>407.75</x:v>
      </x:c>
      <x:c r="L58" t="n">
        <x:v>308.4</x:v>
      </x:c>
      <x:c r="M58" t="n">
        <x:v>361.21</x:v>
      </x:c>
      <x:c r="N58" t="n">
        <x:v>0</x:v>
      </x:c>
    </x:row>
    <x:row r="59">
      <x:c r="A59" t="str">
        <x:v>Akaba Bridge</x:v>
      </x:c>
      <x:c r="B59" t="str">
        <x:v>B034</x:v>
      </x:c>
      <x:c r="C59" t="str">
        <x:v>A008_Link03</x:v>
      </x:c>
      <x:c r="D59" t="str">
        <x:v>A</x:v>
      </x:c>
      <x:c r="E59" t="str">
        <x:v>Northern</x:v>
      </x:c>
      <x:c r="F59" t="str">
        <x:v>Arua</x:v>
      </x:c>
      <x:c r="G59" t="n">
        <x:v>3121.74</x:v>
      </x:c>
      <x:c r="H59" t="n">
        <x:v>0.001304</x:v>
      </x:c>
      <x:c r="I59" t="n">
        <x:v>0.9376</x:v>
      </x:c>
      <x:c r="J59" t="n">
        <x:v>1971.82</x:v>
      </x:c>
      <x:c r="K59" t="n">
        <x:v>481.4</x:v>
      </x:c>
      <x:c r="L59" t="n">
        <x:v>325.52</x:v>
      </x:c>
      <x:c r="M59" t="n">
        <x:v>343</x:v>
      </x:c>
      <x:c r="N59" t="n">
        <x:v>0</x:v>
      </x:c>
    </x:row>
    <x:row r="60">
      <x:c r="A60" t="str">
        <x:v>Nyarwodho Bridge</x:v>
      </x:c>
      <x:c r="B60" t="str">
        <x:v>B035</x:v>
      </x:c>
      <x:c r="C60" t="str">
        <x:v>A008_Link03</x:v>
      </x:c>
      <x:c r="D60" t="str">
        <x:v>A</x:v>
      </x:c>
      <x:c r="E60" t="str">
        <x:v>Northern</x:v>
      </x:c>
      <x:c r="F60" t="str">
        <x:v>Arua</x:v>
      </x:c>
      <x:c r="G60" t="n">
        <x:v>3177.78</x:v>
      </x:c>
      <x:c r="H60" t="n">
        <x:v>0.001304</x:v>
      </x:c>
      <x:c r="I60" t="n">
        <x:v>0.9376</x:v>
      </x:c>
      <x:c r="J60" t="n">
        <x:v>1992.29</x:v>
      </x:c>
      <x:c r="K60" t="n">
        <x:v>518.67</x:v>
      </x:c>
      <x:c r="L60" t="n">
        <x:v>333.96</x:v>
      </x:c>
      <x:c r="M60" t="n">
        <x:v>332.85</x:v>
      </x:c>
      <x:c r="N60" t="n">
        <x:v>0</x:v>
      </x:c>
    </x:row>
    <x:row r="61">
      <x:c r="A61" t="str">
        <x:v>Namthin Bridge</x:v>
      </x:c>
      <x:c r="B61" t="str">
        <x:v>B036</x:v>
      </x:c>
      <x:c r="C61" t="str">
        <x:v>A008_Link04</x:v>
      </x:c>
      <x:c r="D61" t="str">
        <x:v>A</x:v>
      </x:c>
      <x:c r="E61" t="str">
        <x:v>Northern</x:v>
      </x:c>
      <x:c r="F61" t="str">
        <x:v>Arua</x:v>
      </x:c>
      <x:c r="G61" t="n">
        <x:v>2587.81</x:v>
      </x:c>
      <x:c r="H61" t="n">
        <x:v>0.001304</x:v>
      </x:c>
      <x:c r="I61" t="n">
        <x:v>0.9376</x:v>
      </x:c>
      <x:c r="J61" t="n">
        <x:v>771.91</x:v>
      </x:c>
      <x:c r="K61" t="n">
        <x:v>1015.05</x:v>
      </x:c>
      <x:c r="L61" t="n">
        <x:v>545.14</x:v>
      </x:c>
      <x:c r="M61" t="n">
        <x:v>255.71</x:v>
      </x:c>
      <x:c r="N61" t="n">
        <x:v>0</x:v>
      </x:c>
    </x:row>
    <x:row r="62">
      <x:c r="A62" t="str">
        <x:v>Ora Bridge</x:v>
      </x:c>
      <x:c r="B62" t="str">
        <x:v>B037</x:v>
      </x:c>
      <x:c r="C62" t="str">
        <x:v>A008_Link04</x:v>
      </x:c>
      <x:c r="D62" t="str">
        <x:v>A</x:v>
      </x:c>
      <x:c r="E62" t="str">
        <x:v>Northern</x:v>
      </x:c>
      <x:c r="F62" t="str">
        <x:v>Arua</x:v>
      </x:c>
      <x:c r="G62" t="n">
        <x:v>1904</x:v>
      </x:c>
      <x:c r="H62" t="n">
        <x:v>0.001304</x:v>
      </x:c>
      <x:c r="I62" t="n">
        <x:v>0.9376</x:v>
      </x:c>
      <x:c r="J62" t="n">
        <x:v>567.94</x:v>
      </x:c>
      <x:c r="K62" t="n">
        <x:v>746.83</x:v>
      </x:c>
      <x:c r="L62" t="n">
        <x:v>401.09</x:v>
      </x:c>
      <x:c r="M62" t="n">
        <x:v>188.14</x:v>
      </x:c>
      <x:c r="N62" t="n">
        <x:v>0</x:v>
      </x:c>
    </x:row>
    <x:row r="63">
      <x:c r="A63" t="str">
        <x:v>Aguyi Bridge</x:v>
      </x:c>
      <x:c r="B63" t="str">
        <x:v>B038</x:v>
      </x:c>
      <x:c r="C63" t="str">
        <x:v>A008_Link04</x:v>
      </x:c>
      <x:c r="D63" t="str">
        <x:v>A</x:v>
      </x:c>
      <x:c r="E63" t="str">
        <x:v>Northern</x:v>
      </x:c>
      <x:c r="F63" t="str">
        <x:v>Arua</x:v>
      </x:c>
      <x:c r="G63" t="n">
        <x:v>2246.04</x:v>
      </x:c>
      <x:c r="H63" t="n">
        <x:v>0.001304</x:v>
      </x:c>
      <x:c r="I63" t="n">
        <x:v>0.9376</x:v>
      </x:c>
      <x:c r="J63" t="n">
        <x:v>669.96</x:v>
      </x:c>
      <x:c r="K63" t="n">
        <x:v>880.99</x:v>
      </x:c>
      <x:c r="L63" t="n">
        <x:v>473.15</x:v>
      </x:c>
      <x:c r="M63" t="n">
        <x:v>221.94</x:v>
      </x:c>
      <x:c r="N63" t="n">
        <x:v>0</x:v>
      </x:c>
    </x:row>
    <x:row r="64">
      <x:c r="A64" t="str">
        <x:v>Ozuva Bridge</x:v>
      </x:c>
      <x:c r="B64" t="str">
        <x:v>B039</x:v>
      </x:c>
      <x:c r="C64" t="str">
        <x:v>A008_Link04</x:v>
      </x:c>
      <x:c r="D64" t="str">
        <x:v>A</x:v>
      </x:c>
      <x:c r="E64" t="str">
        <x:v>Northern</x:v>
      </x:c>
      <x:c r="F64" t="str">
        <x:v>Arua</x:v>
      </x:c>
      <x:c r="G64" t="n">
        <x:v>2431.18</x:v>
      </x:c>
      <x:c r="H64" t="n">
        <x:v>0.001304</x:v>
      </x:c>
      <x:c r="I64" t="n">
        <x:v>0.9376</x:v>
      </x:c>
      <x:c r="J64" t="n">
        <x:v>725.19</x:v>
      </x:c>
      <x:c r="K64" t="n">
        <x:v>953.61</x:v>
      </x:c>
      <x:c r="L64" t="n">
        <x:v>512.15</x:v>
      </x:c>
      <x:c r="M64" t="n">
        <x:v>240.23</x:v>
      </x:c>
      <x:c r="N64" t="n">
        <x:v>0</x:v>
      </x:c>
    </x:row>
    <x:row r="65">
      <x:c r="A65" t="str">
        <x:v>Wiki Bridge</x:v>
      </x:c>
      <x:c r="B65" t="str">
        <x:v>B040</x:v>
      </x:c>
      <x:c r="C65" t="str">
        <x:v>A008_Link04</x:v>
      </x:c>
      <x:c r="D65" t="str">
        <x:v>A</x:v>
      </x:c>
      <x:c r="E65" t="str">
        <x:v>Northern</x:v>
      </x:c>
      <x:c r="F65" t="str">
        <x:v>Arua</x:v>
      </x:c>
      <x:c r="G65" t="n">
        <x:v>2528.28</x:v>
      </x:c>
      <x:c r="H65" t="n">
        <x:v>0.001304</x:v>
      </x:c>
      <x:c r="I65" t="n">
        <x:v>0.9376</x:v>
      </x:c>
      <x:c r="J65" t="n">
        <x:v>754.15</x:v>
      </x:c>
      <x:c r="K65" t="n">
        <x:v>991.7</x:v>
      </x:c>
      <x:c r="L65" t="n">
        <x:v>532.6</x:v>
      </x:c>
      <x:c r="M65" t="n">
        <x:v>249.82</x:v>
      </x:c>
      <x:c r="N65" t="n">
        <x:v>0</x:v>
      </x:c>
    </x:row>
    <x:row r="66">
      <x:c r="A66" t="str">
        <x:v>Kayirila Bridge</x:v>
      </x:c>
      <x:c r="B66" t="str">
        <x:v>B041</x:v>
      </x:c>
      <x:c r="C66" t="str">
        <x:v>A009_Link03</x:v>
      </x:c>
      <x:c r="D66" t="str">
        <x:v>A</x:v>
      </x:c>
      <x:c r="E66" t="str">
        <x:v>Central</x:v>
      </x:c>
      <x:c r="F66" t="str">
        <x:v>Kampala</x:v>
      </x:c>
      <x:c r="G66" t="n">
        <x:v>10893.97</x:v>
      </x:c>
      <x:c r="H66" t="n">
        <x:v>0.001304</x:v>
      </x:c>
      <x:c r="I66" t="n">
        <x:v>0.9781</x:v>
      </x:c>
      <x:c r="J66" t="n">
        <x:v>7706.06</x:v>
      </x:c>
      <x:c r="K66" t="n">
        <x:v>1632.59</x:v>
      </x:c>
      <x:c r="L66" t="n">
        <x:v>870.89</x:v>
      </x:c>
      <x:c r="M66" t="n">
        <x:v>684.43</x:v>
      </x:c>
      <x:c r="N66" t="n">
        <x:v>0</x:v>
      </x:c>
    </x:row>
    <x:row r="67">
      <x:c r="A67" t="str">
        <x:v>Mpologoma</x:v>
      </x:c>
      <x:c r="B67" t="str">
        <x:v>B042</x:v>
      </x:c>
      <x:c r="C67" t="str">
        <x:v>A012_LINK01</x:v>
      </x:c>
      <x:c r="D67" t="str">
        <x:v>A</x:v>
      </x:c>
      <x:c r="E67" t="str">
        <x:v>Eastern</x:v>
      </x:c>
      <x:c r="F67" t="str">
        <x:v>Jinja</x:v>
      </x:c>
      <x:c r="G67" t="n">
        <x:v>27494.19</x:v>
      </x:c>
      <x:c r="H67" t="n">
        <x:v>0.001304</x:v>
      </x:c>
      <x:c r="I67" t="n">
        <x:v>0.9312</x:v>
      </x:c>
      <x:c r="J67" t="n">
        <x:v>16440.54</x:v>
      </x:c>
      <x:c r="K67" t="n">
        <x:v>6629.73</x:v>
      </x:c>
      <x:c r="L67" t="n">
        <x:v>2632.4</x:v>
      </x:c>
      <x:c r="M67" t="n">
        <x:v>1791.53</x:v>
      </x:c>
      <x:c r="N67" t="n">
        <x:v>0</x:v>
      </x:c>
    </x:row>
    <x:row r="68">
      <x:c r="A68" t="str">
        <x:v>Rushango-Bridge</x:v>
      </x:c>
      <x:c r="B68" t="str">
        <x:v>B043</x:v>
      </x:c>
      <x:c r="C68" t="str">
        <x:v>C356_Link01</x:v>
      </x:c>
      <x:c r="D68" t="str">
        <x:v>C</x:v>
      </x:c>
      <x:c r="E68" t="str">
        <x:v>Southern</x:v>
      </x:c>
      <x:c r="F68" t="str">
        <x:v>Ibanda</x:v>
      </x:c>
      <x:c r="G68" t="n">
        <x:v>5139.03</x:v>
      </x:c>
      <x:c r="H68" t="n">
        <x:v>0.000928</x:v>
      </x:c>
      <x:c r="I68" t="n">
        <x:v>0.9728</x:v>
      </x:c>
      <x:c r="J68" t="n">
        <x:v>3553.99</x:v>
      </x:c>
      <x:c r="K68" t="n">
        <x:v>873.49</x:v>
      </x:c>
      <x:c r="L68" t="n">
        <x:v>405.05</x:v>
      </x:c>
      <x:c r="M68" t="n">
        <x:v>306.49</x:v>
      </x:c>
      <x:c r="N68" t="n">
        <x:v>0</x:v>
      </x:c>
    </x:row>
    <x:row r="69">
      <x:c r="A69" t="str">
        <x:v>Mpanga - Bridge</x:v>
      </x:c>
      <x:c r="B69" t="str">
        <x:v>B044</x:v>
      </x:c>
      <x:c r="C69" t="str">
        <x:v>B150_Link03</x:v>
      </x:c>
      <x:c r="D69" t="str">
        <x:v>B</x:v>
      </x:c>
      <x:c r="E69" t="str">
        <x:v>Southern</x:v>
      </x:c>
      <x:c r="F69" t="str">
        <x:v>Ibanda</x:v>
      </x:c>
      <x:c r="G69" t="n">
        <x:v>3474.98</x:v>
      </x:c>
      <x:c r="H69" t="n">
        <x:v>0.001101</x:v>
      </x:c>
      <x:c r="I69" t="n">
        <x:v>0.9728</x:v>
      </x:c>
      <x:c r="J69" t="n">
        <x:v>1789.11</x:v>
      </x:c>
      <x:c r="K69" t="n">
        <x:v>1428.48</x:v>
      </x:c>
      <x:c r="L69" t="n">
        <x:v>234.12</x:v>
      </x:c>
      <x:c r="M69" t="n">
        <x:v>23.27</x:v>
      </x:c>
      <x:c r="N69" t="n">
        <x:v>0</x:v>
      </x:c>
    </x:row>
    <x:row r="70">
      <x:c r="A70" t="str">
        <x:v>Katunguru Bridge</x:v>
      </x:c>
      <x:c r="B70" t="str">
        <x:v>B047</x:v>
      </x:c>
      <x:c r="C70" t="str">
        <x:v>B152_Link03</x:v>
      </x:c>
      <x:c r="D70" t="str">
        <x:v>B</x:v>
      </x:c>
      <x:c r="E70" t="str">
        <x:v>Southern</x:v>
      </x:c>
      <x:c r="F70" t="str">
        <x:v>Mbarara</x:v>
      </x:c>
      <x:c r="G70" t="n">
        <x:v>5684.07</x:v>
      </x:c>
      <x:c r="H70" t="n">
        <x:v>0.001101</x:v>
      </x:c>
      <x:c r="I70" t="n">
        <x:v>0.9728</x:v>
      </x:c>
      <x:c r="J70" t="n">
        <x:v>1678.4</x:v>
      </x:c>
      <x:c r="K70" t="n">
        <x:v>2837.26</x:v>
      </x:c>
      <x:c r="L70" t="n">
        <x:v>861.64</x:v>
      </x:c>
      <x:c r="M70" t="n">
        <x:v>306.76</x:v>
      </x:c>
      <x:c r="N70" t="n">
        <x:v>0</x:v>
      </x:c>
    </x:row>
    <x:row r="71">
      <x:c r="A71" t="str">
        <x:v>Muzizi</x:v>
      </x:c>
      <x:c r="B71" t="str">
        <x:v>B048</x:v>
      </x:c>
      <x:c r="C71" t="str">
        <x:v>B202_Link01</x:v>
      </x:c>
      <x:c r="D71" t="str">
        <x:v>B</x:v>
      </x:c>
      <x:c r="E71" t="str">
        <x:v>Western</x:v>
      </x:c>
      <x:c r="F71" t="str">
        <x:v>Fort Portal</x:v>
      </x:c>
      <x:c r="G71" t="n">
        <x:v>5846.05</x:v>
      </x:c>
      <x:c r="H71" t="n">
        <x:v>0.001101</x:v>
      </x:c>
      <x:c r="I71" t="n">
        <x:v>0.9388</x:v>
      </x:c>
      <x:c r="J71" t="n">
        <x:v>3845.06</x:v>
      </x:c>
      <x:c r="K71" t="n">
        <x:v>1126.04</x:v>
      </x:c>
      <x:c r="L71" t="n">
        <x:v>510.97</x:v>
      </x:c>
      <x:c r="M71" t="n">
        <x:v>363.99</x:v>
      </x:c>
      <x:c r="N71" t="n">
        <x:v>0</x:v>
      </x:c>
    </x:row>
    <x:row r="72">
      <x:c r="A72" t="str">
        <x:v>Nkusi</x:v>
      </x:c>
      <x:c r="B72" t="str">
        <x:v>B049</x:v>
      </x:c>
      <x:c r="C72" t="str">
        <x:v>B202_Link03</x:v>
      </x:c>
      <x:c r="D72" t="str">
        <x:v>B</x:v>
      </x:c>
      <x:c r="E72" t="str">
        <x:v>Western</x:v>
      </x:c>
      <x:c r="F72" t="str">
        <x:v>Hoima</x:v>
      </x:c>
      <x:c r="G72" t="n">
        <x:v>7085.84</x:v>
      </x:c>
      <x:c r="H72" t="n">
        <x:v>0.001101</x:v>
      </x:c>
      <x:c r="I72" t="n">
        <x:v>0.9388</x:v>
      </x:c>
      <x:c r="J72" t="n">
        <x:v>4836.13</x:v>
      </x:c>
      <x:c r="K72" t="n">
        <x:v>1199.83</x:v>
      </x:c>
      <x:c r="L72" t="n">
        <x:v>587.9</x:v>
      </x:c>
      <x:c r="M72" t="n">
        <x:v>461.97</x:v>
      </x:c>
      <x:c r="N72" t="n">
        <x:v>0</x:v>
      </x:c>
    </x:row>
    <x:row r="73">
      <x:c r="A73" t="str">
        <x:v>Rwere</x:v>
      </x:c>
      <x:c r="B73" t="str">
        <x:v>B050</x:v>
      </x:c>
      <x:c r="C73" t="str">
        <x:v>B300_Link01</x:v>
      </x:c>
      <x:c r="D73" t="str">
        <x:v>B</x:v>
      </x:c>
      <x:c r="E73" t="str">
        <x:v>Eastern</x:v>
      </x:c>
      <x:c r="F73" t="str">
        <x:v>Mbale</x:v>
      </x:c>
      <x:c r="G73" t="n">
        <x:v>6960.06</x:v>
      </x:c>
      <x:c r="H73" t="n">
        <x:v>0.001101</x:v>
      </x:c>
      <x:c r="I73" t="n">
        <x:v>0.9312</x:v>
      </x:c>
      <x:c r="J73" t="n">
        <x:v>4488.86</x:v>
      </x:c>
      <x:c r="K73" t="n">
        <x:v>1411.34</x:v>
      </x:c>
      <x:c r="L73" t="n">
        <x:v>592.23</x:v>
      </x:c>
      <x:c r="M73" t="n">
        <x:v>467.62</x:v>
      </x:c>
      <x:c r="N73" t="n">
        <x:v>0</x:v>
      </x:c>
    </x:row>
    <x:row r="74">
      <x:c r="A74" t="str">
        <x:v>Sironko</x:v>
      </x:c>
      <x:c r="B74" t="str">
        <x:v>B051</x:v>
      </x:c>
      <x:c r="C74" t="str">
        <x:v>B300_Link01</x:v>
      </x:c>
      <x:c r="D74" t="str">
        <x:v>B</x:v>
      </x:c>
      <x:c r="E74" t="str">
        <x:v>Eastern</x:v>
      </x:c>
      <x:c r="F74" t="str">
        <x:v>Mbale</x:v>
      </x:c>
      <x:c r="G74" t="n">
        <x:v>6877.1</x:v>
      </x:c>
      <x:c r="H74" t="n">
        <x:v>0.001101</x:v>
      </x:c>
      <x:c r="I74" t="n">
        <x:v>0.9312</x:v>
      </x:c>
      <x:c r="J74" t="n">
        <x:v>4401.66</x:v>
      </x:c>
      <x:c r="K74" t="n">
        <x:v>1426.65</x:v>
      </x:c>
      <x:c r="L74" t="n">
        <x:v>591.35</x:v>
      </x:c>
      <x:c r="M74" t="n">
        <x:v>457.43</x:v>
      </x:c>
      <x:c r="N74" t="n">
        <x:v>0</x:v>
      </x:c>
    </x:row>
    <x:row r="75">
      <x:c r="A75" t="str">
        <x:v>Nalugugu</x:v>
      </x:c>
      <x:c r="B75" t="str">
        <x:v>B052</x:v>
      </x:c>
      <x:c r="C75" t="str">
        <x:v>B300_Link01</x:v>
      </x:c>
      <x:c r="D75" t="str">
        <x:v>B</x:v>
      </x:c>
      <x:c r="E75" t="str">
        <x:v>Eastern</x:v>
      </x:c>
      <x:c r="F75" t="str">
        <x:v>Mbale</x:v>
      </x:c>
      <x:c r="G75" t="n">
        <x:v>6963.17</x:v>
      </x:c>
      <x:c r="H75" t="n">
        <x:v>0.001101</x:v>
      </x:c>
      <x:c r="I75" t="n">
        <x:v>0.9312</x:v>
      </x:c>
      <x:c r="J75" t="n">
        <x:v>4492.25</x:v>
      </x:c>
      <x:c r="K75" t="n">
        <x:v>1410.67</x:v>
      </x:c>
      <x:c r="L75" t="n">
        <x:v>592.25</x:v>
      </x:c>
      <x:c r="M75" t="n">
        <x:v>468</x:v>
      </x:c>
      <x:c r="N75" t="n">
        <x:v>0</x:v>
      </x:c>
    </x:row>
    <x:row r="76">
      <x:c r="A76" t="str">
        <x:v>Simu</x:v>
      </x:c>
      <x:c r="B76" t="str">
        <x:v>B053</x:v>
      </x:c>
      <x:c r="C76" t="str">
        <x:v>B300_Link02</x:v>
      </x:c>
      <x:c r="D76" t="str">
        <x:v>B</x:v>
      </x:c>
      <x:c r="E76" t="str">
        <x:v>Eastern</x:v>
      </x:c>
      <x:c r="F76" t="str">
        <x:v>Mbale</x:v>
      </x:c>
      <x:c r="G76" t="n">
        <x:v>6960.11</x:v>
      </x:c>
      <x:c r="H76" t="n">
        <x:v>0.001101</x:v>
      </x:c>
      <x:c r="I76" t="n">
        <x:v>0.9312</x:v>
      </x:c>
      <x:c r="J76" t="n">
        <x:v>4490.54</x:v>
      </x:c>
      <x:c r="K76" t="n">
        <x:v>1409.92</x:v>
      </x:c>
      <x:c r="L76" t="n">
        <x:v>591.89</x:v>
      </x:c>
      <x:c r="M76" t="n">
        <x:v>467.76</x:v>
      </x:c>
      <x:c r="N76" t="n">
        <x:v>0</x:v>
      </x:c>
    </x:row>
    <x:row r="77">
      <x:c r="A77" t="str">
        <x:v>Yembe</x:v>
      </x:c>
      <x:c r="B77" t="str">
        <x:v>B054</x:v>
      </x:c>
      <x:c r="C77" t="str">
        <x:v>B300_Link03</x:v>
      </x:c>
      <x:c r="D77" t="str">
        <x:v>B</x:v>
      </x:c>
      <x:c r="E77" t="str">
        <x:v>Eastern</x:v>
      </x:c>
      <x:c r="F77" t="str">
        <x:v>Mbale</x:v>
      </x:c>
      <x:c r="G77" t="n">
        <x:v>7247.54</x:v>
      </x:c>
      <x:c r="H77" t="n">
        <x:v>0.001101</x:v>
      </x:c>
      <x:c r="I77" t="n">
        <x:v>0.9312</x:v>
      </x:c>
      <x:c r="J77" t="n">
        <x:v>4797.6</x:v>
      </x:c>
      <x:c r="K77" t="n">
        <x:v>1356.87</x:v>
      </x:c>
      <x:c r="L77" t="n">
        <x:v>596.75</x:v>
      </x:c>
      <x:c r="M77" t="n">
        <x:v>496.32</x:v>
      </x:c>
      <x:c r="N77" t="n">
        <x:v>0</x:v>
      </x:c>
    </x:row>
    <x:row r="78">
      <x:c r="A78" t="str">
        <x:v>Atari</x:v>
      </x:c>
      <x:c r="B78" t="str">
        <x:v>B055</x:v>
      </x:c>
      <x:c r="C78" t="str">
        <x:v>B304_Link02</x:v>
      </x:c>
      <x:c r="D78" t="str">
        <x:v>B</x:v>
      </x:c>
      <x:c r="E78" t="str">
        <x:v>Eastern</x:v>
      </x:c>
      <x:c r="F78" t="str">
        <x:v>Mbale</x:v>
      </x:c>
      <x:c r="G78" t="n">
        <x:v>7624.46</x:v>
      </x:c>
      <x:c r="H78" t="n">
        <x:v>0.001101</x:v>
      </x:c>
      <x:c r="I78" t="n">
        <x:v>0.9312</x:v>
      </x:c>
      <x:c r="J78" t="n">
        <x:v>5050.78</x:v>
      </x:c>
      <x:c r="K78" t="n">
        <x:v>1414.96</x:v>
      </x:c>
      <x:c r="L78" t="n">
        <x:v>629.56</x:v>
      </x:c>
      <x:c r="M78" t="n">
        <x:v>529.16</x:v>
      </x:c>
      <x:c r="N78" t="n">
        <x:v>0</x:v>
      </x:c>
    </x:row>
    <x:row r="79">
      <x:c r="A79" t="str">
        <x:v>Ngenge</x:v>
      </x:c>
      <x:c r="B79" t="str">
        <x:v>B056</x:v>
      </x:c>
      <x:c r="C79" t="str">
        <x:v>B304_Link02</x:v>
      </x:c>
      <x:c r="D79" t="str">
        <x:v>B</x:v>
      </x:c>
      <x:c r="E79" t="str">
        <x:v>Eastern</x:v>
      </x:c>
      <x:c r="F79" t="str">
        <x:v>Mbale</x:v>
      </x:c>
      <x:c r="G79" t="n">
        <x:v>7279.53</x:v>
      </x:c>
      <x:c r="H79" t="n">
        <x:v>0.001101</x:v>
      </x:c>
      <x:c r="I79" t="n">
        <x:v>0.9312</x:v>
      </x:c>
      <x:c r="J79" t="n">
        <x:v>4794.38</x:v>
      </x:c>
      <x:c r="K79" t="n">
        <x:v>1382.32</x:v>
      </x:c>
      <x:c r="L79" t="n">
        <x:v>603.55</x:v>
      </x:c>
      <x:c r="M79" t="n">
        <x:v>499.27</x:v>
      </x:c>
      <x:c r="N79" t="n">
        <x:v>0</x:v>
      </x:c>
    </x:row>
    <x:row r="80">
      <x:c r="A80" t="str">
        <x:v>Emjong</x:v>
      </x:c>
      <x:c r="B80" t="str">
        <x:v>B057</x:v>
      </x:c>
      <x:c r="C80" t="str">
        <x:v>B304_Link02</x:v>
      </x:c>
      <x:c r="D80" t="str">
        <x:v>B</x:v>
      </x:c>
      <x:c r="E80" t="str">
        <x:v>Eastern</x:v>
      </x:c>
      <x:c r="F80" t="str">
        <x:v>Mbale</x:v>
      </x:c>
      <x:c r="G80" t="n">
        <x:v>7285.36</x:v>
      </x:c>
      <x:c r="H80" t="n">
        <x:v>0.001101</x:v>
      </x:c>
      <x:c r="I80" t="n">
        <x:v>0.9312</x:v>
      </x:c>
      <x:c r="J80" t="n">
        <x:v>4800.52</x:v>
      </x:c>
      <x:c r="K80" t="n">
        <x:v>1381.38</x:v>
      </x:c>
      <x:c r="L80" t="n">
        <x:v>603.69</x:v>
      </x:c>
      <x:c r="M80" t="n">
        <x:v>499.77</x:v>
      </x:c>
      <x:c r="N80" t="n">
        <x:v>0</x:v>
      </x:c>
    </x:row>
    <x:row r="81">
      <x:c r="A81" t="str">
        <x:v>Kanyago 2</x:v>
      </x:c>
      <x:c r="B81" t="str">
        <x:v>B058</x:v>
      </x:c>
      <x:c r="C81" t="str">
        <x:v>B305_Link03</x:v>
      </x:c>
      <x:c r="D81" t="str">
        <x:v>B</x:v>
      </x:c>
      <x:c r="E81" t="str">
        <x:v>North Eastern</x:v>
      </x:c>
      <x:c r="F81" t="str">
        <x:v>Soroti</x:v>
      </x:c>
      <x:c r="G81" t="n">
        <x:v>4624.31</x:v>
      </x:c>
      <x:c r="H81" t="n">
        <x:v>0.001101</x:v>
      </x:c>
      <x:c r="I81" t="n">
        <x:v>0.9376</x:v>
      </x:c>
      <x:c r="J81" t="n">
        <x:v>2937.25</x:v>
      </x:c>
      <x:c r="K81" t="n">
        <x:v>1053.04</x:v>
      </x:c>
      <x:c r="L81" t="n">
        <x:v>361.05</x:v>
      </x:c>
      <x:c r="M81" t="n">
        <x:v>272.98</x:v>
      </x:c>
      <x:c r="N81" t="n">
        <x:v>0</x:v>
      </x:c>
    </x:row>
    <x:row r="82">
      <x:c r="A82" t="str">
        <x:v>Ladot</x:v>
      </x:c>
      <x:c r="B82" t="str">
        <x:v>B059</x:v>
      </x:c>
      <x:c r="C82" t="str">
        <x:v>B305_Link03</x:v>
      </x:c>
      <x:c r="D82" t="str">
        <x:v>B</x:v>
      </x:c>
      <x:c r="E82" t="str">
        <x:v>North Eastern</x:v>
      </x:c>
      <x:c r="F82" t="str">
        <x:v>Soroti</x:v>
      </x:c>
      <x:c r="G82" t="n">
        <x:v>3810.27</x:v>
      </x:c>
      <x:c r="H82" t="n">
        <x:v>0.001101</x:v>
      </x:c>
      <x:c r="I82" t="n">
        <x:v>0.9376</x:v>
      </x:c>
      <x:c r="J82" t="n">
        <x:v>2312.69</x:v>
      </x:c>
      <x:c r="K82" t="n">
        <x:v>1034.34</x:v>
      </x:c>
      <x:c r="L82" t="n">
        <x:v>278.95</x:v>
      </x:c>
      <x:c r="M82" t="n">
        <x:v>184.29</x:v>
      </x:c>
      <x:c r="N82" t="n">
        <x:v>0</x:v>
      </x:c>
    </x:row>
    <x:row r="83">
      <x:c r="A83" t="str">
        <x:v>Kanyago</x:v>
      </x:c>
      <x:c r="B83" t="str">
        <x:v>B060</x:v>
      </x:c>
      <x:c r="C83" t="str">
        <x:v>B305_Link03</x:v>
      </x:c>
      <x:c r="D83" t="str">
        <x:v>B</x:v>
      </x:c>
      <x:c r="E83" t="str">
        <x:v>North Eastern</x:v>
      </x:c>
      <x:c r="F83" t="str">
        <x:v>Soroti</x:v>
      </x:c>
      <x:c r="G83" t="n">
        <x:v>3804.06</x:v>
      </x:c>
      <x:c r="H83" t="n">
        <x:v>0.001101</x:v>
      </x:c>
      <x:c r="I83" t="n">
        <x:v>0.9376</x:v>
      </x:c>
      <x:c r="J83" t="n">
        <x:v>2307.4</x:v>
      </x:c>
      <x:c r="K83" t="n">
        <x:v>1034.77</x:v>
      </x:c>
      <x:c r="L83" t="n">
        <x:v>278.4</x:v>
      </x:c>
      <x:c r="M83" t="n">
        <x:v>183.49</x:v>
      </x:c>
      <x:c r="N83" t="n">
        <x:v>0</x:v>
      </x:c>
    </x:row>
    <x:row r="84">
      <x:c r="A84" t="str">
        <x:v>Buyanja</x:v>
      </x:c>
      <x:c r="B84" t="str">
        <x:v>B061</x:v>
      </x:c>
      <x:c r="C84" t="str">
        <x:v>C214_Link01</x:v>
      </x:c>
      <x:c r="D84" t="str">
        <x:v>C</x:v>
      </x:c>
      <x:c r="E84" t="str">
        <x:v>Central</x:v>
      </x:c>
      <x:c r="F84" t="str">
        <x:v>Masaka</x:v>
      </x:c>
      <x:c r="G84" t="n">
        <x:v>6417.08</x:v>
      </x:c>
      <x:c r="H84" t="n">
        <x:v>0.000928</x:v>
      </x:c>
      <x:c r="I84" t="n">
        <x:v>0.9781</x:v>
      </x:c>
      <x:c r="J84" t="n">
        <x:v>4436.18</x:v>
      </x:c>
      <x:c r="K84" t="n">
        <x:v>1052.58</x:v>
      </x:c>
      <x:c r="L84" t="n">
        <x:v>518.35</x:v>
      </x:c>
      <x:c r="M84" t="n">
        <x:v>409.97</x:v>
      </x:c>
      <x:c r="N84" t="n">
        <x:v>0</x:v>
      </x:c>
    </x:row>
    <x:row r="85">
      <x:c r="A85" t="str">
        <x:v>Kibale Bridge</x:v>
      </x:c>
      <x:c r="B85" t="str">
        <x:v>B062</x:v>
      </x:c>
      <x:c r="C85" t="str">
        <x:v>C351_Link01</x:v>
      </x:c>
      <x:c r="D85" t="str">
        <x:v>C</x:v>
      </x:c>
      <x:c r="E85" t="str">
        <x:v>Southern</x:v>
      </x:c>
      <x:c r="F85" t="str">
        <x:v>Mbarara</x:v>
      </x:c>
      <x:c r="G85" t="n">
        <x:v>7115.96</x:v>
      </x:c>
      <x:c r="H85" t="n">
        <x:v>0.000928</x:v>
      </x:c>
      <x:c r="I85" t="n">
        <x:v>0.9728</x:v>
      </x:c>
      <x:c r="J85" t="n">
        <x:v>4987.08</x:v>
      </x:c>
      <x:c r="K85" t="n">
        <x:v>1121.88</x:v>
      </x:c>
      <x:c r="L85" t="n">
        <x:v>560.23</x:v>
      </x:c>
      <x:c r="M85" t="n">
        <x:v>446.77</x:v>
      </x:c>
      <x:c r="N85" t="n">
        <x:v>0</x:v>
      </x:c>
    </x:row>
    <x:row r="86">
      <x:c r="A86" t="str">
        <x:v>Kahenge Bridge</x:v>
      </x:c>
      <x:c r="B86" t="str">
        <x:v>B067</x:v>
      </x:c>
      <x:c r="C86" t="str">
        <x:v>C410_Link01</x:v>
      </x:c>
      <x:c r="D86" t="str">
        <x:v>C</x:v>
      </x:c>
      <x:c r="E86" t="str">
        <x:v>Southern</x:v>
      </x:c>
      <x:c r="F86" t="str">
        <x:v>Kabale</x:v>
      </x:c>
      <x:c r="G86" t="n">
        <x:v>6469.06</x:v>
      </x:c>
      <x:c r="H86" t="n">
        <x:v>0.000928</x:v>
      </x:c>
      <x:c r="I86" t="n">
        <x:v>0.9728</x:v>
      </x:c>
      <x:c r="J86" t="n">
        <x:v>4880.93</x:v>
      </x:c>
      <x:c r="K86" t="n">
        <x:v>825.47</x:v>
      </x:c>
      <x:c r="L86" t="n">
        <x:v>425.71</x:v>
      </x:c>
      <x:c r="M86" t="n">
        <x:v>336.95</x:v>
      </x:c>
      <x:c r="N86" t="n">
        <x:v>0</x:v>
      </x:c>
    </x:row>
    <x:row r="87">
      <x:c r="A87" t="str">
        <x:v>Minera 01</x:v>
      </x:c>
      <x:c r="B87" t="str">
        <x:v>B068</x:v>
      </x:c>
      <x:c r="C87" t="str">
        <x:v>C411_Link01</x:v>
      </x:c>
      <x:c r="D87" t="str">
        <x:v>C</x:v>
      </x:c>
      <x:c r="E87" t="str">
        <x:v>Southern</x:v>
      </x:c>
      <x:c r="F87" t="str">
        <x:v>Kabale</x:v>
      </x:c>
      <x:c r="G87" t="n">
        <x:v>6551.77</x:v>
      </x:c>
      <x:c r="H87" t="n">
        <x:v>0.000928</x:v>
      </x:c>
      <x:c r="I87" t="n">
        <x:v>0.9728</x:v>
      </x:c>
      <x:c r="J87" t="n">
        <x:v>4867.02</x:v>
      </x:c>
      <x:c r="K87" t="n">
        <x:v>881.28</x:v>
      </x:c>
      <x:c r="L87" t="n">
        <x:v>448.4</x:v>
      </x:c>
      <x:c r="M87" t="n">
        <x:v>355.07</x:v>
      </x:c>
      <x:c r="N87" t="n">
        <x:v>0</x:v>
      </x:c>
    </x:row>
    <x:row r="88">
      <x:c r="A88" t="str">
        <x:v>Minera 02</x:v>
      </x:c>
      <x:c r="B88" t="str">
        <x:v>B069</x:v>
      </x:c>
      <x:c r="C88" t="str">
        <x:v>C411_Link01</x:v>
      </x:c>
      <x:c r="D88" t="str">
        <x:v>C</x:v>
      </x:c>
      <x:c r="E88" t="str">
        <x:v>Southern</x:v>
      </x:c>
      <x:c r="F88" t="str">
        <x:v>Kabale</x:v>
      </x:c>
      <x:c r="G88" t="n">
        <x:v>6551.44</x:v>
      </x:c>
      <x:c r="H88" t="n">
        <x:v>0.000928</x:v>
      </x:c>
      <x:c r="I88" t="n">
        <x:v>0.9728</x:v>
      </x:c>
      <x:c r="J88" t="n">
        <x:v>4866.98</x:v>
      </x:c>
      <x:c r="K88" t="n">
        <x:v>881.12</x:v>
      </x:c>
      <x:c r="L88" t="n">
        <x:v>448.33</x:v>
      </x:c>
      <x:c r="M88" t="n">
        <x:v>355.01</x:v>
      </x:c>
      <x:c r="N88" t="n">
        <x:v>0</x:v>
      </x:c>
    </x:row>
    <x:row r="89">
      <x:c r="A89" t="str">
        <x:v>Nyamwiru Bridge</x:v>
      </x:c>
      <x:c r="B89" t="str">
        <x:v>B070</x:v>
      </x:c>
      <x:c r="C89" t="str">
        <x:v>C414_Link01</x:v>
      </x:c>
      <x:c r="D89" t="str">
        <x:v>C</x:v>
      </x:c>
      <x:c r="E89" t="str">
        <x:v>Southern</x:v>
      </x:c>
      <x:c r="F89" t="str">
        <x:v>Kasese</x:v>
      </x:c>
      <x:c r="G89" t="n">
        <x:v>5539.99</x:v>
      </x:c>
      <x:c r="H89" t="n">
        <x:v>0.000928</x:v>
      </x:c>
      <x:c r="I89" t="n">
        <x:v>0.9728</x:v>
      </x:c>
      <x:c r="J89" t="n">
        <x:v>4047.8</x:v>
      </x:c>
      <x:c r="K89" t="n">
        <x:v>811.45</x:v>
      </x:c>
      <x:c r="L89" t="n">
        <x:v>389.57</x:v>
      </x:c>
      <x:c r="M89" t="n">
        <x:v>291.17</x:v>
      </x:c>
      <x:c r="N89" t="n">
        <x:v>0</x:v>
      </x:c>
    </x:row>
    <x:row r="90">
      <x:c r="A90" t="str">
        <x:v>Rwempunu Bridge</x:v>
      </x:c>
      <x:c r="B90" t="str">
        <x:v>B071</x:v>
      </x:c>
      <x:c r="C90" t="str">
        <x:v>C414_Link01</x:v>
      </x:c>
      <x:c r="D90" t="str">
        <x:v>C</x:v>
      </x:c>
      <x:c r="E90" t="str">
        <x:v>Southern</x:v>
      </x:c>
      <x:c r="F90" t="str">
        <x:v>Kasese</x:v>
      </x:c>
      <x:c r="G90" t="n">
        <x:v>5569.2</x:v>
      </x:c>
      <x:c r="H90" t="n">
        <x:v>0.000928</x:v>
      </x:c>
      <x:c r="I90" t="n">
        <x:v>0.9728</x:v>
      </x:c>
      <x:c r="J90" t="n">
        <x:v>4123.6</x:v>
      </x:c>
      <x:c r="K90" t="n">
        <x:v>781.63</x:v>
      </x:c>
      <x:c r="L90" t="n">
        <x:v>379.62</x:v>
      </x:c>
      <x:c r="M90" t="n">
        <x:v>284.35</x:v>
      </x:c>
      <x:c r="N90" t="n">
        <x:v>0</x:v>
      </x:c>
    </x:row>
    <x:row r="91">
      <x:c r="A91" t="str">
        <x:v>Kaizi Bridge</x:v>
      </x:c>
      <x:c r="B91" t="str">
        <x:v>B072</x:v>
      </x:c>
      <x:c r="C91" t="str">
        <x:v>C414_Link01</x:v>
      </x:c>
      <x:c r="D91" t="str">
        <x:v>C</x:v>
      </x:c>
      <x:c r="E91" t="str">
        <x:v>Southern</x:v>
      </x:c>
      <x:c r="F91" t="str">
        <x:v>Kasese</x:v>
      </x:c>
      <x:c r="G91" t="n">
        <x:v>5667</x:v>
      </x:c>
      <x:c r="H91" t="n">
        <x:v>0.000928</x:v>
      </x:c>
      <x:c r="I91" t="n">
        <x:v>0.9728</x:v>
      </x:c>
      <x:c r="J91" t="n">
        <x:v>4225.13</x:v>
      </x:c>
      <x:c r="K91" t="n">
        <x:v>774.59</x:v>
      </x:c>
      <x:c r="L91" t="n">
        <x:v>380.33</x:v>
      </x:c>
      <x:c r="M91" t="n">
        <x:v>286.95</x:v>
      </x:c>
      <x:c r="N91" t="n">
        <x:v>0</x:v>
      </x:c>
    </x:row>
    <x:row r="92">
      <x:c r="A92" t="str">
        <x:v>Nchwera Bridge</x:v>
      </x:c>
      <x:c r="B92" t="str">
        <x:v>B073</x:v>
      </x:c>
      <x:c r="C92" t="str">
        <x:v>C414_Link01</x:v>
      </x:c>
      <x:c r="D92" t="str">
        <x:v>C</x:v>
      </x:c>
      <x:c r="E92" t="str">
        <x:v>Southern</x:v>
      </x:c>
      <x:c r="F92" t="str">
        <x:v>Kasese</x:v>
      </x:c>
      <x:c r="G92" t="n">
        <x:v>5568.07</x:v>
      </x:c>
      <x:c r="H92" t="n">
        <x:v>0.000928</x:v>
      </x:c>
      <x:c r="I92" t="n">
        <x:v>0.9728</x:v>
      </x:c>
      <x:c r="J92" t="n">
        <x:v>4119.27</x:v>
      </x:c>
      <x:c r="K92" t="n">
        <x:v>783.64</x:v>
      </x:c>
      <x:c r="L92" t="n">
        <x:v>380.31</x:v>
      </x:c>
      <x:c r="M92" t="n">
        <x:v>284.84</x:v>
      </x:c>
      <x:c r="N92" t="n">
        <x:v>0</x:v>
      </x:c>
    </x:row>
    <x:row r="93">
      <x:c r="A93" t="str">
        <x:v>Ntungwe Bridge</x:v>
      </x:c>
      <x:c r="B93" t="str">
        <x:v>B074</x:v>
      </x:c>
      <x:c r="C93" t="str">
        <x:v>C414_Link01</x:v>
      </x:c>
      <x:c r="D93" t="str">
        <x:v>C</x:v>
      </x:c>
      <x:c r="E93" t="str">
        <x:v>Southern</x:v>
      </x:c>
      <x:c r="F93" t="str">
        <x:v>Kasese</x:v>
      </x:c>
      <x:c r="G93" t="n">
        <x:v>5337.68</x:v>
      </x:c>
      <x:c r="H93" t="n">
        <x:v>0.000928</x:v>
      </x:c>
      <x:c r="I93" t="n">
        <x:v>0.9728</x:v>
      </x:c>
      <x:c r="J93" t="n">
        <x:v>3870.69</x:v>
      </x:c>
      <x:c r="K93" t="n">
        <x:v>805.71</x:v>
      </x:c>
      <x:c r="L93" t="n">
        <x:v>380.76</x:v>
      </x:c>
      <x:c r="M93" t="n">
        <x:v>280.52</x:v>
      </x:c>
      <x:c r="N93" t="n">
        <x:v>0</x:v>
      </x:c>
    </x:row>
    <x:row r="94">
      <x:c r="A94" t="str">
        <x:v>Ishasha Bridge</x:v>
      </x:c>
      <x:c r="B94" t="str">
        <x:v>B075</x:v>
      </x:c>
      <x:c r="C94" t="str">
        <x:v>C414_Link01</x:v>
      </x:c>
      <x:c r="D94" t="str">
        <x:v>C</x:v>
      </x:c>
      <x:c r="E94" t="str">
        <x:v>Southern</x:v>
      </x:c>
      <x:c r="F94" t="str">
        <x:v>Kasese</x:v>
      </x:c>
      <x:c r="G94" t="n">
        <x:v>5238.98</x:v>
      </x:c>
      <x:c r="H94" t="n">
        <x:v>0.000928</x:v>
      </x:c>
      <x:c r="I94" t="n">
        <x:v>0.9728</x:v>
      </x:c>
      <x:c r="J94" t="n">
        <x:v>3737.92</x:v>
      </x:c>
      <x:c r="K94" t="n">
        <x:v>829.74</x:v>
      </x:c>
      <x:c r="L94" t="n">
        <x:v>386.89</x:v>
      </x:c>
      <x:c r="M94" t="n">
        <x:v>284.43</x:v>
      </x:c>
      <x:c r="N94" t="n">
        <x:v>0</x:v>
      </x:c>
    </x:row>
    <x:row r="95">
      <x:c r="A95" t="str">
        <x:v>Nyamukambu Bridge</x:v>
      </x:c>
      <x:c r="B95" t="str">
        <x:v>B076</x:v>
      </x:c>
      <x:c r="C95" t="str">
        <x:v>C415_Link02</x:v>
      </x:c>
      <x:c r="D95" t="str">
        <x:v>C</x:v>
      </x:c>
      <x:c r="E95" t="str">
        <x:v>Southern</x:v>
      </x:c>
      <x:c r="F95" t="str">
        <x:v>Ibanda</x:v>
      </x:c>
      <x:c r="G95" t="n">
        <x:v>5791.56</x:v>
      </x:c>
      <x:c r="H95" t="n">
        <x:v>0.000928</x:v>
      </x:c>
      <x:c r="I95" t="n">
        <x:v>0.9728</x:v>
      </x:c>
      <x:c r="J95" t="n">
        <x:v>4210.42</x:v>
      </x:c>
      <x:c r="K95" t="n">
        <x:v>849.03</x:v>
      </x:c>
      <x:c r="L95" t="n">
        <x:v>414.29</x:v>
      </x:c>
      <x:c r="M95" t="n">
        <x:v>317.81</x:v>
      </x:c>
      <x:c r="N95" t="n">
        <x:v>0</x:v>
      </x:c>
    </x:row>
    <x:row r="96">
      <x:c r="A96" t="str">
        <x:v>Kamiira Bridge</x:v>
      </x:c>
      <x:c r="B96" t="str">
        <x:v>B077</x:v>
      </x:c>
      <x:c r="C96" t="str">
        <x:v>C416_Link01</x:v>
      </x:c>
      <x:c r="D96" t="str">
        <x:v>C</x:v>
      </x:c>
      <x:c r="E96" t="str">
        <x:v>Southern</x:v>
      </x:c>
      <x:c r="F96" t="str">
        <x:v>Ibanda</x:v>
      </x:c>
      <x:c r="G96" t="n">
        <x:v>5579.44</x:v>
      </x:c>
      <x:c r="H96" t="n">
        <x:v>0.000928</x:v>
      </x:c>
      <x:c r="I96" t="n">
        <x:v>0.9728</x:v>
      </x:c>
      <x:c r="J96" t="n">
        <x:v>4044.02</x:v>
      </x:c>
      <x:c r="K96" t="n">
        <x:v>830.71</x:v>
      </x:c>
      <x:c r="L96" t="n">
        <x:v>400.5</x:v>
      </x:c>
      <x:c r="M96" t="n">
        <x:v>304.21</x:v>
      </x:c>
      <x:c r="N96" t="n">
        <x:v>0</x:v>
      </x:c>
    </x:row>
    <x:row r="97">
      <x:c r="A97" t="str">
        <x:v>Mirama 01</x:v>
      </x:c>
      <x:c r="B97" t="str">
        <x:v>B078</x:v>
      </x:c>
      <x:c r="C97" t="str">
        <x:v>C417_Link03</x:v>
      </x:c>
      <x:c r="D97" t="str">
        <x:v>C</x:v>
      </x:c>
      <x:c r="E97" t="str">
        <x:v>Southern</x:v>
      </x:c>
      <x:c r="F97" t="str">
        <x:v>Kabale</x:v>
      </x:c>
      <x:c r="G97" t="n">
        <x:v>6840.54</x:v>
      </x:c>
      <x:c r="H97" t="n">
        <x:v>0.000928</x:v>
      </x:c>
      <x:c r="I97" t="n">
        <x:v>0.9728</x:v>
      </x:c>
      <x:c r="J97" t="n">
        <x:v>4933.15</x:v>
      </x:c>
      <x:c r="K97" t="n">
        <x:v>1004.03</x:v>
      </x:c>
      <x:c r="L97" t="n">
        <x:v>503.23</x:v>
      </x:c>
      <x:c r="M97" t="n">
        <x:v>400.14</x:v>
      </x:c>
      <x:c r="N97" t="n">
        <x:v>0</x:v>
      </x:c>
    </x:row>
    <x:row r="98">
      <x:c r="A98" t="str">
        <x:v>Katengure Bridge</x:v>
      </x:c>
      <x:c r="B98" t="str">
        <x:v>B079</x:v>
      </x:c>
      <x:c r="C98" t="str">
        <x:v>C418_Link01</x:v>
      </x:c>
      <x:c r="D98" t="str">
        <x:v>C</x:v>
      </x:c>
      <x:c r="E98" t="str">
        <x:v>Southern</x:v>
      </x:c>
      <x:c r="F98" t="str">
        <x:v>Kabale</x:v>
      </x:c>
      <x:c r="G98" t="n">
        <x:v>8031.23</x:v>
      </x:c>
      <x:c r="H98" t="n">
        <x:v>0.000928</x:v>
      </x:c>
      <x:c r="I98" t="n">
        <x:v>0.9728</x:v>
      </x:c>
      <x:c r="J98" t="n">
        <x:v>5878.36</x:v>
      </x:c>
      <x:c r="K98" t="n">
        <x:v>1129.8</x:v>
      </x:c>
      <x:c r="L98" t="n">
        <x:v>570.3</x:v>
      </x:c>
      <x:c r="M98" t="n">
        <x:v>452.77</x:v>
      </x:c>
      <x:c r="N98" t="n">
        <x:v>0</x:v>
      </x:c>
    </x:row>
    <x:row r="99">
      <x:c r="A99" t="str">
        <x:v>Mubuku Bridge</x:v>
      </x:c>
      <x:c r="B99" t="str">
        <x:v>B080</x:v>
      </x:c>
      <x:c r="C99" t="str">
        <x:v>C510_Link01</x:v>
      </x:c>
      <x:c r="D99" t="str">
        <x:v>C</x:v>
      </x:c>
      <x:c r="E99" t="str">
        <x:v>Southern</x:v>
      </x:c>
      <x:c r="F99" t="str">
        <x:v>Kasese</x:v>
      </x:c>
      <x:c r="G99" t="n">
        <x:v>5603.67</x:v>
      </x:c>
      <x:c r="H99" t="n">
        <x:v>0.000928</x:v>
      </x:c>
      <x:c r="I99" t="n">
        <x:v>0.9728</x:v>
      </x:c>
      <x:c r="J99" t="n">
        <x:v>3829.38</x:v>
      </x:c>
      <x:c r="K99" t="n">
        <x:v>983.65</x:v>
      </x:c>
      <x:c r="L99" t="n">
        <x:v>454.42</x:v>
      </x:c>
      <x:c r="M99" t="n">
        <x:v>336.22</x:v>
      </x:c>
      <x:c r="N99" t="n">
        <x:v>0</x:v>
      </x:c>
    </x:row>
    <x:row r="100">
      <x:c r="A100" t="str">
        <x:v>Kilembe Bridge</x:v>
      </x:c>
      <x:c r="B100" t="str">
        <x:v>B081</x:v>
      </x:c>
      <x:c r="C100" t="str">
        <x:v>C511_Link01</x:v>
      </x:c>
      <x:c r="D100" t="str">
        <x:v>C</x:v>
      </x:c>
      <x:c r="E100" t="str">
        <x:v>Southern</x:v>
      </x:c>
      <x:c r="F100" t="str">
        <x:v>Kasese</x:v>
      </x:c>
      <x:c r="G100" t="n">
        <x:v>5676.5</x:v>
      </x:c>
      <x:c r="H100" t="n">
        <x:v>0.000928</x:v>
      </x:c>
      <x:c r="I100" t="n">
        <x:v>0.9728</x:v>
      </x:c>
      <x:c r="J100" t="n">
        <x:v>3935.17</x:v>
      </x:c>
      <x:c r="K100" t="n">
        <x:v>957.2</x:v>
      </x:c>
      <x:c r="L100" t="n">
        <x:v>447.94</x:v>
      </x:c>
      <x:c r="M100" t="n">
        <x:v>336.2</x:v>
      </x:c>
      <x:c r="N100" t="n">
        <x:v>0</x:v>
      </x:c>
    </x:row>
    <x:row r="101">
      <x:c r="A101" t="str">
        <x:v>Kanyampala Bridge</x:v>
      </x:c>
      <x:c r="B101" t="str">
        <x:v>B082</x:v>
      </x:c>
      <x:c r="C101" t="str">
        <x:v>C513_Link01</x:v>
      </x:c>
      <x:c r="D101" t="str">
        <x:v>C</x:v>
      </x:c>
      <x:c r="E101" t="str">
        <x:v>Southern</x:v>
      </x:c>
      <x:c r="F101" t="str">
        <x:v>Kasese</x:v>
      </x:c>
      <x:c r="G101" t="n">
        <x:v>5823.2</x:v>
      </x:c>
      <x:c r="H101" t="n">
        <x:v>0.000928</x:v>
      </x:c>
      <x:c r="I101" t="n">
        <x:v>0.9728</x:v>
      </x:c>
      <x:c r="J101" t="n">
        <x:v>4098.84</x:v>
      </x:c>
      <x:c r="K101" t="n">
        <x:v>939.32</x:v>
      </x:c>
      <x:c r="L101" t="n">
        <x:v>446.2</x:v>
      </x:c>
      <x:c r="M101" t="n">
        <x:v>338.84</x:v>
      </x:c>
      <x:c r="N101" t="n">
        <x:v>0</x:v>
      </x:c>
    </x:row>
    <x:row r="102">
      <x:c r="A102" t="str">
        <x:v>Nyamugasani Bridge</x:v>
      </x:c>
      <x:c r="B102" t="str">
        <x:v>B085</x:v>
      </x:c>
      <x:c r="C102" t="str">
        <x:v>C516_Link01</x:v>
      </x:c>
      <x:c r="D102" t="str">
        <x:v>C</x:v>
      </x:c>
      <x:c r="E102" t="str">
        <x:v>Southern</x:v>
      </x:c>
      <x:c r="F102" t="str">
        <x:v>Kasese</x:v>
      </x:c>
      <x:c r="G102" t="n">
        <x:v>5733.93</x:v>
      </x:c>
      <x:c r="H102" t="n">
        <x:v>0.000928</x:v>
      </x:c>
      <x:c r="I102" t="n">
        <x:v>0.9728</x:v>
      </x:c>
      <x:c r="J102" t="n">
        <x:v>4093.18</x:v>
      </x:c>
      <x:c r="K102" t="n">
        <x:v>892.47</x:v>
      </x:c>
      <x:c r="L102" t="n">
        <x:v>425.93</x:v>
      </x:c>
      <x:c r="M102" t="n">
        <x:v>322.34</x:v>
      </x:c>
      <x:c r="N102" t="n">
        <x:v>0</x:v>
      </x:c>
    </x:row>
    <x:row r="103">
      <x:c r="A103" t="str">
        <x:v>Wassa</x:v>
      </x:c>
      <x:c r="B103" t="str">
        <x:v>B087</x:v>
      </x:c>
      <x:c r="C103" t="str">
        <x:v>C541_Link01</x:v>
      </x:c>
      <x:c r="D103" t="str">
        <x:v>C</x:v>
      </x:c>
      <x:c r="E103" t="str">
        <x:v>Western</x:v>
      </x:c>
      <x:c r="F103" t="str">
        <x:v>Fort Portal</x:v>
      </x:c>
      <x:c r="G103" t="n">
        <x:v>5523.15</x:v>
      </x:c>
      <x:c r="H103" t="n">
        <x:v>0.000928</x:v>
      </x:c>
      <x:c r="I103" t="n">
        <x:v>0.9388</x:v>
      </x:c>
      <x:c r="J103" t="n">
        <x:v>3586.4</x:v>
      </x:c>
      <x:c r="K103" t="n">
        <x:v>1104.3</x:v>
      </x:c>
      <x:c r="L103" t="n">
        <x:v>490</x:v>
      </x:c>
      <x:c r="M103" t="n">
        <x:v>342.45</x:v>
      </x:c>
      <x:c r="N103" t="n">
        <x:v>0</x:v>
      </x:c>
    </x:row>
    <x:row r="104">
      <x:c r="A104" t="str">
        <x:v>Sogoha</x:v>
      </x:c>
      <x:c r="B104" t="str">
        <x:v>B088</x:v>
      </x:c>
      <x:c r="C104" t="str">
        <x:v>C542_Link01</x:v>
      </x:c>
      <x:c r="D104" t="str">
        <x:v>C</x:v>
      </x:c>
      <x:c r="E104" t="str">
        <x:v>Western</x:v>
      </x:c>
      <x:c r="F104" t="str">
        <x:v>Fort Portal</x:v>
      </x:c>
      <x:c r="G104" t="n">
        <x:v>5276.63</x:v>
      </x:c>
      <x:c r="H104" t="n">
        <x:v>0.000928</x:v>
      </x:c>
      <x:c r="I104" t="n">
        <x:v>0.9388</x:v>
      </x:c>
      <x:c r="J104" t="n">
        <x:v>3365.78</x:v>
      </x:c>
      <x:c r="K104" t="n">
        <x:v>1107.23</x:v>
      </x:c>
      <x:c r="L104" t="n">
        <x:v>480.36</x:v>
      </x:c>
      <x:c r="M104" t="n">
        <x:v>323.25</x:v>
      </x:c>
      <x:c r="N104" t="n">
        <x:v>0</x:v>
      </x:c>
    </x:row>
    <x:row r="105">
      <x:c r="A105" t="str">
        <x:v>Waiga</x:v>
      </x:c>
      <x:c r="B105" t="str">
        <x:v>B089</x:v>
      </x:c>
      <x:c r="C105" t="str">
        <x:v>C623_Link01</x:v>
      </x:c>
      <x:c r="D105" t="str">
        <x:v>C</x:v>
      </x:c>
      <x:c r="E105" t="str">
        <x:v>Western</x:v>
      </x:c>
      <x:c r="F105" t="str">
        <x:v>Masindi</x:v>
      </x:c>
      <x:c r="G105" t="n">
        <x:v>6294.72</x:v>
      </x:c>
      <x:c r="H105" t="n">
        <x:v>0.000928</x:v>
      </x:c>
      <x:c r="I105" t="n">
        <x:v>0.9388</x:v>
      </x:c>
      <x:c r="J105" t="n">
        <x:v>4312.64</x:v>
      </x:c>
      <x:c r="K105" t="n">
        <x:v>1002.92</x:v>
      </x:c>
      <x:c r="L105" t="n">
        <x:v>520.43</x:v>
      </x:c>
      <x:c r="M105" t="n">
        <x:v>458.74</x:v>
      </x:c>
      <x:c r="N105" t="n">
        <x:v>0</x:v>
      </x:c>
    </x:row>
    <x:row r="106">
      <x:c r="A106" t="str">
        <x:v>Waiga</x:v>
      </x:c>
      <x:c r="B106" t="str">
        <x:v>B090</x:v>
      </x:c>
      <x:c r="C106" t="str">
        <x:v>C625_Link01</x:v>
      </x:c>
      <x:c r="D106" t="str">
        <x:v>C</x:v>
      </x:c>
      <x:c r="E106" t="str">
        <x:v>Western</x:v>
      </x:c>
      <x:c r="F106" t="str">
        <x:v>Masindi</x:v>
      </x:c>
      <x:c r="G106" t="n">
        <x:v>6620.71</x:v>
      </x:c>
      <x:c r="H106" t="n">
        <x:v>0.000928</x:v>
      </x:c>
      <x:c r="I106" t="n">
        <x:v>0.9388</x:v>
      </x:c>
      <x:c r="J106" t="n">
        <x:v>4562.62</x:v>
      </x:c>
      <x:c r="K106" t="n">
        <x:v>1048.27</x:v>
      </x:c>
      <x:c r="L106" t="n">
        <x:v>537.98</x:v>
      </x:c>
      <x:c r="M106" t="n">
        <x:v>471.84</x:v>
      </x:c>
      <x:c r="N106" t="n">
        <x:v>0</x:v>
      </x:c>
    </x:row>
    <x:row r="107">
      <x:c r="A107" t="str">
        <x:v>Waringo</x:v>
      </x:c>
      <x:c r="B107" t="str">
        <x:v>B091</x:v>
      </x:c>
      <x:c r="C107" t="str">
        <x:v>C625_Link01</x:v>
      </x:c>
      <x:c r="D107" t="str">
        <x:v>C</x:v>
      </x:c>
      <x:c r="E107" t="str">
        <x:v>Western</x:v>
      </x:c>
      <x:c r="F107" t="str">
        <x:v>Masindi</x:v>
      </x:c>
      <x:c r="G107" t="n">
        <x:v>6307.67</x:v>
      </x:c>
      <x:c r="H107" t="n">
        <x:v>0.000928</x:v>
      </x:c>
      <x:c r="I107" t="n">
        <x:v>0.9388</x:v>
      </x:c>
      <x:c r="J107" t="n">
        <x:v>4342.89</x:v>
      </x:c>
      <x:c r="K107" t="n">
        <x:v>992.72</x:v>
      </x:c>
      <x:c r="L107" t="n">
        <x:v>513.65</x:v>
      </x:c>
      <x:c r="M107" t="n">
        <x:v>458.42</x:v>
      </x:c>
      <x:c r="N107" t="n">
        <x:v>0</x:v>
      </x:c>
    </x:row>
    <x:row r="108">
      <x:c r="A108" t="str">
        <x:v>Zoleya</x:v>
      </x:c>
      <x:c r="B108" t="str">
        <x:v>B092</x:v>
      </x:c>
      <x:c r="C108" t="str">
        <x:v>C625_Link01</x:v>
      </x:c>
      <x:c r="D108" t="str">
        <x:v>C</x:v>
      </x:c>
      <x:c r="E108" t="str">
        <x:v>Western</x:v>
      </x:c>
      <x:c r="F108" t="str">
        <x:v>Masindi</x:v>
      </x:c>
      <x:c r="G108" t="n">
        <x:v>6157.85</x:v>
      </x:c>
      <x:c r="H108" t="n">
        <x:v>0.000928</x:v>
      </x:c>
      <x:c r="I108" t="n">
        <x:v>0.9388</x:v>
      </x:c>
      <x:c r="J108" t="n">
        <x:v>4235.37</x:v>
      </x:c>
      <x:c r="K108" t="n">
        <x:v>968.02</x:v>
      </x:c>
      <x:c r="L108" t="n">
        <x:v>502.78</x:v>
      </x:c>
      <x:c r="M108" t="n">
        <x:v>451.68</x:v>
      </x:c>
      <x:c r="N108" t="n">
        <x:v>0</x:v>
      </x:c>
    </x:row>
    <x:row r="109">
      <x:c r="A109" t="str">
        <x:v>Sambiya</x:v>
      </x:c>
      <x:c r="B109" t="str">
        <x:v>B093</x:v>
      </x:c>
      <x:c r="C109" t="str">
        <x:v>C625_Link01</x:v>
      </x:c>
      <x:c r="D109" t="str">
        <x:v>C</x:v>
      </x:c>
      <x:c r="E109" t="str">
        <x:v>Western</x:v>
      </x:c>
      <x:c r="F109" t="str">
        <x:v>Masindi</x:v>
      </x:c>
      <x:c r="G109" t="n">
        <x:v>6066.38</x:v>
      </x:c>
      <x:c r="H109" t="n">
        <x:v>0.000928</x:v>
      </x:c>
      <x:c r="I109" t="n">
        <x:v>0.9388</x:v>
      </x:c>
      <x:c r="J109" t="n">
        <x:v>4169.01</x:v>
      </x:c>
      <x:c r="K109" t="n">
        <x:v>953.4</x:v>
      </x:c>
      <x:c r="L109" t="n">
        <x:v>496.4</x:v>
      </x:c>
      <x:c r="M109" t="n">
        <x:v>447.57</x:v>
      </x:c>
      <x:c r="N109" t="n">
        <x:v>0</x:v>
      </x:c>
    </x:row>
    <x:row r="110">
      <x:c r="A110" t="str">
        <x:v>Aturukuru</x:v>
      </x:c>
      <x:c r="B110" t="str">
        <x:v>B094</x:v>
      </x:c>
      <x:c r="C110" t="str">
        <x:v>C832_Link01</x:v>
      </x:c>
      <x:c r="D110" t="str">
        <x:v>C</x:v>
      </x:c>
      <x:c r="E110" t="str">
        <x:v>Eastern</x:v>
      </x:c>
      <x:c r="F110" t="str">
        <x:v>Tororo</x:v>
      </x:c>
      <x:c r="G110" t="n">
        <x:v>8157.8</x:v>
      </x:c>
      <x:c r="H110" t="n">
        <x:v>0.000928</x:v>
      </x:c>
      <x:c r="I110" t="n">
        <x:v>0.9312</x:v>
      </x:c>
      <x:c r="J110" t="n">
        <x:v>5318.47</x:v>
      </x:c>
      <x:c r="K110" t="n">
        <x:v>1538.98</x:v>
      </x:c>
      <x:c r="L110" t="n">
        <x:v>689.91</x:v>
      </x:c>
      <x:c r="M110" t="n">
        <x:v>610.44</x:v>
      </x:c>
      <x:c r="N110" t="n">
        <x:v>0</x:v>
      </x:c>
    </x:row>
    <x:row r="111">
      <x:c r="A111" t="str">
        <x:v>Pakamu</x:v>
      </x:c>
      <x:c r="B111" t="str">
        <x:v>B095</x:v>
      </x:c>
      <x:c r="C111" t="str">
        <x:v>C832_Link01</x:v>
      </x:c>
      <x:c r="D111" t="str">
        <x:v>C</x:v>
      </x:c>
      <x:c r="E111" t="str">
        <x:v>Eastern</x:v>
      </x:c>
      <x:c r="F111" t="str">
        <x:v>Tororo</x:v>
      </x:c>
      <x:c r="G111" t="n">
        <x:v>7503.45</x:v>
      </x:c>
      <x:c r="H111" t="n">
        <x:v>0.000928</x:v>
      </x:c>
      <x:c r="I111" t="n">
        <x:v>0.9312</x:v>
      </x:c>
      <x:c r="J111" t="n">
        <x:v>4667.12</x:v>
      </x:c>
      <x:c r="K111" t="n">
        <x:v>1620.14</x:v>
      </x:c>
      <x:c r="L111" t="n">
        <x:v>681.88</x:v>
      </x:c>
      <x:c r="M111" t="n">
        <x:v>534.31</x:v>
      </x:c>
      <x:c r="N111" t="n">
        <x:v>0</x:v>
      </x:c>
    </x:row>
    <x:row r="112">
      <x:c r="A112" t="str">
        <x:v>Mahanga</x:v>
      </x:c>
      <x:c r="B112" t="str">
        <x:v>B096</x:v>
      </x:c>
      <x:c r="C112" t="str">
        <x:v>C832_Link01</x:v>
      </x:c>
      <x:c r="D112" t="str">
        <x:v>C</x:v>
      </x:c>
      <x:c r="E112" t="str">
        <x:v>Eastern</x:v>
      </x:c>
      <x:c r="F112" t="str">
        <x:v>Tororo</x:v>
      </x:c>
      <x:c r="G112" t="n">
        <x:v>7503.45</x:v>
      </x:c>
      <x:c r="H112" t="n">
        <x:v>0.000928</x:v>
      </x:c>
      <x:c r="I112" t="n">
        <x:v>0.9312</x:v>
      </x:c>
      <x:c r="J112" t="n">
        <x:v>4667.12</x:v>
      </x:c>
      <x:c r="K112" t="n">
        <x:v>1620.14</x:v>
      </x:c>
      <x:c r="L112" t="n">
        <x:v>681.88</x:v>
      </x:c>
      <x:c r="M112" t="n">
        <x:v>534.31</x:v>
      </x:c>
      <x:c r="N112" t="n">
        <x:v>0</x:v>
      </x:c>
    </x:row>
    <x:row r="113">
      <x:c r="A113" t="str">
        <x:v>Nakulumutu</x:v>
      </x:c>
      <x:c r="B113" t="str">
        <x:v>B097</x:v>
      </x:c>
      <x:c r="C113" t="str">
        <x:v>C833_Link01</x:v>
      </x:c>
      <x:c r="D113" t="str">
        <x:v>C</x:v>
      </x:c>
      <x:c r="E113" t="str">
        <x:v>Eastern</x:v>
      </x:c>
      <x:c r="F113" t="str">
        <x:v>Tororo</x:v>
      </x:c>
      <x:c r="G113" t="n">
        <x:v>7480.82</x:v>
      </x:c>
      <x:c r="H113" t="n">
        <x:v>0.000928</x:v>
      </x:c>
      <x:c r="I113" t="n">
        <x:v>0.9312</x:v>
      </x:c>
      <x:c r="J113" t="n">
        <x:v>4645.31</x:v>
      </x:c>
      <x:c r="K113" t="n">
        <x:v>1623.53</x:v>
      </x:c>
      <x:c r="L113" t="n">
        <x:v>681.54</x:v>
      </x:c>
      <x:c r="M113" t="n">
        <x:v>530.44</x:v>
      </x:c>
      <x:c r="N113" t="n">
        <x:v>0</x:v>
      </x:c>
    </x:row>
    <x:row r="114">
      <x:c r="A114" t="str">
        <x:v>Nkola</x:v>
      </x:c>
      <x:c r="B114" t="str">
        <x:v>B098</x:v>
      </x:c>
      <x:c r="C114" t="str">
        <x:v>C833_Link01</x:v>
      </x:c>
      <x:c r="D114" t="str">
        <x:v>C</x:v>
      </x:c>
      <x:c r="E114" t="str">
        <x:v>Eastern</x:v>
      </x:c>
      <x:c r="F114" t="str">
        <x:v>Tororo</x:v>
      </x:c>
      <x:c r="G114" t="n">
        <x:v>7480.82</x:v>
      </x:c>
      <x:c r="H114" t="n">
        <x:v>0.000928</x:v>
      </x:c>
      <x:c r="I114" t="n">
        <x:v>0.9312</x:v>
      </x:c>
      <x:c r="J114" t="n">
        <x:v>4645.31</x:v>
      </x:c>
      <x:c r="K114" t="n">
        <x:v>1623.53</x:v>
      </x:c>
      <x:c r="L114" t="n">
        <x:v>681.54</x:v>
      </x:c>
      <x:c r="M114" t="n">
        <x:v>530.44</x:v>
      </x:c>
      <x:c r="N114" t="n">
        <x:v>0</x:v>
      </x:c>
    </x:row>
    <x:row r="115">
      <x:c r="A115" t="str">
        <x:v>Nakwazi</x:v>
      </x:c>
      <x:c r="B115" t="str">
        <x:v>B099</x:v>
      </x:c>
      <x:c r="C115" t="str">
        <x:v>C833_Link01</x:v>
      </x:c>
      <x:c r="D115" t="str">
        <x:v>C</x:v>
      </x:c>
      <x:c r="E115" t="str">
        <x:v>Eastern</x:v>
      </x:c>
      <x:c r="F115" t="str">
        <x:v>Tororo</x:v>
      </x:c>
      <x:c r="G115" t="n">
        <x:v>7480.82</x:v>
      </x:c>
      <x:c r="H115" t="n">
        <x:v>0.000928</x:v>
      </x:c>
      <x:c r="I115" t="n">
        <x:v>0.9312</x:v>
      </x:c>
      <x:c r="J115" t="n">
        <x:v>4645.31</x:v>
      </x:c>
      <x:c r="K115" t="n">
        <x:v>1623.53</x:v>
      </x:c>
      <x:c r="L115" t="n">
        <x:v>681.54</x:v>
      </x:c>
      <x:c r="M115" t="n">
        <x:v>530.44</x:v>
      </x:c>
      <x:c r="N115" t="n">
        <x:v>0</x:v>
      </x:c>
    </x:row>
    <x:row r="116">
      <x:c r="A116" t="str">
        <x:v>Budumbba</x:v>
      </x:c>
      <x:c r="B116" t="str">
        <x:v>B100</x:v>
      </x:c>
      <x:c r="C116" t="str">
        <x:v>C833_Link02</x:v>
      </x:c>
      <x:c r="D116" t="str">
        <x:v>C</x:v>
      </x:c>
      <x:c r="E116" t="str">
        <x:v>Eastern</x:v>
      </x:c>
      <x:c r="F116" t="str">
        <x:v>Tororo</x:v>
      </x:c>
      <x:c r="G116" t="n">
        <x:v>8199.9</x:v>
      </x:c>
      <x:c r="H116" t="n">
        <x:v>0.000928</x:v>
      </x:c>
      <x:c r="I116" t="n">
        <x:v>0.9312</x:v>
      </x:c>
      <x:c r="J116" t="n">
        <x:v>5321.27</x:v>
      </x:c>
      <x:c r="K116" t="n">
        <x:v>1498.83</x:v>
      </x:c>
      <x:c r="L116" t="n">
        <x:v>694.03</x:v>
      </x:c>
      <x:c r="M116" t="n">
        <x:v>685.77</x:v>
      </x:c>
      <x:c r="N116" t="n">
        <x:v>0</x:v>
      </x:c>
    </x:row>
    <x:row r="117">
      <x:c r="A117" t="str">
        <x:v>Miwu</x:v>
      </x:c>
      <x:c r="B117" t="str">
        <x:v>B101</x:v>
      </x:c>
      <x:c r="C117" t="str">
        <x:v>C861_Link01</x:v>
      </x:c>
      <x:c r="D117" t="str">
        <x:v>C</x:v>
      </x:c>
      <x:c r="E117" t="str">
        <x:v>Eastern</x:v>
      </x:c>
      <x:c r="F117" t="str">
        <x:v>Mbale</x:v>
      </x:c>
      <x:c r="G117" t="n">
        <x:v>7134.85</x:v>
      </x:c>
      <x:c r="H117" t="n">
        <x:v>0.000928</x:v>
      </x:c>
      <x:c r="I117" t="n">
        <x:v>0.9312</x:v>
      </x:c>
      <x:c r="J117" t="n">
        <x:v>4611.45</x:v>
      </x:c>
      <x:c r="K117" t="n">
        <x:v>1432.64</x:v>
      </x:c>
      <x:c r="L117" t="n">
        <x:v>607.01</x:v>
      </x:c>
      <x:c r="M117" t="n">
        <x:v>483.74</x:v>
      </x:c>
      <x:c r="N117" t="n">
        <x:v>0</x:v>
      </x:c>
    </x:row>
    <x:row r="118">
      <x:c r="A118" t="str">
        <x:v>Sironko</x:v>
      </x:c>
      <x:c r="B118" t="str">
        <x:v>B102</x:v>
      </x:c>
      <x:c r="C118" t="str">
        <x:v>C861_Link01</x:v>
      </x:c>
      <x:c r="D118" t="str">
        <x:v>C</x:v>
      </x:c>
      <x:c r="E118" t="str">
        <x:v>Eastern</x:v>
      </x:c>
      <x:c r="F118" t="str">
        <x:v>Mbale</x:v>
      </x:c>
      <x:c r="G118" t="n">
        <x:v>7150.14</x:v>
      </x:c>
      <x:c r="H118" t="n">
        <x:v>0.000928</x:v>
      </x:c>
      <x:c r="I118" t="n">
        <x:v>0.9312</x:v>
      </x:c>
      <x:c r="J118" t="n">
        <x:v>4622.38</x:v>
      </x:c>
      <x:c r="K118" t="n">
        <x:v>1434.31</x:v>
      </x:c>
      <x:c r="L118" t="n">
        <x:v>608.25</x:v>
      </x:c>
      <x:c r="M118" t="n">
        <x:v>485.2</x:v>
      </x:c>
      <x:c r="N118" t="n">
        <x:v>0</x:v>
      </x:c>
    </x:row>
    <x:row r="119">
      <x:c r="A119" t="str">
        <x:v>Kado</x:v>
      </x:c>
      <x:c r="B119" t="str">
        <x:v>B103</x:v>
      </x:c>
      <x:c r="C119" t="str">
        <x:v>C862_Link01</x:v>
      </x:c>
      <x:c r="D119" t="str">
        <x:v>C</x:v>
      </x:c>
      <x:c r="E119" t="str">
        <x:v>Eastern</x:v>
      </x:c>
      <x:c r="F119" t="str">
        <x:v>Mbale</x:v>
      </x:c>
      <x:c r="G119" t="n">
        <x:v>7196.77</x:v>
      </x:c>
      <x:c r="H119" t="n">
        <x:v>0.000928</x:v>
      </x:c>
      <x:c r="I119" t="n">
        <x:v>0.9312</x:v>
      </x:c>
      <x:c r="J119" t="n">
        <x:v>4656.31</x:v>
      </x:c>
      <x:c r="K119" t="n">
        <x:v>1438.88</x:v>
      </x:c>
      <x:c r="L119" t="n">
        <x:v>611.9</x:v>
      </x:c>
      <x:c r="M119" t="n">
        <x:v>489.69</x:v>
      </x:c>
      <x:c r="N119" t="n">
        <x:v>0</x:v>
      </x:c>
    </x:row>
    <x:row r="120">
      <x:c r="A120" t="str">
        <x:v>Sonoli</x:v>
      </x:c>
      <x:c r="B120" t="str">
        <x:v>B104</x:v>
      </x:c>
      <x:c r="C120" t="str">
        <x:v>C862_Link01</x:v>
      </x:c>
      <x:c r="D120" t="str">
        <x:v>C</x:v>
      </x:c>
      <x:c r="E120" t="str">
        <x:v>Eastern</x:v>
      </x:c>
      <x:c r="F120" t="str">
        <x:v>Mbale</x:v>
      </x:c>
      <x:c r="G120" t="n">
        <x:v>7196.21</x:v>
      </x:c>
      <x:c r="H120" t="n">
        <x:v>0.000928</x:v>
      </x:c>
      <x:c r="I120" t="n">
        <x:v>0.9312</x:v>
      </x:c>
      <x:c r="J120" t="n">
        <x:v>4655.86</x:v>
      </x:c>
      <x:c r="K120" t="n">
        <x:v>1438.86</x:v>
      </x:c>
      <x:c r="L120" t="n">
        <x:v>611.86</x:v>
      </x:c>
      <x:c r="M120" t="n">
        <x:v>489.63</x:v>
      </x:c>
      <x:c r="N120" t="n">
        <x:v>0</x:v>
      </x:c>
    </x:row>
    <x:row r="121">
      <x:c r="A121" t="str">
        <x:v>Namatsu</x:v>
      </x:c>
      <x:c r="B121" t="str">
        <x:v>B105</x:v>
      </x:c>
      <x:c r="C121" t="str">
        <x:v>C863_Link01</x:v>
      </x:c>
      <x:c r="D121" t="str">
        <x:v>C</x:v>
      </x:c>
      <x:c r="E121" t="str">
        <x:v>Eastern</x:v>
      </x:c>
      <x:c r="F121" t="str">
        <x:v>Mbale</x:v>
      </x:c>
      <x:c r="G121" t="n">
        <x:v>7183.13</x:v>
      </x:c>
      <x:c r="H121" t="n">
        <x:v>0.000928</x:v>
      </x:c>
      <x:c r="I121" t="n">
        <x:v>0.9312</x:v>
      </x:c>
      <x:c r="J121" t="n">
        <x:v>4560.96</x:v>
      </x:c>
      <x:c r="K121" t="n">
        <x:v>1510.04</x:v>
      </x:c>
      <x:c r="L121" t="n">
        <x:v>629.75</x:v>
      </x:c>
      <x:c r="M121" t="n">
        <x:v>482.38</x:v>
      </x:c>
      <x:c r="N121" t="n">
        <x:v>0</x:v>
      </x:c>
    </x:row>
    <x:row r="122">
      <x:c r="A122" t="str">
        <x:v>Kigezi</x:v>
      </x:c>
      <x:c r="B122" t="str">
        <x:v>B106</x:v>
      </x:c>
      <x:c r="C122" t="str">
        <x:v>C863_Link01</x:v>
      </x:c>
      <x:c r="D122" t="str">
        <x:v>C</x:v>
      </x:c>
      <x:c r="E122" t="str">
        <x:v>Eastern</x:v>
      </x:c>
      <x:c r="F122" t="str">
        <x:v>Mbale</x:v>
      </x:c>
      <x:c r="G122" t="n">
        <x:v>7183.13</x:v>
      </x:c>
      <x:c r="H122" t="n">
        <x:v>0.000928</x:v>
      </x:c>
      <x:c r="I122" t="n">
        <x:v>0.9312</x:v>
      </x:c>
      <x:c r="J122" t="n">
        <x:v>4560.96</x:v>
      </x:c>
      <x:c r="K122" t="n">
        <x:v>1510.04</x:v>
      </x:c>
      <x:c r="L122" t="n">
        <x:v>629.75</x:v>
      </x:c>
      <x:c r="M122" t="n">
        <x:v>482.38</x:v>
      </x:c>
      <x:c r="N122" t="n">
        <x:v>0</x:v>
      </x:c>
    </x:row>
    <x:row r="123">
      <x:c r="A123" t="str">
        <x:v>Namikhoma</x:v>
      </x:c>
      <x:c r="B123" t="str">
        <x:v>B107</x:v>
      </x:c>
      <x:c r="C123" t="str">
        <x:v>C866_Link01</x:v>
      </x:c>
      <x:c r="D123" t="str">
        <x:v>C</x:v>
      </x:c>
      <x:c r="E123" t="str">
        <x:v>Eastern</x:v>
      </x:c>
      <x:c r="F123" t="str">
        <x:v>Tororo</x:v>
      </x:c>
      <x:c r="G123" t="n">
        <x:v>7953.78</x:v>
      </x:c>
      <x:c r="H123" t="n">
        <x:v>0.000928</x:v>
      </x:c>
      <x:c r="I123" t="n">
        <x:v>0.9312</x:v>
      </x:c>
      <x:c r="J123" t="n">
        <x:v>5205.66</x:v>
      </x:c>
      <x:c r="K123" t="n">
        <x:v>1507.94</x:v>
      </x:c>
      <x:c r="L123" t="n">
        <x:v>668.91</x:v>
      </x:c>
      <x:c r="M123" t="n">
        <x:v>571.28</x:v>
      </x:c>
      <x:c r="N123" t="n">
        <x:v>0</x:v>
      </x:c>
    </x:row>
    <x:row r="124">
      <x:c r="A124" t="str">
        <x:v>Pasa</x:v>
      </x:c>
      <x:c r="B124" t="str">
        <x:v>B108</x:v>
      </x:c>
      <x:c r="C124" t="str">
        <x:v>C867_Link02</x:v>
      </x:c>
      <x:c r="D124" t="str">
        <x:v>C</x:v>
      </x:c>
      <x:c r="E124" t="str">
        <x:v>Eastern</x:v>
      </x:c>
      <x:c r="F124" t="str">
        <x:v>Mbale</x:v>
      </x:c>
      <x:c r="G124" t="n">
        <x:v>7399.62</x:v>
      </x:c>
      <x:c r="H124" t="n">
        <x:v>0.000928</x:v>
      </x:c>
      <x:c r="I124" t="n">
        <x:v>0.9312</x:v>
      </x:c>
      <x:c r="J124" t="n">
        <x:v>4774.12</x:v>
      </x:c>
      <x:c r="K124" t="n">
        <x:v>1482.68</x:v>
      </x:c>
      <x:c r="L124" t="n">
        <x:v>633.82</x:v>
      </x:c>
      <x:c r="M124" t="n">
        <x:v>509</x:v>
      </x:c>
      <x:c r="N124" t="n">
        <x:v>0</x:v>
      </x:c>
    </x:row>
    <x:row r="125">
      <x:c r="A125" t="str">
        <x:v>Tsutsu</x:v>
      </x:c>
      <x:c r="B125" t="str">
        <x:v>B109</x:v>
      </x:c>
      <x:c r="C125" t="str">
        <x:v>C867_Link02</x:v>
      </x:c>
      <x:c r="D125" t="str">
        <x:v>C</x:v>
      </x:c>
      <x:c r="E125" t="str">
        <x:v>Eastern</x:v>
      </x:c>
      <x:c r="F125" t="str">
        <x:v>Mbale</x:v>
      </x:c>
      <x:c r="G125" t="n">
        <x:v>7399.62</x:v>
      </x:c>
      <x:c r="H125" t="n">
        <x:v>0.000928</x:v>
      </x:c>
      <x:c r="I125" t="n">
        <x:v>0.9312</x:v>
      </x:c>
      <x:c r="J125" t="n">
        <x:v>4774.12</x:v>
      </x:c>
      <x:c r="K125" t="n">
        <x:v>1482.68</x:v>
      </x:c>
      <x:c r="L125" t="n">
        <x:v>633.82</x:v>
      </x:c>
      <x:c r="M125" t="n">
        <x:v>509</x:v>
      </x:c>
      <x:c r="N125" t="n">
        <x:v>0</x:v>
      </x:c>
    </x:row>
    <x:row r="126">
      <x:c r="A126" t="str">
        <x:v>Manafa</x:v>
      </x:c>
      <x:c r="B126" t="str">
        <x:v>B110</x:v>
      </x:c>
      <x:c r="C126" t="str">
        <x:v>C867_Link02</x:v>
      </x:c>
      <x:c r="D126" t="str">
        <x:v>C</x:v>
      </x:c>
      <x:c r="E126" t="str">
        <x:v>Eastern</x:v>
      </x:c>
      <x:c r="F126" t="str">
        <x:v>Mbale</x:v>
      </x:c>
      <x:c r="G126" t="n">
        <x:v>7504.78</x:v>
      </x:c>
      <x:c r="H126" t="n">
        <x:v>0.000928</x:v>
      </x:c>
      <x:c r="I126" t="n">
        <x:v>0.9312</x:v>
      </x:c>
      <x:c r="J126" t="n">
        <x:v>4865.51</x:v>
      </x:c>
      <x:c r="K126" t="n">
        <x:v>1480.14</x:v>
      </x:c>
      <x:c r="L126" t="n">
        <x:v>638.62</x:v>
      </x:c>
      <x:c r="M126" t="n">
        <x:v>520.51</x:v>
      </x:c>
      <x:c r="N126" t="n">
        <x:v>0</x:v>
      </x:c>
    </x:row>
    <x:row r="127">
      <x:c r="A127" t="str">
        <x:v>Manafwa</x:v>
      </x:c>
      <x:c r="B127" t="str">
        <x:v>B111</x:v>
      </x:c>
      <x:c r="C127" t="str">
        <x:v>C867_LINK02</x:v>
      </x:c>
      <x:c r="D127" t="str">
        <x:v>C</x:v>
      </x:c>
      <x:c r="E127" t="str">
        <x:v>Eastern</x:v>
      </x:c>
      <x:c r="F127" t="str">
        <x:v>Mbale</x:v>
      </x:c>
      <x:c r="G127" t="n">
        <x:v>7508.45</x:v>
      </x:c>
      <x:c r="H127" t="n">
        <x:v>0.000928</x:v>
      </x:c>
      <x:c r="I127" t="n">
        <x:v>0.9312</x:v>
      </x:c>
      <x:c r="J127" t="n">
        <x:v>4865.63</x:v>
      </x:c>
      <x:c r="K127" t="n">
        <x:v>1482.49</x:v>
      </x:c>
      <x:c r="L127" t="n">
        <x:v>639.43</x:v>
      </x:c>
      <x:c r="M127" t="n">
        <x:v>520.91</x:v>
      </x:c>
      <x:c r="N127" t="n">
        <x:v>0</x:v>
      </x:c>
    </x:row>
    <x:row r="128">
      <x:c r="A128" t="str">
        <x:v>Manafa</x:v>
      </x:c>
      <x:c r="B128" t="str">
        <x:v>B112</x:v>
      </x:c>
      <x:c r="C128" t="str">
        <x:v>C870_Link01</x:v>
      </x:c>
      <x:c r="D128" t="str">
        <x:v>C</x:v>
      </x:c>
      <x:c r="E128" t="str">
        <x:v>Eastern</x:v>
      </x:c>
      <x:c r="F128" t="str">
        <x:v>Mbale</x:v>
      </x:c>
      <x:c r="G128" t="n">
        <x:v>7793.52</x:v>
      </x:c>
      <x:c r="H128" t="n">
        <x:v>0.000928</x:v>
      </x:c>
      <x:c r="I128" t="n">
        <x:v>0.9312</x:v>
      </x:c>
      <x:c r="J128" t="n">
        <x:v>5051.42</x:v>
      </x:c>
      <x:c r="K128" t="n">
        <x:v>1521.62</x:v>
      </x:c>
      <x:c r="L128" t="n">
        <x:v>664.88</x:v>
      </x:c>
      <x:c r="M128" t="n">
        <x:v>555.6</x:v>
      </x:c>
      <x:c r="N128" t="n">
        <x:v>0</x:v>
      </x:c>
    </x:row>
    <x:row r="129">
      <x:c r="A129" t="str">
        <x:v>Namunyiri</x:v>
      </x:c>
      <x:c r="B129" t="str">
        <x:v>B113</x:v>
      </x:c>
      <x:c r="C129" t="str">
        <x:v>C870_Link02</x:v>
      </x:c>
      <x:c r="D129" t="str">
        <x:v>C</x:v>
      </x:c>
      <x:c r="E129" t="str">
        <x:v>Eastern</x:v>
      </x:c>
      <x:c r="F129" t="str">
        <x:v>Tororo</x:v>
      </x:c>
      <x:c r="G129" t="n">
        <x:v>7801.21</x:v>
      </x:c>
      <x:c r="H129" t="n">
        <x:v>0.000928</x:v>
      </x:c>
      <x:c r="I129" t="n">
        <x:v>0.9312</x:v>
      </x:c>
      <x:c r="J129" t="n">
        <x:v>5058.46</x:v>
      </x:c>
      <x:c r="K129" t="n">
        <x:v>1521.15</x:v>
      </x:c>
      <x:c r="L129" t="n">
        <x:v>665.13</x:v>
      </x:c>
      <x:c r="M129" t="n">
        <x:v>556.46</x:v>
      </x:c>
      <x:c r="N129" t="n">
        <x:v>0</x:v>
      </x:c>
    </x:row>
    <x:row r="130">
      <x:c r="A130" t="str">
        <x:v>Mbigi</x:v>
      </x:c>
      <x:c r="B130" t="str">
        <x:v>B114</x:v>
      </x:c>
      <x:c r="C130" t="str">
        <x:v>C871_Link01</x:v>
      </x:c>
      <x:c r="D130" t="str">
        <x:v>C</x:v>
      </x:c>
      <x:c r="E130" t="str">
        <x:v>Eastern</x:v>
      </x:c>
      <x:c r="F130" t="str">
        <x:v>Mbale</x:v>
      </x:c>
      <x:c r="G130" t="n">
        <x:v>7045.2</x:v>
      </x:c>
      <x:c r="H130" t="n">
        <x:v>0.000928</x:v>
      </x:c>
      <x:c r="I130" t="n">
        <x:v>0.9312</x:v>
      </x:c>
      <x:c r="J130" t="n">
        <x:v>4587.75</x:v>
      </x:c>
      <x:c r="K130" t="n">
        <x:v>1388.07</x:v>
      </x:c>
      <x:c r="L130" t="n">
        <x:v>591.58</x:v>
      </x:c>
      <x:c r="M130" t="n">
        <x:v>477.8</x:v>
      </x:c>
      <x:c r="N130" t="n">
        <x:v>0</x:v>
      </x:c>
    </x:row>
    <x:row r="131">
      <x:c r="A131" t="str">
        <x:v>Kumi</x:v>
      </x:c>
      <x:c r="B131" t="str">
        <x:v>B115</x:v>
      </x:c>
      <x:c r="C131" t="str">
        <x:v>C920_Link01</x:v>
      </x:c>
      <x:c r="D131" t="str">
        <x:v>C</x:v>
      </x:c>
      <x:c r="E131" t="str">
        <x:v>North Eastern</x:v>
      </x:c>
      <x:c r="F131" t="str">
        <x:v>Soroti</x:v>
      </x:c>
      <x:c r="G131" t="n">
        <x:v>3855.92</x:v>
      </x:c>
      <x:c r="H131" t="n">
        <x:v>0.000928</x:v>
      </x:c>
      <x:c r="I131" t="n">
        <x:v>0.9376</x:v>
      </x:c>
      <x:c r="J131" t="n">
        <x:v>2202.42</x:v>
      </x:c>
      <x:c r="K131" t="n">
        <x:v>1473.59</x:v>
      </x:c>
      <x:c r="L131" t="n">
        <x:v>170.25</x:v>
      </x:c>
      <x:c r="M131" t="n">
        <x:v>9.65</x:v>
      </x:c>
      <x:c r="N131" t="n">
        <x:v>0</x:v>
      </x:c>
    </x:row>
    <x:row r="132">
      <x:c r="A132" t="str">
        <x:v>Abuket</x:v>
      </x:c>
      <x:c r="B132" t="str">
        <x:v>B116</x:v>
      </x:c>
      <x:c r="C132" t="str">
        <x:v>C920_Link01</x:v>
      </x:c>
      <x:c r="D132" t="str">
        <x:v>C</x:v>
      </x:c>
      <x:c r="E132" t="str">
        <x:v>North Eastern</x:v>
      </x:c>
      <x:c r="F132" t="str">
        <x:v>Soroti</x:v>
      </x:c>
      <x:c r="G132" t="n">
        <x:v>3855.92</x:v>
      </x:c>
      <x:c r="H132" t="n">
        <x:v>0.000928</x:v>
      </x:c>
      <x:c r="I132" t="n">
        <x:v>0.9376</x:v>
      </x:c>
      <x:c r="J132" t="n">
        <x:v>2202.42</x:v>
      </x:c>
      <x:c r="K132" t="n">
        <x:v>1473.59</x:v>
      </x:c>
      <x:c r="L132" t="n">
        <x:v>170.25</x:v>
      </x:c>
      <x:c r="M132" t="n">
        <x:v>9.65</x:v>
      </x:c>
      <x:c r="N132" t="n">
        <x:v>0</x:v>
      </x:c>
    </x:row>
    <x:row r="133">
      <x:c r="A133" t="str">
        <x:v>Tochi Bridge</x:v>
      </x:c>
      <x:c r="B133" t="str">
        <x:v>B117</x:v>
      </x:c>
      <x:c r="C133" t="str">
        <x:v>A006_Link11</x:v>
      </x:c>
      <x:c r="D133" t="str">
        <x:v>A</x:v>
      </x:c>
      <x:c r="E133" t="str">
        <x:v>Northern</x:v>
      </x:c>
      <x:c r="F133" t="str">
        <x:v>Gulu</x:v>
      </x:c>
      <x:c r="G133" t="n">
        <x:v>5552.57</x:v>
      </x:c>
      <x:c r="H133" t="n">
        <x:v>0.001304</x:v>
      </x:c>
      <x:c r="I133" t="n">
        <x:v>0.9376</x:v>
      </x:c>
      <x:c r="J133" t="n">
        <x:v>3908.16</x:v>
      </x:c>
      <x:c r="K133" t="n">
        <x:v>795.85</x:v>
      </x:c>
      <x:c r="L133" t="n">
        <x:v>425.07</x:v>
      </x:c>
      <x:c r="M133" t="n">
        <x:v>423.49</x:v>
      </x:c>
      <x:c r="N133" t="n">
        <x:v>0</x:v>
      </x:c>
    </x:row>
    <x:row r="134">
      <x:c r="A134" t="str">
        <x:v>Unyama</x:v>
      </x:c>
      <x:c r="B134" t="str">
        <x:v>B118</x:v>
      </x:c>
      <x:c r="C134" t="str">
        <x:v>A006_Link13</x:v>
      </x:c>
      <x:c r="D134" t="str">
        <x:v>A</x:v>
      </x:c>
      <x:c r="E134" t="str">
        <x:v>Northern</x:v>
      </x:c>
      <x:c r="F134" t="str">
        <x:v>Gulu</x:v>
      </x:c>
      <x:c r="G134" t="n">
        <x:v>5888.64</x:v>
      </x:c>
      <x:c r="H134" t="n">
        <x:v>0.001304</x:v>
      </x:c>
      <x:c r="I134" t="n">
        <x:v>0.9376</x:v>
      </x:c>
      <x:c r="J134" t="n">
        <x:v>4002.69</x:v>
      </x:c>
      <x:c r="K134" t="n">
        <x:v>997.67</x:v>
      </x:c>
      <x:c r="L134" t="n">
        <x:v>480.65</x:v>
      </x:c>
      <x:c r="M134" t="n">
        <x:v>407.63</x:v>
      </x:c>
      <x:c r="N134" t="n">
        <x:v>0</x:v>
      </x:c>
    </x:row>
    <x:row r="135">
      <x:c r="A135" t="str">
        <x:v>Enyau Bridge</x:v>
      </x:c>
      <x:c r="B135" t="str">
        <x:v>B119</x:v>
      </x:c>
      <x:c r="C135" t="str">
        <x:v>A008_Link06</x:v>
      </x:c>
      <x:c r="D135" t="str">
        <x:v>A</x:v>
      </x:c>
      <x:c r="E135" t="str">
        <x:v>Northern</x:v>
      </x:c>
      <x:c r="F135" t="str">
        <x:v>Arua</x:v>
      </x:c>
      <x:c r="G135" t="n">
        <x:v>5279.92</x:v>
      </x:c>
      <x:c r="H135" t="n">
        <x:v>0.001304</x:v>
      </x:c>
      <x:c r="I135" t="n">
        <x:v>0.9376</x:v>
      </x:c>
      <x:c r="J135" t="n">
        <x:v>3361.46</x:v>
      </x:c>
      <x:c r="K135" t="n">
        <x:v>1002.53</x:v>
      </x:c>
      <x:c r="L135" t="n">
        <x:v>515.56</x:v>
      </x:c>
      <x:c r="M135" t="n">
        <x:v>400.37</x:v>
      </x:c>
      <x:c r="N135" t="n">
        <x:v>0</x:v>
      </x:c>
    </x:row>
    <x:row r="136">
      <x:c r="A136" t="str">
        <x:v>Enve Bridge</x:v>
      </x:c>
      <x:c r="B136" t="str">
        <x:v>B120</x:v>
      </x:c>
      <x:c r="C136" t="str">
        <x:v>A008_Link07</x:v>
      </x:c>
      <x:c r="D136" t="str">
        <x:v>A</x:v>
      </x:c>
      <x:c r="E136" t="str">
        <x:v>Northern</x:v>
      </x:c>
      <x:c r="F136" t="str">
        <x:v>Arua</x:v>
      </x:c>
      <x:c r="G136" t="n">
        <x:v>5127.33</x:v>
      </x:c>
      <x:c r="H136" t="n">
        <x:v>0.001304</x:v>
      </x:c>
      <x:c r="I136" t="n">
        <x:v>0.9376</x:v>
      </x:c>
      <x:c r="J136" t="n">
        <x:v>3377.48</x:v>
      </x:c>
      <x:c r="K136" t="n">
        <x:v>919.04</x:v>
      </x:c>
      <x:c r="L136" t="n">
        <x:v>460.4</x:v>
      </x:c>
      <x:c r="M136" t="n">
        <x:v>370.4</x:v>
      </x:c>
      <x:c r="N136" t="n">
        <x:v>0</x:v>
      </x:c>
    </x:row>
    <x:row r="137">
      <x:c r="A137" t="str">
        <x:v>Enve</x:v>
      </x:c>
      <x:c r="B137" t="str">
        <x:v>B724</x:v>
      </x:c>
      <x:c r="C137" t="str">
        <x:v>A008_Link06</x:v>
      </x:c>
      <x:c r="D137" t="str">
        <x:v>A</x:v>
      </x:c>
      <x:c r="E137" t="str">
        <x:v>Northern</x:v>
      </x:c>
      <x:c r="F137" t="str">
        <x:v>Arua</x:v>
      </x:c>
      <x:c r="G137" t="n">
        <x:v>5279.92</x:v>
      </x:c>
      <x:c r="H137" t="n">
        <x:v>0.001304</x:v>
      </x:c>
      <x:c r="I137" t="n">
        <x:v>0.9376</x:v>
      </x:c>
      <x:c r="J137" t="n">
        <x:v>3388.8</x:v>
      </x:c>
      <x:c r="K137" t="n">
        <x:v>988.73</x:v>
      </x:c>
      <x:c r="L137" t="n">
        <x:v>505.98</x:v>
      </x:c>
      <x:c r="M137" t="n">
        <x:v>396.41</x:v>
      </x:c>
      <x:c r="N137" t="n">
        <x:v>0</x:v>
      </x:c>
    </x:row>
    <x:row r="138">
      <x:c r="A138" t="str">
        <x:v>Oluffe</x:v>
      </x:c>
      <x:c r="B138" t="str">
        <x:v>B121</x:v>
      </x:c>
      <x:c r="C138" t="str">
        <x:v>A008_Link06</x:v>
      </x:c>
      <x:c r="D138" t="str">
        <x:v>A</x:v>
      </x:c>
      <x:c r="E138" t="str">
        <x:v>Northern</x:v>
      </x:c>
      <x:c r="F138" t="str">
        <x:v>Arua</x:v>
      </x:c>
      <x:c r="G138" t="n">
        <x:v>5279.92</x:v>
      </x:c>
      <x:c r="H138" t="n">
        <x:v>0.001304</x:v>
      </x:c>
      <x:c r="I138" t="n">
        <x:v>0.9376</x:v>
      </x:c>
      <x:c r="J138" t="n">
        <x:v>3399.86</x:v>
      </x:c>
      <x:c r="K138" t="n">
        <x:v>983.18</x:v>
      </x:c>
      <x:c r="L138" t="n">
        <x:v>502.01</x:v>
      </x:c>
      <x:c r="M138" t="n">
        <x:v>394.87</x:v>
      </x:c>
      <x:c r="N138" t="n">
        <x:v>0</x:v>
      </x:c>
    </x:row>
    <x:row r="139">
      <x:c r="A139" t="str">
        <x:v>Ayi Bridge</x:v>
      </x:c>
      <x:c r="B139" t="str">
        <x:v>B122</x:v>
      </x:c>
      <x:c r="C139" t="str">
        <x:v>A008_Link06</x:v>
      </x:c>
      <x:c r="D139" t="str">
        <x:v>A</x:v>
      </x:c>
      <x:c r="E139" t="str">
        <x:v>Northern</x:v>
      </x:c>
      <x:c r="F139" t="str">
        <x:v>Arua</x:v>
      </x:c>
      <x:c r="G139" t="n">
        <x:v>5279.92</x:v>
      </x:c>
      <x:c r="H139" t="n">
        <x:v>0.001304</x:v>
      </x:c>
      <x:c r="I139" t="n">
        <x:v>0.9376</x:v>
      </x:c>
      <x:c r="J139" t="n">
        <x:v>3421.04</x:v>
      </x:c>
      <x:c r="K139" t="n">
        <x:v>972.8</x:v>
      </x:c>
      <x:c r="L139" t="n">
        <x:v>494.5</x:v>
      </x:c>
      <x:c r="M139" t="n">
        <x:v>391.58</x:v>
      </x:c>
      <x:c r="N139" t="n">
        <x:v>0</x:v>
      </x:c>
    </x:row>
    <x:row r="140">
      <x:c r="A140" t="str">
        <x:v>Yoo</x:v>
      </x:c>
      <x:c r="B140" t="str">
        <x:v>B123</x:v>
      </x:c>
      <x:c r="C140" t="str">
        <x:v>A008_Link06</x:v>
      </x:c>
      <x:c r="D140" t="str">
        <x:v>A</x:v>
      </x:c>
      <x:c r="E140" t="str">
        <x:v>Northern</x:v>
      </x:c>
      <x:c r="F140" t="str">
        <x:v>Arua</x:v>
      </x:c>
      <x:c r="G140" t="n">
        <x:v>5279.92</x:v>
      </x:c>
      <x:c r="H140" t="n">
        <x:v>0.001304</x:v>
      </x:c>
      <x:c r="I140" t="n">
        <x:v>0.9376</x:v>
      </x:c>
      <x:c r="J140" t="n">
        <x:v>3441.01</x:v>
      </x:c>
      <x:c r="K140" t="n">
        <x:v>963.28</x:v>
      </x:c>
      <x:c r="L140" t="n">
        <x:v>487.38</x:v>
      </x:c>
      <x:c r="M140" t="n">
        <x:v>388.26</x:v>
      </x:c>
      <x:c r="N140" t="n">
        <x:v>0</x:v>
      </x:c>
    </x:row>
    <x:row r="141">
      <x:c r="A141" t="str">
        <x:v>Oru Bridge</x:v>
      </x:c>
      <x:c r="B141" t="str">
        <x:v>B124</x:v>
      </x:c>
      <x:c r="C141" t="str">
        <x:v>A008_Link06</x:v>
      </x:c>
      <x:c r="D141" t="str">
        <x:v>A</x:v>
      </x:c>
      <x:c r="E141" t="str">
        <x:v>Northern</x:v>
      </x:c>
      <x:c r="F141" t="str">
        <x:v>Arua</x:v>
      </x:c>
      <x:c r="G141" t="n">
        <x:v>5279.92</x:v>
      </x:c>
      <x:c r="H141" t="n">
        <x:v>0.001304</x:v>
      </x:c>
      <x:c r="I141" t="n">
        <x:v>0.9376</x:v>
      </x:c>
      <x:c r="J141" t="n">
        <x:v>3442.26</x:v>
      </x:c>
      <x:c r="K141" t="n">
        <x:v>962.68</x:v>
      </x:c>
      <x:c r="L141" t="n">
        <x:v>486.92</x:v>
      </x:c>
      <x:c r="M141" t="n">
        <x:v>388.07</x:v>
      </x:c>
      <x:c r="N141" t="n">
        <x:v>0</x:v>
      </x:c>
    </x:row>
    <x:row r="142">
      <x:c r="A142" t="str">
        <x:v>Apa Bridge</x:v>
      </x:c>
      <x:c r="B142" t="str">
        <x:v>B125</x:v>
      </x:c>
      <x:c r="C142" t="str">
        <x:v>A008_Link06</x:v>
      </x:c>
      <x:c r="D142" t="str">
        <x:v>A</x:v>
      </x:c>
      <x:c r="E142" t="str">
        <x:v>Northern</x:v>
      </x:c>
      <x:c r="F142" t="str">
        <x:v>Arua</x:v>
      </x:c>
      <x:c r="G142" t="n">
        <x:v>5279.92</x:v>
      </x:c>
      <x:c r="H142" t="n">
        <x:v>0.001304</x:v>
      </x:c>
      <x:c r="I142" t="n">
        <x:v>0.9376</x:v>
      </x:c>
      <x:c r="J142" t="n">
        <x:v>3445.15</x:v>
      </x:c>
      <x:c r="K142" t="n">
        <x:v>961.31</x:v>
      </x:c>
      <x:c r="L142" t="n">
        <x:v>485.87</x:v>
      </x:c>
      <x:c r="M142" t="n">
        <x:v>387.59</x:v>
      </x:c>
      <x:c r="N142" t="n">
        <x:v>0</x:v>
      </x:c>
    </x:row>
    <x:row r="143">
      <x:c r="A143" t="str">
        <x:v>Kochi Bridge</x:v>
      </x:c>
      <x:c r="B143" t="str">
        <x:v>B126</x:v>
      </x:c>
      <x:c r="C143" t="str">
        <x:v>A008_Link07</x:v>
      </x:c>
      <x:c r="D143" t="str">
        <x:v>A</x:v>
      </x:c>
      <x:c r="E143" t="str">
        <x:v>Northern</x:v>
      </x:c>
      <x:c r="F143" t="str">
        <x:v>Arua</x:v>
      </x:c>
      <x:c r="G143" t="n">
        <x:v>5048.67</x:v>
      </x:c>
      <x:c r="H143" t="n">
        <x:v>0.001304</x:v>
      </x:c>
      <x:c r="I143" t="n">
        <x:v>0.9376</x:v>
      </x:c>
      <x:c r="J143" t="n">
        <x:v>3318.47</x:v>
      </x:c>
      <x:c r="K143" t="n">
        <x:v>908.11</x:v>
      </x:c>
      <x:c r="L143" t="n">
        <x:v>455.88</x:v>
      </x:c>
      <x:c r="M143" t="n">
        <x:v>366.2</x:v>
      </x:c>
      <x:c r="N143" t="n">
        <x:v>0</x:v>
      </x:c>
    </x:row>
    <x:row r="144">
      <x:c r="A144" t="str">
        <x:v>Ayugi Bridge</x:v>
      </x:c>
      <x:c r="B144" t="str">
        <x:v>B127</x:v>
      </x:c>
      <x:c r="C144" t="str">
        <x:v>B250_Link01</x:v>
      </x:c>
      <x:c r="D144" t="str">
        <x:v>B</x:v>
      </x:c>
      <x:c r="E144" t="str">
        <x:v>Northern</x:v>
      </x:c>
      <x:c r="F144" t="str">
        <x:v>Moyo</x:v>
      </x:c>
      <x:c r="G144" t="n">
        <x:v>7586.69</x:v>
      </x:c>
      <x:c r="H144" t="n">
        <x:v>0.001101</x:v>
      </x:c>
      <x:c r="I144" t="n">
        <x:v>0.9376</x:v>
      </x:c>
      <x:c r="J144" t="n">
        <x:v>5153.73</x:v>
      </x:c>
      <x:c r="K144" t="n">
        <x:v>1288.86</x:v>
      </x:c>
      <x:c r="L144" t="n">
        <x:v>618.91</x:v>
      </x:c>
      <x:c r="M144" t="n">
        <x:v>525.19</x:v>
      </x:c>
      <x:c r="N144" t="n">
        <x:v>0</x:v>
      </x:c>
    </x:row>
    <x:row r="145">
      <x:c r="A145" t="str">
        <x:v>Eyiagwea</x:v>
      </x:c>
      <x:c r="B145" t="str">
        <x:v>B128</x:v>
      </x:c>
      <x:c r="C145" t="str">
        <x:v>B250_Link01</x:v>
      </x:c>
      <x:c r="D145" t="str">
        <x:v>B</x:v>
      </x:c>
      <x:c r="E145" t="str">
        <x:v>Northern</x:v>
      </x:c>
      <x:c r="F145" t="str">
        <x:v>Moyo</x:v>
      </x:c>
      <x:c r="G145" t="n">
        <x:v>7586.69</x:v>
      </x:c>
      <x:c r="H145" t="n">
        <x:v>0.001101</x:v>
      </x:c>
      <x:c r="I145" t="n">
        <x:v>0.9376</x:v>
      </x:c>
      <x:c r="J145" t="n">
        <x:v>5155.86</x:v>
      </x:c>
      <x:c r="K145" t="n">
        <x:v>1291.52</x:v>
      </x:c>
      <x:c r="L145" t="n">
        <x:v>616.51</x:v>
      </x:c>
      <x:c r="M145" t="n">
        <x:v>522.79</x:v>
      </x:c>
      <x:c r="N145" t="n">
        <x:v>0</x:v>
      </x:c>
    </x:row>
    <x:row r="146">
      <x:c r="A146" t="str">
        <x:v>Eria Bridge</x:v>
      </x:c>
      <x:c r="B146" t="str">
        <x:v>B129</x:v>
      </x:c>
      <x:c r="C146" t="str">
        <x:v>B250_Link01</x:v>
      </x:c>
      <x:c r="D146" t="str">
        <x:v>B</x:v>
      </x:c>
      <x:c r="E146" t="str">
        <x:v>Northern</x:v>
      </x:c>
      <x:c r="F146" t="str">
        <x:v>Moyo</x:v>
      </x:c>
      <x:c r="G146" t="n">
        <x:v>7586.69</x:v>
      </x:c>
      <x:c r="H146" t="n">
        <x:v>0.001101</x:v>
      </x:c>
      <x:c r="I146" t="n">
        <x:v>0.9376</x:v>
      </x:c>
      <x:c r="J146" t="n">
        <x:v>5148.65</x:v>
      </x:c>
      <x:c r="K146" t="n">
        <x:v>1287.83</x:v>
      </x:c>
      <x:c r="L146" t="n">
        <x:v>622.12</x:v>
      </x:c>
      <x:c r="M146" t="n">
        <x:v>528.1</x:v>
      </x:c>
      <x:c r="N146" t="n">
        <x:v>0</x:v>
      </x:c>
    </x:row>
    <x:row r="147">
      <x:c r="A147" t="str">
        <x:v>Surumu</x:v>
      </x:c>
      <x:c r="B147" t="str">
        <x:v>B130</x:v>
      </x:c>
      <x:c r="C147" t="str">
        <x:v>B250_Link01</x:v>
      </x:c>
      <x:c r="D147" t="str">
        <x:v>B</x:v>
      </x:c>
      <x:c r="E147" t="str">
        <x:v>Northern</x:v>
      </x:c>
      <x:c r="F147" t="str">
        <x:v>Moyo</x:v>
      </x:c>
      <x:c r="G147" t="n">
        <x:v>7586.69</x:v>
      </x:c>
      <x:c r="H147" t="n">
        <x:v>0.001101</x:v>
      </x:c>
      <x:c r="I147" t="n">
        <x:v>0.9376</x:v>
      </x:c>
      <x:c r="J147" t="n">
        <x:v>5151.54</x:v>
      </x:c>
      <x:c r="K147" t="n">
        <x:v>1287.58</x:v>
      </x:c>
      <x:c r="L147" t="n">
        <x:v>620.74</x:v>
      </x:c>
      <x:c r="M147" t="n">
        <x:v>526.83</x:v>
      </x:c>
      <x:c r="N147" t="n">
        <x:v>0</x:v>
      </x:c>
    </x:row>
    <x:row r="148">
      <x:c r="A148" t="str">
        <x:v>Cala</x:v>
      </x:c>
      <x:c r="B148" t="str">
        <x:v>B131</x:v>
      </x:c>
      <x:c r="C148" t="str">
        <x:v>B250_Link01</x:v>
      </x:c>
      <x:c r="D148" t="str">
        <x:v>B</x:v>
      </x:c>
      <x:c r="E148" t="str">
        <x:v>Northern</x:v>
      </x:c>
      <x:c r="F148" t="str">
        <x:v>Moyo</x:v>
      </x:c>
      <x:c r="G148" t="n">
        <x:v>7586.69</x:v>
      </x:c>
      <x:c r="H148" t="n">
        <x:v>0.001101</x:v>
      </x:c>
      <x:c r="I148" t="n">
        <x:v>0.9376</x:v>
      </x:c>
      <x:c r="J148" t="n">
        <x:v>5155.24</x:v>
      </x:c>
      <x:c r="K148" t="n">
        <x:v>1290.61</x:v>
      </x:c>
      <x:c r="L148" t="n">
        <x:v>617.27</x:v>
      </x:c>
      <x:c r="M148" t="n">
        <x:v>523.57</x:v>
      </x:c>
      <x:c r="N148" t="n">
        <x:v>0</x:v>
      </x:c>
    </x:row>
    <x:row r="149">
      <x:c r="A149" t="str">
        <x:v>Yii Bridge</x:v>
      </x:c>
      <x:c r="B149" t="str">
        <x:v>B134</x:v>
      </x:c>
      <x:c r="C149" t="str">
        <x:v>B250_Link02</x:v>
      </x:c>
      <x:c r="D149" t="str">
        <x:v>B</x:v>
      </x:c>
      <x:c r="E149" t="str">
        <x:v>Northern</x:v>
      </x:c>
      <x:c r="F149" t="str">
        <x:v>Moyo</x:v>
      </x:c>
      <x:c r="G149" t="n">
        <x:v>5819.61</x:v>
      </x:c>
      <x:c r="H149" t="n">
        <x:v>0.001101</x:v>
      </x:c>
      <x:c r="I149" t="n">
        <x:v>0.9376</x:v>
      </x:c>
      <x:c r="J149" t="n">
        <x:v>3940.68</x:v>
      </x:c>
      <x:c r="K149" t="n">
        <x:v>986.27</x:v>
      </x:c>
      <x:c r="L149" t="n">
        <x:v>483.34</x:v>
      </x:c>
      <x:c r="M149" t="n">
        <x:v>409.31</x:v>
      </x:c>
      <x:c r="N149" t="n">
        <x:v>0</x:v>
      </x:c>
    </x:row>
    <x:row r="150">
      <x:c r="A150" t="str">
        <x:v>Yii</x:v>
      </x:c>
      <x:c r="B150" t="str">
        <x:v>B725</x:v>
      </x:c>
      <x:c r="C150" t="str">
        <x:v>B250_Link02</x:v>
      </x:c>
      <x:c r="D150" t="str">
        <x:v>B</x:v>
      </x:c>
      <x:c r="E150" t="str">
        <x:v>Northern</x:v>
      </x:c>
      <x:c r="F150" t="str">
        <x:v>Moyo</x:v>
      </x:c>
      <x:c r="G150" t="n">
        <x:v>5819.61</x:v>
      </x:c>
      <x:c r="H150" t="n">
        <x:v>0.001101</x:v>
      </x:c>
      <x:c r="I150" t="n">
        <x:v>0.9376</x:v>
      </x:c>
      <x:c r="J150" t="n">
        <x:v>3940.68</x:v>
      </x:c>
      <x:c r="K150" t="n">
        <x:v>986.27</x:v>
      </x:c>
      <x:c r="L150" t="n">
        <x:v>483.34</x:v>
      </x:c>
      <x:c r="M150" t="n">
        <x:v>409.31</x:v>
      </x:c>
      <x:c r="N150" t="n">
        <x:v>0</x:v>
      </x:c>
    </x:row>
    <x:row r="151">
      <x:c r="A151" t="str">
        <x:v>Nyawa Bridge</x:v>
      </x:c>
      <x:c r="B151" t="str">
        <x:v>B726</x:v>
      </x:c>
      <x:c r="C151" t="str">
        <x:v>B250_Link02</x:v>
      </x:c>
      <x:c r="D151" t="str">
        <x:v>B</x:v>
      </x:c>
      <x:c r="E151" t="str">
        <x:v>Northern</x:v>
      </x:c>
      <x:c r="F151" t="str">
        <x:v>Moyo</x:v>
      </x:c>
      <x:c r="G151" t="n">
        <x:v>5847.38</x:v>
      </x:c>
      <x:c r="H151" t="n">
        <x:v>0.001101</x:v>
      </x:c>
      <x:c r="I151" t="n">
        <x:v>0.9376</x:v>
      </x:c>
      <x:c r="J151" t="n">
        <x:v>3958.99</x:v>
      </x:c>
      <x:c r="K151" t="n">
        <x:v>991.05</x:v>
      </x:c>
      <x:c r="L151" t="n">
        <x:v>486.03</x:v>
      </x:c>
      <x:c r="M151" t="n">
        <x:v>411.31</x:v>
      </x:c>
      <x:c r="N151" t="n">
        <x:v>0</x:v>
      </x:c>
    </x:row>
    <x:row r="152">
      <x:c r="A152" t="str">
        <x:v>Nyawa</x:v>
      </x:c>
      <x:c r="B152" t="str">
        <x:v>B135</x:v>
      </x:c>
      <x:c r="C152" t="str">
        <x:v>B250_Link02</x:v>
      </x:c>
      <x:c r="D152" t="str">
        <x:v>B</x:v>
      </x:c>
      <x:c r="E152" t="str">
        <x:v>Northern</x:v>
      </x:c>
      <x:c r="F152" t="str">
        <x:v>Moyo</x:v>
      </x:c>
      <x:c r="G152" t="n">
        <x:v>5847.38</x:v>
      </x:c>
      <x:c r="H152" t="n">
        <x:v>0.001101</x:v>
      </x:c>
      <x:c r="I152" t="n">
        <x:v>0.9376</x:v>
      </x:c>
      <x:c r="J152" t="n">
        <x:v>3958.99</x:v>
      </x:c>
      <x:c r="K152" t="n">
        <x:v>991.05</x:v>
      </x:c>
      <x:c r="L152" t="n">
        <x:v>486.03</x:v>
      </x:c>
      <x:c r="M152" t="n">
        <x:v>411.31</x:v>
      </x:c>
      <x:c r="N152" t="n">
        <x:v>0</x:v>
      </x:c>
    </x:row>
    <x:row r="153">
      <x:c r="A153" t="str">
        <x:v>Kochi</x:v>
      </x:c>
      <x:c r="B153" t="str">
        <x:v>B136</x:v>
      </x:c>
      <x:c r="C153" t="str">
        <x:v>B250_Link02</x:v>
      </x:c>
      <x:c r="D153" t="str">
        <x:v>B</x:v>
      </x:c>
      <x:c r="E153" t="str">
        <x:v>Northern</x:v>
      </x:c>
      <x:c r="F153" t="str">
        <x:v>Moyo</x:v>
      </x:c>
      <x:c r="G153" t="n">
        <x:v>5793.44</x:v>
      </x:c>
      <x:c r="H153" t="n">
        <x:v>0.001101</x:v>
      </x:c>
      <x:c r="I153" t="n">
        <x:v>0.9376</x:v>
      </x:c>
      <x:c r="J153" t="n">
        <x:v>3917.36</x:v>
      </x:c>
      <x:c r="K153" t="n">
        <x:v>982.67</x:v>
      </x:c>
      <x:c r="L153" t="n">
        <x:v>483.96</x:v>
      </x:c>
      <x:c r="M153" t="n">
        <x:v>409.45</x:v>
      </x:c>
      <x:c r="N153" t="n">
        <x:v>0</x:v>
      </x:c>
    </x:row>
    <x:row r="154">
      <x:c r="A154" t="str">
        <x:v>Jure</x:v>
      </x:c>
      <x:c r="B154" t="str">
        <x:v>B137</x:v>
      </x:c>
      <x:c r="C154" t="str">
        <x:v>B250_Link03</x:v>
      </x:c>
      <x:c r="D154" t="str">
        <x:v>B</x:v>
      </x:c>
      <x:c r="E154" t="str">
        <x:v>Northern</x:v>
      </x:c>
      <x:c r="F154" t="str">
        <x:v>Arua</x:v>
      </x:c>
      <x:c r="G154" t="n">
        <x:v>5576.51</x:v>
      </x:c>
      <x:c r="H154" t="n">
        <x:v>0.001101</x:v>
      </x:c>
      <x:c r="I154" t="n">
        <x:v>0.9376</x:v>
      </x:c>
      <x:c r="J154" t="n">
        <x:v>3752.89</x:v>
      </x:c>
      <x:c r="K154" t="n">
        <x:v>949.79</x:v>
      </x:c>
      <x:c r="L154" t="n">
        <x:v>473.47</x:v>
      </x:c>
      <x:c r="M154" t="n">
        <x:v>400.36</x:v>
      </x:c>
      <x:c r="N154" t="n">
        <x:v>0</x:v>
      </x:c>
    </x:row>
    <x:row r="155">
      <x:c r="A155" t="str">
        <x:v>Dacha</x:v>
      </x:c>
      <x:c r="B155" t="str">
        <x:v>B138</x:v>
      </x:c>
      <x:c r="C155" t="str">
        <x:v>B250_Link03</x:v>
      </x:c>
      <x:c r="D155" t="str">
        <x:v>B</x:v>
      </x:c>
      <x:c r="E155" t="str">
        <x:v>Northern</x:v>
      </x:c>
      <x:c r="F155" t="str">
        <x:v>Arua</x:v>
      </x:c>
      <x:c r="G155" t="n">
        <x:v>5554.17</x:v>
      </x:c>
      <x:c r="H155" t="n">
        <x:v>0.001101</x:v>
      </x:c>
      <x:c r="I155" t="n">
        <x:v>0.9376</x:v>
      </x:c>
      <x:c r="J155" t="n">
        <x:v>3735.71</x:v>
      </x:c>
      <x:c r="K155" t="n">
        <x:v>946.58</x:v>
      </x:c>
      <x:c r="L155" t="n">
        <x:v>472.46</x:v>
      </x:c>
      <x:c r="M155" t="n">
        <x:v>399.42</x:v>
      </x:c>
      <x:c r="N155" t="n">
        <x:v>0</x:v>
      </x:c>
    </x:row>
    <x:row r="156">
      <x:c r="A156" t="str">
        <x:v>Ore Bridge</x:v>
      </x:c>
      <x:c r="B156" t="str">
        <x:v>B139</x:v>
      </x:c>
      <x:c r="C156" t="str">
        <x:v>B250_Link03</x:v>
      </x:c>
      <x:c r="D156" t="str">
        <x:v>B</x:v>
      </x:c>
      <x:c r="E156" t="str">
        <x:v>Northern</x:v>
      </x:c>
      <x:c r="F156" t="str">
        <x:v>Arua</x:v>
      </x:c>
      <x:c r="G156" t="n">
        <x:v>5511.64</x:v>
      </x:c>
      <x:c r="H156" t="n">
        <x:v>0.001101</x:v>
      </x:c>
      <x:c r="I156" t="n">
        <x:v>0.9376</x:v>
      </x:c>
      <x:c r="J156" t="n">
        <x:v>3701.41</x:v>
      </x:c>
      <x:c r="K156" t="n">
        <x:v>941.18</x:v>
      </x:c>
      <x:c r="L156" t="n">
        <x:v>471.21</x:v>
      </x:c>
      <x:c r="M156" t="n">
        <x:v>397.84</x:v>
      </x:c>
      <x:c r="N156" t="n">
        <x:v>0</x:v>
      </x:c>
    </x:row>
    <x:row r="157">
      <x:c r="A157" t="str">
        <x:v>Ozoro</x:v>
      </x:c>
      <x:c r="B157" t="str">
        <x:v>B140</x:v>
      </x:c>
      <x:c r="C157" t="str">
        <x:v>B250_Link03</x:v>
      </x:c>
      <x:c r="D157" t="str">
        <x:v>B</x:v>
      </x:c>
      <x:c r="E157" t="str">
        <x:v>Northern</x:v>
      </x:c>
      <x:c r="F157" t="str">
        <x:v>Arua</x:v>
      </x:c>
      <x:c r="G157" t="n">
        <x:v>5431.75</x:v>
      </x:c>
      <x:c r="H157" t="n">
        <x:v>0.001101</x:v>
      </x:c>
      <x:c r="I157" t="n">
        <x:v>0.9376</x:v>
      </x:c>
      <x:c r="J157" t="n">
        <x:v>3639.72</x:v>
      </x:c>
      <x:c r="K157" t="n">
        <x:v>930.17</x:v>
      </x:c>
      <x:c r="L157" t="n">
        <x:v>467.58</x:v>
      </x:c>
      <x:c r="M157" t="n">
        <x:v>394.27</x:v>
      </x:c>
      <x:c r="N157" t="n">
        <x:v>0</x:v>
      </x:c>
    </x:row>
    <x:row r="158">
      <x:c r="A158" t="str">
        <x:v>Nvetre</x:v>
      </x:c>
      <x:c r="B158" t="str">
        <x:v>B141</x:v>
      </x:c>
      <x:c r="C158" t="str">
        <x:v>B250_Link03</x:v>
      </x:c>
      <x:c r="D158" t="str">
        <x:v>B</x:v>
      </x:c>
      <x:c r="E158" t="str">
        <x:v>Northern</x:v>
      </x:c>
      <x:c r="F158" t="str">
        <x:v>Arua</x:v>
      </x:c>
      <x:c r="G158" t="n">
        <x:v>5416.03</x:v>
      </x:c>
      <x:c r="H158" t="n">
        <x:v>0.001101</x:v>
      </x:c>
      <x:c r="I158" t="n">
        <x:v>0.9376</x:v>
      </x:c>
      <x:c r="J158" t="n">
        <x:v>3627.27</x:v>
      </x:c>
      <x:c r="K158" t="n">
        <x:v>928.18</x:v>
      </x:c>
      <x:c r="L158" t="n">
        <x:v>466.99</x:v>
      </x:c>
      <x:c r="M158" t="n">
        <x:v>393.59</x:v>
      </x:c>
      <x:c r="N158" t="n">
        <x:v>0</x:v>
      </x:c>
    </x:row>
    <x:row r="159">
      <x:c r="A159" t="str">
        <x:v>Oru Bridge</x:v>
      </x:c>
      <x:c r="B159" t="str">
        <x:v>B142</x:v>
      </x:c>
      <x:c r="C159" t="str">
        <x:v>B250_Link03</x:v>
      </x:c>
      <x:c r="D159" t="str">
        <x:v>B</x:v>
      </x:c>
      <x:c r="E159" t="str">
        <x:v>Northern</x:v>
      </x:c>
      <x:c r="F159" t="str">
        <x:v>Arua</x:v>
      </x:c>
      <x:c r="G159" t="n">
        <x:v>5397.52</x:v>
      </x:c>
      <x:c r="H159" t="n">
        <x:v>0.001101</x:v>
      </x:c>
      <x:c r="I159" t="n">
        <x:v>0.9376</x:v>
      </x:c>
      <x:c r="J159" t="n">
        <x:v>3612.9</x:v>
      </x:c>
      <x:c r="K159" t="n">
        <x:v>925.71</x:v>
      </x:c>
      <x:c r="L159" t="n">
        <x:v>466.18</x:v>
      </x:c>
      <x:c r="M159" t="n">
        <x:v>392.74</x:v>
      </x:c>
      <x:c r="N159" t="n">
        <x:v>0</x:v>
      </x:c>
    </x:row>
    <x:row r="160">
      <x:c r="A160" t="str">
        <x:v>Enyawu Bridge</x:v>
      </x:c>
      <x:c r="B160" t="str">
        <x:v>B143</x:v>
      </x:c>
      <x:c r="C160" t="str">
        <x:v>B250_Link03</x:v>
      </x:c>
      <x:c r="D160" t="str">
        <x:v>B</x:v>
      </x:c>
      <x:c r="E160" t="str">
        <x:v>Northern</x:v>
      </x:c>
      <x:c r="F160" t="str">
        <x:v>Arua</x:v>
      </x:c>
      <x:c r="G160" t="n">
        <x:v>4877.23</x:v>
      </x:c>
      <x:c r="H160" t="n">
        <x:v>0.079778</x:v>
      </x:c>
      <x:c r="I160" t="n">
        <x:v>1</x:v>
      </x:c>
      <x:c r="J160" t="n">
        <x:v>2442.19</x:v>
      </x:c>
      <x:c r="K160" t="n">
        <x:v>363.73</x:v>
      </x:c>
      <x:c r="L160" t="n">
        <x:v>53.69</x:v>
      </x:c>
      <x:c r="M160" t="n">
        <x:v>45.25</x:v>
      </x:c>
      <x:c r="N160" t="n">
        <x:v>1972.37</x:v>
      </x:c>
    </x:row>
    <x:row r="161">
      <x:c r="A161" t="str">
        <x:v>Ayago Bridge</x:v>
      </x:c>
      <x:c r="B161" t="str">
        <x:v>B144</x:v>
      </x:c>
      <x:c r="C161" t="str">
        <x:v>B251_Link01</x:v>
      </x:c>
      <x:c r="D161" t="str">
        <x:v>B</x:v>
      </x:c>
      <x:c r="E161" t="str">
        <x:v>Northern</x:v>
      </x:c>
      <x:c r="F161" t="str">
        <x:v>Gulu</x:v>
      </x:c>
      <x:c r="G161" t="n">
        <x:v>11446.6</x:v>
      </x:c>
      <x:c r="H161" t="n">
        <x:v>0.001101</x:v>
      </x:c>
      <x:c r="I161" t="n">
        <x:v>0.9376</x:v>
      </x:c>
      <x:c r="J161" t="n">
        <x:v>7852.6</x:v>
      </x:c>
      <x:c r="K161" t="n">
        <x:v>1877.87</x:v>
      </x:c>
      <x:c r="L161" t="n">
        <x:v>909.87</x:v>
      </x:c>
      <x:c r="M161" t="n">
        <x:v>806.26</x:v>
      </x:c>
      <x:c r="N161" t="n">
        <x:v>0</x:v>
      </x:c>
    </x:row>
    <x:row r="162">
      <x:c r="A162" t="str">
        <x:v>Ayago Bridge</x:v>
      </x:c>
      <x:c r="B162" t="str">
        <x:v>B145</x:v>
      </x:c>
      <x:c r="C162" t="str">
        <x:v>A008_Link01</x:v>
      </x:c>
      <x:c r="D162" t="str">
        <x:v>A</x:v>
      </x:c>
      <x:c r="E162" t="str">
        <x:v>Northern</x:v>
      </x:c>
      <x:c r="F162" t="str">
        <x:v>Gulu</x:v>
      </x:c>
      <x:c r="G162" t="n">
        <x:v>5227.41</x:v>
      </x:c>
      <x:c r="H162" t="n">
        <x:v>0.001304</x:v>
      </x:c>
      <x:c r="I162" t="n">
        <x:v>0.9376</x:v>
      </x:c>
      <x:c r="J162" t="n">
        <x:v>3576.27</x:v>
      </x:c>
      <x:c r="K162" t="n">
        <x:v>833.88</x:v>
      </x:c>
      <x:c r="L162" t="n">
        <x:v>429.74</x:v>
      </x:c>
      <x:c r="M162" t="n">
        <x:v>387.52</x:v>
      </x:c>
      <x:c r="N162" t="n">
        <x:v>0</x:v>
      </x:c>
    </x:row>
    <x:row r="163">
      <x:c r="A163" t="str">
        <x:v>Akaku</x:v>
      </x:c>
      <x:c r="B163" t="str">
        <x:v>B146</x:v>
      </x:c>
      <x:c r="C163" t="str">
        <x:v>B251_Link01</x:v>
      </x:c>
      <x:c r="D163" t="str">
        <x:v>B</x:v>
      </x:c>
      <x:c r="E163" t="str">
        <x:v>Northern</x:v>
      </x:c>
      <x:c r="F163" t="str">
        <x:v>Gulu</x:v>
      </x:c>
      <x:c r="G163" t="n">
        <x:v>11446.6</x:v>
      </x:c>
      <x:c r="H163" t="n">
        <x:v>0.001101</x:v>
      </x:c>
      <x:c r="I163" t="n">
        <x:v>0.9376</x:v>
      </x:c>
      <x:c r="J163" t="n">
        <x:v>7838.52</x:v>
      </x:c>
      <x:c r="K163" t="n">
        <x:v>1867.94</x:v>
      </x:c>
      <x:c r="L163" t="n">
        <x:v>921.55</x:v>
      </x:c>
      <x:c r="M163" t="n">
        <x:v>818.59</x:v>
      </x:c>
      <x:c r="N163" t="n">
        <x:v>0</x:v>
      </x:c>
    </x:row>
    <x:row r="164">
      <x:c r="A164" t="str">
        <x:v>Itunga Bridge</x:v>
      </x:c>
      <x:c r="B164" t="str">
        <x:v>B147</x:v>
      </x:c>
      <x:c r="C164" t="str">
        <x:v>B252_Link01</x:v>
      </x:c>
      <x:c r="D164" t="str">
        <x:v>B</x:v>
      </x:c>
      <x:c r="E164" t="str">
        <x:v>Northern</x:v>
      </x:c>
      <x:c r="F164" t="str">
        <x:v>Lira</x:v>
      </x:c>
      <x:c r="G164" t="n">
        <x:v>3392.27</x:v>
      </x:c>
      <x:c r="H164" t="n">
        <x:v>0.001101</x:v>
      </x:c>
      <x:c r="I164" t="n">
        <x:v>0.9376</x:v>
      </x:c>
      <x:c r="J164" t="n">
        <x:v>2144.37</x:v>
      </x:c>
      <x:c r="K164" t="n">
        <x:v>1016.74</x:v>
      </x:c>
      <x:c r="L164" t="n">
        <x:v>222.5</x:v>
      </x:c>
      <x:c r="M164" t="n">
        <x:v>8.66</x:v>
      </x:c>
      <x:c r="N164" t="n">
        <x:v>0</x:v>
      </x:c>
    </x:row>
    <x:row r="165">
      <x:c r="A165" t="str">
        <x:v>Puranga Bridge</x:v>
      </x:c>
      <x:c r="B165" t="str">
        <x:v>B148</x:v>
      </x:c>
      <x:c r="C165" t="str">
        <x:v>B252_Link01</x:v>
      </x:c>
      <x:c r="D165" t="str">
        <x:v>B</x:v>
      </x:c>
      <x:c r="E165" t="str">
        <x:v>Northern</x:v>
      </x:c>
      <x:c r="F165" t="str">
        <x:v>Lira</x:v>
      </x:c>
      <x:c r="G165" t="n">
        <x:v>3392.27</x:v>
      </x:c>
      <x:c r="H165" t="n">
        <x:v>0.001101</x:v>
      </x:c>
      <x:c r="I165" t="n">
        <x:v>0.9376</x:v>
      </x:c>
      <x:c r="J165" t="n">
        <x:v>2144.37</x:v>
      </x:c>
      <x:c r="K165" t="n">
        <x:v>1016.74</x:v>
      </x:c>
      <x:c r="L165" t="n">
        <x:v>222.5</x:v>
      </x:c>
      <x:c r="M165" t="n">
        <x:v>8.66</x:v>
      </x:c>
      <x:c r="N165" t="n">
        <x:v>0</x:v>
      </x:c>
    </x:row>
    <x:row r="166">
      <x:c r="A166" t="str">
        <x:v>Atup Bridge</x:v>
      </x:c>
      <x:c r="B166" t="str">
        <x:v>B149</x:v>
      </x:c>
      <x:c r="C166" t="str">
        <x:v>B252_Link02</x:v>
      </x:c>
      <x:c r="D166" t="str">
        <x:v>B</x:v>
      </x:c>
      <x:c r="E166" t="str">
        <x:v>Northern</x:v>
      </x:c>
      <x:c r="F166" t="str">
        <x:v>Kitgum</x:v>
      </x:c>
      <x:c r="G166" t="n">
        <x:v>5225.34</x:v>
      </x:c>
      <x:c r="H166" t="n">
        <x:v>0.001101</x:v>
      </x:c>
      <x:c r="I166" t="n">
        <x:v>0.9376</x:v>
      </x:c>
      <x:c r="J166" t="n">
        <x:v>3541.14</x:v>
      </x:c>
      <x:c r="K166" t="n">
        <x:v>965.15</x:v>
      </x:c>
      <x:c r="L166" t="n">
        <x:v>405.5</x:v>
      </x:c>
      <x:c r="M166" t="n">
        <x:v>313.55</x:v>
      </x:c>
      <x:c r="N166" t="n">
        <x:v>0</x:v>
      </x:c>
    </x:row>
    <x:row r="167">
      <x:c r="A167" t="str">
        <x:v>Agora Bridge</x:v>
      </x:c>
      <x:c r="B167" t="str">
        <x:v>B150</x:v>
      </x:c>
      <x:c r="C167" t="str">
        <x:v>B252_Link02</x:v>
      </x:c>
      <x:c r="D167" t="str">
        <x:v>B</x:v>
      </x:c>
      <x:c r="E167" t="str">
        <x:v>Northern</x:v>
      </x:c>
      <x:c r="F167" t="str">
        <x:v>Kitgum</x:v>
      </x:c>
      <x:c r="G167" t="n">
        <x:v>5512.22</x:v>
      </x:c>
      <x:c r="H167" t="n">
        <x:v>0.001101</x:v>
      </x:c>
      <x:c r="I167" t="n">
        <x:v>0.9376</x:v>
      </x:c>
      <x:c r="J167" t="n">
        <x:v>3747.1</x:v>
      </x:c>
      <x:c r="K167" t="n">
        <x:v>969.58</x:v>
      </x:c>
      <x:c r="L167" t="n">
        <x:v>437.27</x:v>
      </x:c>
      <x:c r="M167" t="n">
        <x:v>358.28</x:v>
      </x:c>
      <x:c r="N167" t="n">
        <x:v>0</x:v>
      </x:c>
    </x:row>
    <x:row r="168">
      <x:c r="A168" t="str">
        <x:v>Agago Bridge</x:v>
      </x:c>
      <x:c r="B168" t="str">
        <x:v>B151</x:v>
      </x:c>
      <x:c r="C168" t="str">
        <x:v>B252_Link02</x:v>
      </x:c>
      <x:c r="D168" t="str">
        <x:v>B</x:v>
      </x:c>
      <x:c r="E168" t="str">
        <x:v>Northern</x:v>
      </x:c>
      <x:c r="F168" t="str">
        <x:v>Kitgum</x:v>
      </x:c>
      <x:c r="G168" t="n">
        <x:v>5225.34</x:v>
      </x:c>
      <x:c r="H168" t="n">
        <x:v>0.001101</x:v>
      </x:c>
      <x:c r="I168" t="n">
        <x:v>0.9376</x:v>
      </x:c>
      <x:c r="J168" t="n">
        <x:v>3546.86</x:v>
      </x:c>
      <x:c r="K168" t="n">
        <x:v>944.61</x:v>
      </x:c>
      <x:c r="L168" t="n">
        <x:v>408.93</x:v>
      </x:c>
      <x:c r="M168" t="n">
        <x:v>324.94</x:v>
      </x:c>
      <x:c r="N168" t="n">
        <x:v>0</x:v>
      </x:c>
    </x:row>
    <x:row r="169">
      <x:c r="A169" t="str">
        <x:v>Acholibur Bridge</x:v>
      </x:c>
      <x:c r="B169" t="str">
        <x:v>B152</x:v>
      </x:c>
      <x:c r="C169" t="str">
        <x:v>B252_Link03</x:v>
      </x:c>
      <x:c r="D169" t="str">
        <x:v>B</x:v>
      </x:c>
      <x:c r="E169" t="str">
        <x:v>Northern</x:v>
      </x:c>
      <x:c r="F169" t="str">
        <x:v>Kitgum</x:v>
      </x:c>
      <x:c r="G169" t="n">
        <x:v>5515.18</x:v>
      </x:c>
      <x:c r="H169" t="n">
        <x:v>0.001101</x:v>
      </x:c>
      <x:c r="I169" t="n">
        <x:v>0.9376</x:v>
      </x:c>
      <x:c r="J169" t="n">
        <x:v>3749.08</x:v>
      </x:c>
      <x:c r="K169" t="n">
        <x:v>970.04</x:v>
      </x:c>
      <x:c r="L169" t="n">
        <x:v>437.54</x:v>
      </x:c>
      <x:c r="M169" t="n">
        <x:v>358.52</x:v>
      </x:c>
      <x:c r="N169" t="n">
        <x:v>0</x:v>
      </x:c>
    </x:row>
    <x:row r="170">
      <x:c r="A170" t="str">
        <x:v>Dure Bridge</x:v>
      </x:c>
      <x:c r="B170" t="str">
        <x:v>B153</x:v>
      </x:c>
      <x:c r="C170" t="str">
        <x:v>B252_Link03</x:v>
      </x:c>
      <x:c r="D170" t="str">
        <x:v>B</x:v>
      </x:c>
      <x:c r="E170" t="str">
        <x:v>Northern</x:v>
      </x:c>
      <x:c r="F170" t="str">
        <x:v>Kitgum</x:v>
      </x:c>
      <x:c r="G170" t="n">
        <x:v>5593.81</x:v>
      </x:c>
      <x:c r="H170" t="n">
        <x:v>0.001101</x:v>
      </x:c>
      <x:c r="I170" t="n">
        <x:v>0.9376</x:v>
      </x:c>
      <x:c r="J170" t="n">
        <x:v>3802.07</x:v>
      </x:c>
      <x:c r="K170" t="n">
        <x:v>982.04</x:v>
      </x:c>
      <x:c r="L170" t="n">
        <x:v>444.64</x:v>
      </x:c>
      <x:c r="M170" t="n">
        <x:v>365.06</x:v>
      </x:c>
      <x:c r="N170" t="n">
        <x:v>0</x:v>
      </x:c>
    </x:row>
    <x:row r="171">
      <x:c r="A171" t="str">
        <x:v>Pager Bridge</x:v>
      </x:c>
      <x:c r="B171" t="str">
        <x:v>B154</x:v>
      </x:c>
      <x:c r="C171" t="str">
        <x:v>B252_Link03</x:v>
      </x:c>
      <x:c r="D171" t="str">
        <x:v>B</x:v>
      </x:c>
      <x:c r="E171" t="str">
        <x:v>Northern</x:v>
      </x:c>
      <x:c r="F171" t="str">
        <x:v>Kitgum</x:v>
      </x:c>
      <x:c r="G171" t="n">
        <x:v>5656.15</x:v>
      </x:c>
      <x:c r="H171" t="n">
        <x:v>0.001101</x:v>
      </x:c>
      <x:c r="I171" t="n">
        <x:v>0.9376</x:v>
      </x:c>
      <x:c r="J171" t="n">
        <x:v>3844.75</x:v>
      </x:c>
      <x:c r="K171" t="n">
        <x:v>989.44</x:v>
      </x:c>
      <x:c r="L171" t="n">
        <x:v>450.73</x:v>
      </x:c>
      <x:c r="M171" t="n">
        <x:v>371.24</x:v>
      </x:c>
      <x:c r="N171" t="n">
        <x:v>0</x:v>
      </x:c>
    </x:row>
    <x:row r="172">
      <x:c r="A172" t="str">
        <x:v>Lanyang Bridge</x:v>
      </x:c>
      <x:c r="B172" t="str">
        <x:v>B155</x:v>
      </x:c>
      <x:c r="C172" t="str">
        <x:v>B252_Link04</x:v>
      </x:c>
      <x:c r="D172" t="str">
        <x:v>B</x:v>
      </x:c>
      <x:c r="E172" t="str">
        <x:v>Northern</x:v>
      </x:c>
      <x:c r="F172" t="str">
        <x:v>Kitgum</x:v>
      </x:c>
      <x:c r="G172" t="n">
        <x:v>5757.33</x:v>
      </x:c>
      <x:c r="H172" t="n">
        <x:v>0.001101</x:v>
      </x:c>
      <x:c r="I172" t="n">
        <x:v>0.9376</x:v>
      </x:c>
      <x:c r="J172" t="n">
        <x:v>3912.06</x:v>
      </x:c>
      <x:c r="K172" t="n">
        <x:v>1007.51</x:v>
      </x:c>
      <x:c r="L172" t="n">
        <x:v>459.39</x:v>
      </x:c>
      <x:c r="M172" t="n">
        <x:v>378.36</x:v>
      </x:c>
      <x:c r="N172" t="n">
        <x:v>0</x:v>
      </x:c>
    </x:row>
    <x:row r="173">
      <x:c r="A173" t="str">
        <x:v>Aringa Bridge</x:v>
      </x:c>
      <x:c r="B173" t="str">
        <x:v>B156</x:v>
      </x:c>
      <x:c r="C173" t="str">
        <x:v>B252_Link04</x:v>
      </x:c>
      <x:c r="D173" t="str">
        <x:v>B</x:v>
      </x:c>
      <x:c r="E173" t="str">
        <x:v>Northern</x:v>
      </x:c>
      <x:c r="F173" t="str">
        <x:v>Kitgum</x:v>
      </x:c>
      <x:c r="G173" t="n">
        <x:v>5807.22</x:v>
      </x:c>
      <x:c r="H173" t="n">
        <x:v>0.001101</x:v>
      </x:c>
      <x:c r="I173" t="n">
        <x:v>0.9376</x:v>
      </x:c>
      <x:c r="J173" t="n">
        <x:v>3945.23</x:v>
      </x:c>
      <x:c r="K173" t="n">
        <x:v>1016.54</x:v>
      </x:c>
      <x:c r="L173" t="n">
        <x:v>463.62</x:v>
      </x:c>
      <x:c r="M173" t="n">
        <x:v>381.83</x:v>
      </x:c>
      <x:c r="N173" t="n">
        <x:v>0</x:v>
      </x:c>
    </x:row>
    <x:row r="174">
      <x:c r="A174" t="str">
        <x:v>Agwapoke</x:v>
      </x:c>
      <x:c r="B174" t="str">
        <x:v>B157</x:v>
      </x:c>
      <x:c r="C174" t="str">
        <x:v>B302_Link02</x:v>
      </x:c>
      <x:c r="D174" t="str">
        <x:v>B</x:v>
      </x:c>
      <x:c r="E174" t="str">
        <x:v>Northern</x:v>
      </x:c>
      <x:c r="F174" t="str">
        <x:v>Kitgum</x:v>
      </x:c>
      <x:c r="G174" t="n">
        <x:v>6214.58</x:v>
      </x:c>
      <x:c r="H174" t="n">
        <x:v>0.001101</x:v>
      </x:c>
      <x:c r="I174" t="n">
        <x:v>0.9376</x:v>
      </x:c>
      <x:c r="J174" t="n">
        <x:v>4226.06</x:v>
      </x:c>
      <x:c r="K174" t="n">
        <x:v>1080.41</x:v>
      </x:c>
      <x:c r="L174" t="n">
        <x:v>494.38</x:v>
      </x:c>
      <x:c r="M174" t="n">
        <x:v>413.73</x:v>
      </x:c>
      <x:c r="N174" t="n">
        <x:v>0</x:v>
      </x:c>
    </x:row>
    <x:row r="175">
      <x:c r="A175" t="str">
        <x:v>Sipi</x:v>
      </x:c>
      <x:c r="B175" t="str">
        <x:v>B158</x:v>
      </x:c>
      <x:c r="C175" t="str">
        <x:v>B300_Link03</x:v>
      </x:c>
      <x:c r="D175" t="str">
        <x:v>B</x:v>
      </x:c>
      <x:c r="E175" t="str">
        <x:v>Eastern</x:v>
      </x:c>
      <x:c r="F175" t="str">
        <x:v>Mbale</x:v>
      </x:c>
      <x:c r="G175" t="n">
        <x:v>6682.34</x:v>
      </x:c>
      <x:c r="H175" t="n">
        <x:v>0.079778</x:v>
      </x:c>
      <x:c r="I175" t="n">
        <x:v>1</x:v>
      </x:c>
      <x:c r="J175" t="n">
        <x:v>4905.33</x:v>
      </x:c>
      <x:c r="K175" t="n">
        <x:v>674.07</x:v>
      </x:c>
      <x:c r="L175" t="n">
        <x:v>610.28</x:v>
      </x:c>
      <x:c r="M175" t="n">
        <x:v>231.09</x:v>
      </x:c>
      <x:c r="N175" t="n">
        <x:v>261.57</x:v>
      </x:c>
    </x:row>
    <x:row r="176">
      <x:c r="A176" t="str">
        <x:v>Cheptui</x:v>
      </x:c>
      <x:c r="B176" t="str">
        <x:v>B159</x:v>
      </x:c>
      <x:c r="C176" t="str">
        <x:v>B300_Link03</x:v>
      </x:c>
      <x:c r="D176" t="str">
        <x:v>B</x:v>
      </x:c>
      <x:c r="E176" t="str">
        <x:v>Eastern</x:v>
      </x:c>
      <x:c r="F176" t="str">
        <x:v>Mbale</x:v>
      </x:c>
      <x:c r="G176" t="n">
        <x:v>6682.34</x:v>
      </x:c>
      <x:c r="H176" t="n">
        <x:v>0.079778</x:v>
      </x:c>
      <x:c r="I176" t="n">
        <x:v>1</x:v>
      </x:c>
      <x:c r="J176" t="n">
        <x:v>4905.33</x:v>
      </x:c>
      <x:c r="K176" t="n">
        <x:v>674.07</x:v>
      </x:c>
      <x:c r="L176" t="n">
        <x:v>610.28</x:v>
      </x:c>
      <x:c r="M176" t="n">
        <x:v>231.09</x:v>
      </x:c>
      <x:c r="N176" t="n">
        <x:v>261.57</x:v>
      </x:c>
    </x:row>
    <x:row r="177">
      <x:c r="A177" t="str">
        <x:v>Chesebere</x:v>
      </x:c>
      <x:c r="B177" t="str">
        <x:v>B160</x:v>
      </x:c>
      <x:c r="C177" t="str">
        <x:v>B300_Link03</x:v>
      </x:c>
      <x:c r="D177" t="str">
        <x:v>B</x:v>
      </x:c>
      <x:c r="E177" t="str">
        <x:v>Eastern</x:v>
      </x:c>
      <x:c r="F177" t="str">
        <x:v>Mbale</x:v>
      </x:c>
      <x:c r="G177" t="n">
        <x:v>6682.34</x:v>
      </x:c>
      <x:c r="H177" t="n">
        <x:v>0.079778</x:v>
      </x:c>
      <x:c r="I177" t="n">
        <x:v>1</x:v>
      </x:c>
      <x:c r="J177" t="n">
        <x:v>4905.33</x:v>
      </x:c>
      <x:c r="K177" t="n">
        <x:v>674.07</x:v>
      </x:c>
      <x:c r="L177" t="n">
        <x:v>610.28</x:v>
      </x:c>
      <x:c r="M177" t="n">
        <x:v>231.09</x:v>
      </x:c>
      <x:c r="N177" t="n">
        <x:v>261.57</x:v>
      </x:c>
    </x:row>
    <x:row r="178">
      <x:c r="A178" t="str">
        <x:v>Muyembe-Angutum</x:v>
      </x:c>
      <x:c r="B178" t="str">
        <x:v>B161</x:v>
      </x:c>
      <x:c r="C178" t="str">
        <x:v>B300_Link03</x:v>
      </x:c>
      <x:c r="D178" t="str">
        <x:v>B</x:v>
      </x:c>
      <x:c r="E178" t="str">
        <x:v>Eastern</x:v>
      </x:c>
      <x:c r="F178" t="str">
        <x:v>Mbale</x:v>
      </x:c>
      <x:c r="G178" t="n">
        <x:v>6682.34</x:v>
      </x:c>
      <x:c r="H178" t="n">
        <x:v>0.079778</x:v>
      </x:c>
      <x:c r="I178" t="n">
        <x:v>1</x:v>
      </x:c>
      <x:c r="J178" t="n">
        <x:v>4905.33</x:v>
      </x:c>
      <x:c r="K178" t="n">
        <x:v>674.07</x:v>
      </x:c>
      <x:c r="L178" t="n">
        <x:v>610.28</x:v>
      </x:c>
      <x:c r="M178" t="n">
        <x:v>231.09</x:v>
      </x:c>
      <x:c r="N178" t="n">
        <x:v>261.57</x:v>
      </x:c>
    </x:row>
    <x:row r="179">
      <x:c r="A179" t="str">
        <x:v>Road Over River</x:v>
      </x:c>
      <x:c r="B179" t="str">
        <x:v>B162</x:v>
      </x:c>
      <x:c r="C179" t="str">
        <x:v>B300_Link03</x:v>
      </x:c>
      <x:c r="D179" t="str">
        <x:v>B</x:v>
      </x:c>
      <x:c r="E179" t="str">
        <x:v>Eastern</x:v>
      </x:c>
      <x:c r="F179" t="str">
        <x:v>Mbale</x:v>
      </x:c>
      <x:c r="G179" t="n">
        <x:v>6682.34</x:v>
      </x:c>
      <x:c r="H179" t="n">
        <x:v>0.079778</x:v>
      </x:c>
      <x:c r="I179" t="n">
        <x:v>1</x:v>
      </x:c>
      <x:c r="J179" t="n">
        <x:v>4905.33</x:v>
      </x:c>
      <x:c r="K179" t="n">
        <x:v>674.07</x:v>
      </x:c>
      <x:c r="L179" t="n">
        <x:v>610.28</x:v>
      </x:c>
      <x:c r="M179" t="n">
        <x:v>231.09</x:v>
      </x:c>
      <x:c r="N179" t="n">
        <x:v>261.57</x:v>
      </x:c>
    </x:row>
    <x:row r="180">
      <x:c r="A180" t="str">
        <x:v>Seretyo</x:v>
      </x:c>
      <x:c r="B180" t="str">
        <x:v>B163</x:v>
      </x:c>
      <x:c r="C180" t="str">
        <x:v>B300_Link03</x:v>
      </x:c>
      <x:c r="D180" t="str">
        <x:v>B</x:v>
      </x:c>
      <x:c r="E180" t="str">
        <x:v>Eastern</x:v>
      </x:c>
      <x:c r="F180" t="str">
        <x:v>Mbale</x:v>
      </x:c>
      <x:c r="G180" t="n">
        <x:v>6682.34</x:v>
      </x:c>
      <x:c r="H180" t="n">
        <x:v>0.079778</x:v>
      </x:c>
      <x:c r="I180" t="n">
        <x:v>1</x:v>
      </x:c>
      <x:c r="J180" t="n">
        <x:v>4905.33</x:v>
      </x:c>
      <x:c r="K180" t="n">
        <x:v>674.07</x:v>
      </x:c>
      <x:c r="L180" t="n">
        <x:v>610.28</x:v>
      </x:c>
      <x:c r="M180" t="n">
        <x:v>231.09</x:v>
      </x:c>
      <x:c r="N180" t="n">
        <x:v>261.57</x:v>
      </x:c>
    </x:row>
    <x:row r="181">
      <x:c r="A181" t="str">
        <x:v>Okilim</x:v>
      </x:c>
      <x:c r="B181" t="str">
        <x:v>B164</x:v>
      </x:c>
      <x:c r="C181" t="str">
        <x:v>B300_Link03</x:v>
      </x:c>
      <x:c r="D181" t="str">
        <x:v>B</x:v>
      </x:c>
      <x:c r="E181" t="str">
        <x:v>Eastern</x:v>
      </x:c>
      <x:c r="F181" t="str">
        <x:v>Mbale</x:v>
      </x:c>
      <x:c r="G181" t="n">
        <x:v>6682.34</x:v>
      </x:c>
      <x:c r="H181" t="n">
        <x:v>0.079778</x:v>
      </x:c>
      <x:c r="I181" t="n">
        <x:v>1</x:v>
      </x:c>
      <x:c r="J181" t="n">
        <x:v>4905.33</x:v>
      </x:c>
      <x:c r="K181" t="n">
        <x:v>674.07</x:v>
      </x:c>
      <x:c r="L181" t="n">
        <x:v>610.28</x:v>
      </x:c>
      <x:c r="M181" t="n">
        <x:v>231.09</x:v>
      </x:c>
      <x:c r="N181" t="n">
        <x:v>261.57</x:v>
      </x:c>
    </x:row>
    <x:row r="182">
      <x:c r="A182" t="str">
        <x:v>Lorengedwat</x:v>
      </x:c>
      <x:c r="B182" t="str">
        <x:v>B165</x:v>
      </x:c>
      <x:c r="C182" t="str">
        <x:v>B300_Link05</x:v>
      </x:c>
      <x:c r="D182" t="str">
        <x:v>B</x:v>
      </x:c>
      <x:c r="E182" t="str">
        <x:v>North Eastern</x:v>
      </x:c>
      <x:c r="F182" t="str">
        <x:v>Moroto</x:v>
      </x:c>
      <x:c r="G182" t="n">
        <x:v>369.49</x:v>
      </x:c>
      <x:c r="H182" t="n">
        <x:v>-0.030898</x:v>
      </x:c>
      <x:c r="I182" t="n">
        <x:v>1</x:v>
      </x:c>
      <x:c r="J182" t="n">
        <x:v>146.58</x:v>
      </x:c>
      <x:c r="K182" t="n">
        <x:v>141.29</x:v>
      </x:c>
      <x:c r="L182" t="n">
        <x:v>27.15</x:v>
      </x:c>
      <x:c r="M182" t="n">
        <x:v>33.11</x:v>
      </x:c>
      <x:c r="N182" t="n">
        <x:v>21.36</x:v>
      </x:c>
    </x:row>
    <x:row r="183">
      <x:c r="A183" t="str">
        <x:v>Namalera</x:v>
      </x:c>
      <x:c r="B183" t="str">
        <x:v>B166</x:v>
      </x:c>
      <x:c r="C183" t="str">
        <x:v>B300_Link05</x:v>
      </x:c>
      <x:c r="D183" t="str">
        <x:v>B</x:v>
      </x:c>
      <x:c r="E183" t="str">
        <x:v>North Eastern</x:v>
      </x:c>
      <x:c r="F183" t="str">
        <x:v>Moroto</x:v>
      </x:c>
      <x:c r="G183" t="n">
        <x:v>369.49</x:v>
      </x:c>
      <x:c r="H183" t="n">
        <x:v>-0.030898</x:v>
      </x:c>
      <x:c r="I183" t="n">
        <x:v>1</x:v>
      </x:c>
      <x:c r="J183" t="n">
        <x:v>146.58</x:v>
      </x:c>
      <x:c r="K183" t="n">
        <x:v>141.29</x:v>
      </x:c>
      <x:c r="L183" t="n">
        <x:v>27.15</x:v>
      </x:c>
      <x:c r="M183" t="n">
        <x:v>33.11</x:v>
      </x:c>
      <x:c r="N183" t="n">
        <x:v>21.36</x:v>
      </x:c>
    </x:row>
    <x:row r="184">
      <x:c r="A184" t="str">
        <x:v>Lokali</x:v>
      </x:c>
      <x:c r="B184" t="str">
        <x:v>B167</x:v>
      </x:c>
      <x:c r="C184" t="str">
        <x:v>B300_Link05</x:v>
      </x:c>
      <x:c r="D184" t="str">
        <x:v>B</x:v>
      </x:c>
      <x:c r="E184" t="str">
        <x:v>North Eastern</x:v>
      </x:c>
      <x:c r="F184" t="str">
        <x:v>Moroto</x:v>
      </x:c>
      <x:c r="G184" t="n">
        <x:v>369.49</x:v>
      </x:c>
      <x:c r="H184" t="n">
        <x:v>-0.030898</x:v>
      </x:c>
      <x:c r="I184" t="n">
        <x:v>1</x:v>
      </x:c>
      <x:c r="J184" t="n">
        <x:v>146.58</x:v>
      </x:c>
      <x:c r="K184" t="n">
        <x:v>141.29</x:v>
      </x:c>
      <x:c r="L184" t="n">
        <x:v>27.15</x:v>
      </x:c>
      <x:c r="M184" t="n">
        <x:v>33.11</x:v>
      </x:c>
      <x:c r="N184" t="n">
        <x:v>21.36</x:v>
      </x:c>
    </x:row>
    <x:row r="185">
      <x:c r="A185" t="str">
        <x:v>Nadunget</x:v>
      </x:c>
      <x:c r="B185" t="str">
        <x:v>B168</x:v>
      </x:c>
      <x:c r="C185" t="str">
        <x:v>B300_Link06</x:v>
      </x:c>
      <x:c r="D185" t="str">
        <x:v>B</x:v>
      </x:c>
      <x:c r="E185" t="str">
        <x:v>North Eastern</x:v>
      </x:c>
      <x:c r="F185" t="str">
        <x:v>Moroto</x:v>
      </x:c>
      <x:c r="G185" t="n">
        <x:v>18638.39</x:v>
      </x:c>
      <x:c r="H185" t="n">
        <x:v>0.079778</x:v>
      </x:c>
      <x:c r="I185" t="n">
        <x:v>1</x:v>
      </x:c>
      <x:c r="J185" t="n">
        <x:v>12552.18</x:v>
      </x:c>
      <x:c r="K185" t="n">
        <x:v>3305.24</x:v>
      </x:c>
      <x:c r="L185" t="n">
        <x:v>1509.06</x:v>
      </x:c>
      <x:c r="M185" t="n">
        <x:v>1271.9</x:v>
      </x:c>
      <x:c r="N185" t="n">
        <x:v>0</x:v>
      </x:c>
    </x:row>
    <x:row r="186">
      <x:c r="A186" t="str">
        <x:v>Lokichar</x:v>
      </x:c>
      <x:c r="B186" t="str">
        <x:v>B169</x:v>
      </x:c>
      <x:c r="C186" t="str">
        <x:v>B301_Link01</x:v>
      </x:c>
      <x:c r="D186" t="str">
        <x:v>B</x:v>
      </x:c>
      <x:c r="E186" t="str">
        <x:v>North Eastern</x:v>
      </x:c>
      <x:c r="F186" t="str">
        <x:v>Kotido</x:v>
      </x:c>
      <x:c r="G186" t="n">
        <x:v>1331.6</x:v>
      </x:c>
      <x:c r="H186" t="n">
        <x:v>0.012327</x:v>
      </x:c>
      <x:c r="I186" t="n">
        <x:v>1</x:v>
      </x:c>
      <x:c r="J186" t="n">
        <x:v>899.54</x:v>
      </x:c>
      <x:c r="K186" t="n">
        <x:v>234.01</x:v>
      </x:c>
      <x:c r="L186" t="n">
        <x:v>107.47</x:v>
      </x:c>
      <x:c r="M186" t="n">
        <x:v>90.58</x:v>
      </x:c>
      <x:c r="N186" t="n">
        <x:v>0</x:v>
      </x:c>
    </x:row>
    <x:row r="187">
      <x:c r="A187" t="str">
        <x:v>Danyangala</x:v>
      </x:c>
      <x:c r="B187" t="str">
        <x:v>B170</x:v>
      </x:c>
      <x:c r="C187" t="str">
        <x:v>B301_Link02</x:v>
      </x:c>
      <x:c r="D187" t="str">
        <x:v>B</x:v>
      </x:c>
      <x:c r="E187" t="str">
        <x:v>North Eastern</x:v>
      </x:c>
      <x:c r="F187" t="str">
        <x:v>Kotido</x:v>
      </x:c>
      <x:c r="G187" t="n">
        <x:v>435.93</x:v>
      </x:c>
      <x:c r="H187" t="n">
        <x:v>-0.051175</x:v>
      </x:c>
      <x:c r="I187" t="n">
        <x:v>1</x:v>
      </x:c>
      <x:c r="J187" t="n">
        <x:v>318.49</x:v>
      </x:c>
      <x:c r="K187" t="n">
        <x:v>58.6</x:v>
      </x:c>
      <x:c r="L187" t="n">
        <x:v>12.81</x:v>
      </x:c>
      <x:c r="M187" t="n">
        <x:v>7.32</x:v>
      </x:c>
      <x:c r="N187" t="n">
        <x:v>38.71</x:v>
      </x:c>
    </x:row>
    <x:row r="188">
      <x:c r="A188" t="str">
        <x:v>Kotido- Kailong</x:v>
      </x:c>
      <x:c r="B188" t="str">
        <x:v>B171</x:v>
      </x:c>
      <x:c r="C188" t="str">
        <x:v>B302_Link01</x:v>
      </x:c>
      <x:c r="D188" t="str">
        <x:v>B</x:v>
      </x:c>
      <x:c r="E188" t="str">
        <x:v>North Eastern</x:v>
      </x:c>
      <x:c r="F188" t="str">
        <x:v>Kotido</x:v>
      </x:c>
      <x:c r="G188" t="n">
        <x:v>1164.91</x:v>
      </x:c>
      <x:c r="H188" t="n">
        <x:v>0.002966</x:v>
      </x:c>
      <x:c r="I188" t="n">
        <x:v>1</x:v>
      </x:c>
      <x:c r="J188" t="n">
        <x:v>565.61</x:v>
      </x:c>
      <x:c r="K188" t="n">
        <x:v>218.19</x:v>
      </x:c>
      <x:c r="L188" t="n">
        <x:v>132.1</x:v>
      </x:c>
      <x:c r="M188" t="n">
        <x:v>78.41</x:v>
      </x:c>
      <x:c r="N188" t="n">
        <x:v>170.6</x:v>
      </x:c>
    </x:row>
    <x:row r="189">
      <x:c r="A189" t="str">
        <x:v>Katulangole</x:v>
      </x:c>
      <x:c r="B189" t="str">
        <x:v>B172</x:v>
      </x:c>
      <x:c r="C189" t="str">
        <x:v>B301_Link03</x:v>
      </x:c>
      <x:c r="D189" t="str">
        <x:v>B</x:v>
      </x:c>
      <x:c r="E189" t="str">
        <x:v>North Eastern</x:v>
      </x:c>
      <x:c r="F189" t="str">
        <x:v>Kotido</x:v>
      </x:c>
      <x:c r="G189" t="n">
        <x:v>3199.27</x:v>
      </x:c>
      <x:c r="H189" t="n">
        <x:v>0.079778</x:v>
      </x:c>
      <x:c r="I189" t="n">
        <x:v>1</x:v>
      </x:c>
      <x:c r="J189" t="n">
        <x:v>1936.2</x:v>
      </x:c>
      <x:c r="K189" t="n">
        <x:v>563.57</x:v>
      </x:c>
      <x:c r="L189" t="n">
        <x:v>138.16</x:v>
      </x:c>
      <x:c r="M189" t="n">
        <x:v>51.14</x:v>
      </x:c>
      <x:c r="N189" t="n">
        <x:v>510.2</x:v>
      </x:c>
    </x:row>
    <x:row r="190">
      <x:c r="A190" t="str">
        <x:v>Lochom</x:v>
      </x:c>
      <x:c r="B190" t="str">
        <x:v>B173</x:v>
      </x:c>
      <x:c r="C190" t="str">
        <x:v>B301_Link03</x:v>
      </x:c>
      <x:c r="D190" t="str">
        <x:v>B</x:v>
      </x:c>
      <x:c r="E190" t="str">
        <x:v>North Eastern</x:v>
      </x:c>
      <x:c r="F190" t="str">
        <x:v>Kotido</x:v>
      </x:c>
      <x:c r="G190" t="n">
        <x:v>3199.27</x:v>
      </x:c>
      <x:c r="H190" t="n">
        <x:v>0.079778</x:v>
      </x:c>
      <x:c r="I190" t="n">
        <x:v>1</x:v>
      </x:c>
      <x:c r="J190" t="n">
        <x:v>1936.2</x:v>
      </x:c>
      <x:c r="K190" t="n">
        <x:v>563.57</x:v>
      </x:c>
      <x:c r="L190" t="n">
        <x:v>138.16</x:v>
      </x:c>
      <x:c r="M190" t="n">
        <x:v>51.14</x:v>
      </x:c>
      <x:c r="N190" t="n">
        <x:v>510.2</x:v>
      </x:c>
    </x:row>
    <x:row r="191">
      <x:c r="A191" t="str">
        <x:v>Lomusan</x:v>
      </x:c>
      <x:c r="B191" t="str">
        <x:v>B174</x:v>
      </x:c>
      <x:c r="C191" t="str">
        <x:v>B301_Link03</x:v>
      </x:c>
      <x:c r="D191" t="str">
        <x:v>B</x:v>
      </x:c>
      <x:c r="E191" t="str">
        <x:v>North Eastern</x:v>
      </x:c>
      <x:c r="F191" t="str">
        <x:v>Kotido</x:v>
      </x:c>
      <x:c r="G191" t="n">
        <x:v>3199.27</x:v>
      </x:c>
      <x:c r="H191" t="n">
        <x:v>0.079778</x:v>
      </x:c>
      <x:c r="I191" t="n">
        <x:v>1</x:v>
      </x:c>
      <x:c r="J191" t="n">
        <x:v>1936.2</x:v>
      </x:c>
      <x:c r="K191" t="n">
        <x:v>563.57</x:v>
      </x:c>
      <x:c r="L191" t="n">
        <x:v>138.16</x:v>
      </x:c>
      <x:c r="M191" t="n">
        <x:v>51.14</x:v>
      </x:c>
      <x:c r="N191" t="n">
        <x:v>510.2</x:v>
      </x:c>
    </x:row>
    <x:row r="192">
      <x:c r="A192" t="str">
        <x:v>Kaabong</x:v>
      </x:c>
      <x:c r="B192" t="str">
        <x:v>B175</x:v>
      </x:c>
      <x:c r="C192" t="str">
        <x:v>B301_Link03</x:v>
      </x:c>
      <x:c r="D192" t="str">
        <x:v>B</x:v>
      </x:c>
      <x:c r="E192" t="str">
        <x:v>North Eastern</x:v>
      </x:c>
      <x:c r="F192" t="str">
        <x:v>Kotido</x:v>
      </x:c>
      <x:c r="G192" t="n">
        <x:v>3199.27</x:v>
      </x:c>
      <x:c r="H192" t="n">
        <x:v>0.079778</x:v>
      </x:c>
      <x:c r="I192" t="n">
        <x:v>1</x:v>
      </x:c>
      <x:c r="J192" t="n">
        <x:v>1936.2</x:v>
      </x:c>
      <x:c r="K192" t="n">
        <x:v>563.57</x:v>
      </x:c>
      <x:c r="L192" t="n">
        <x:v>138.16</x:v>
      </x:c>
      <x:c r="M192" t="n">
        <x:v>51.14</x:v>
      </x:c>
      <x:c r="N192" t="n">
        <x:v>510.2</x:v>
      </x:c>
    </x:row>
    <x:row r="193">
      <x:c r="A193" t="str">
        <x:v>Lakapelot</x:v>
      </x:c>
      <x:c r="B193" t="str">
        <x:v>B176</x:v>
      </x:c>
      <x:c r="C193" t="str">
        <x:v>B301_Link03</x:v>
      </x:c>
      <x:c r="D193" t="str">
        <x:v>B</x:v>
      </x:c>
      <x:c r="E193" t="str">
        <x:v>North Eastern</x:v>
      </x:c>
      <x:c r="F193" t="str">
        <x:v>Kotido</x:v>
      </x:c>
      <x:c r="G193" t="n">
        <x:v>3199.27</x:v>
      </x:c>
      <x:c r="H193" t="n">
        <x:v>0.079778</x:v>
      </x:c>
      <x:c r="I193" t="n">
        <x:v>1</x:v>
      </x:c>
      <x:c r="J193" t="n">
        <x:v>1936.2</x:v>
      </x:c>
      <x:c r="K193" t="n">
        <x:v>563.57</x:v>
      </x:c>
      <x:c r="L193" t="n">
        <x:v>138.16</x:v>
      </x:c>
      <x:c r="M193" t="n">
        <x:v>51.14</x:v>
      </x:c>
      <x:c r="N193" t="n">
        <x:v>510.2</x:v>
      </x:c>
    </x:row>
    <x:row r="194">
      <x:c r="A194" t="str">
        <x:v>Yadalala</x:v>
      </x:c>
      <x:c r="B194" t="str">
        <x:v>B177</x:v>
      </x:c>
      <x:c r="C194" t="str">
        <x:v>B301_Link03</x:v>
      </x:c>
      <x:c r="D194" t="str">
        <x:v>B</x:v>
      </x:c>
      <x:c r="E194" t="str">
        <x:v>North Eastern</x:v>
      </x:c>
      <x:c r="F194" t="str">
        <x:v>Kotido</x:v>
      </x:c>
      <x:c r="G194" t="n">
        <x:v>3199.27</x:v>
      </x:c>
      <x:c r="H194" t="n">
        <x:v>0.079778</x:v>
      </x:c>
      <x:c r="I194" t="n">
        <x:v>1</x:v>
      </x:c>
      <x:c r="J194" t="n">
        <x:v>1936.2</x:v>
      </x:c>
      <x:c r="K194" t="n">
        <x:v>563.57</x:v>
      </x:c>
      <x:c r="L194" t="n">
        <x:v>138.16</x:v>
      </x:c>
      <x:c r="M194" t="n">
        <x:v>51.14</x:v>
      </x:c>
      <x:c r="N194" t="n">
        <x:v>510.2</x:v>
      </x:c>
    </x:row>
    <x:row r="195">
      <x:c r="A195" t="str">
        <x:v>Nariamabune</x:v>
      </x:c>
      <x:c r="B195" t="str">
        <x:v>B178</x:v>
      </x:c>
      <x:c r="C195" t="str">
        <x:v>B301_Link03</x:v>
      </x:c>
      <x:c r="D195" t="str">
        <x:v>B</x:v>
      </x:c>
      <x:c r="E195" t="str">
        <x:v>North Eastern</x:v>
      </x:c>
      <x:c r="F195" t="str">
        <x:v>Kotido</x:v>
      </x:c>
      <x:c r="G195" t="n">
        <x:v>3199.27</x:v>
      </x:c>
      <x:c r="H195" t="n">
        <x:v>0.079778</x:v>
      </x:c>
      <x:c r="I195" t="n">
        <x:v>1</x:v>
      </x:c>
      <x:c r="J195" t="n">
        <x:v>1936.2</x:v>
      </x:c>
      <x:c r="K195" t="n">
        <x:v>563.57</x:v>
      </x:c>
      <x:c r="L195" t="n">
        <x:v>138.16</x:v>
      </x:c>
      <x:c r="M195" t="n">
        <x:v>51.14</x:v>
      </x:c>
      <x:c r="N195" t="n">
        <x:v>510.2</x:v>
      </x:c>
    </x:row>
    <x:row r="196">
      <x:c r="A196" t="str">
        <x:v>Loyoroit</x:v>
      </x:c>
      <x:c r="B196" t="str">
        <x:v>B179</x:v>
      </x:c>
      <x:c r="C196" t="str">
        <x:v>B302_Link01</x:v>
      </x:c>
      <x:c r="D196" t="str">
        <x:v>B</x:v>
      </x:c>
      <x:c r="E196" t="str">
        <x:v>North Eastern</x:v>
      </x:c>
      <x:c r="F196" t="str">
        <x:v>Kotido</x:v>
      </x:c>
      <x:c r="G196" t="n">
        <x:v>1164.91</x:v>
      </x:c>
      <x:c r="H196" t="n">
        <x:v>0.002966</x:v>
      </x:c>
      <x:c r="I196" t="n">
        <x:v>1</x:v>
      </x:c>
      <x:c r="J196" t="n">
        <x:v>565.61</x:v>
      </x:c>
      <x:c r="K196" t="n">
        <x:v>218.19</x:v>
      </x:c>
      <x:c r="L196" t="n">
        <x:v>132.1</x:v>
      </x:c>
      <x:c r="M196" t="n">
        <x:v>78.41</x:v>
      </x:c>
      <x:c r="N196" t="n">
        <x:v>170.6</x:v>
      </x:c>
    </x:row>
    <x:row r="197">
      <x:c r="A197" t="str">
        <x:v>Agago Bridge</x:v>
      </x:c>
      <x:c r="B197" t="str">
        <x:v>B180</x:v>
      </x:c>
      <x:c r="C197" t="str">
        <x:v>C681_Link01</x:v>
      </x:c>
      <x:c r="D197" t="str">
        <x:v>C</x:v>
      </x:c>
      <x:c r="E197" t="str">
        <x:v>Northern</x:v>
      </x:c>
      <x:c r="F197" t="str">
        <x:v>Kitgum</x:v>
      </x:c>
      <x:c r="G197" t="n">
        <x:v>5959.6</x:v>
      </x:c>
      <x:c r="H197" t="n">
        <x:v>0.000928</x:v>
      </x:c>
      <x:c r="I197" t="n">
        <x:v>0.9376</x:v>
      </x:c>
      <x:c r="J197" t="n">
        <x:v>4070.34</x:v>
      </x:c>
      <x:c r="K197" t="n">
        <x:v>1008.88</x:v>
      </x:c>
      <x:c r="L197" t="n">
        <x:v>475.15</x:v>
      </x:c>
      <x:c r="M197" t="n">
        <x:v>405.23</x:v>
      </x:c>
      <x:c r="N197" t="n">
        <x:v>0</x:v>
      </x:c>
    </x:row>
    <x:row r="198">
      <x:c r="A198" t="str">
        <x:v>Otaka Bridge</x:v>
      </x:c>
      <x:c r="B198" t="str">
        <x:v>B181</x:v>
      </x:c>
      <x:c r="C198" t="str">
        <x:v>B302_Link02</x:v>
      </x:c>
      <x:c r="D198" t="str">
        <x:v>B</x:v>
      </x:c>
      <x:c r="E198" t="str">
        <x:v>Northern</x:v>
      </x:c>
      <x:c r="F198" t="str">
        <x:v>Kitgum</x:v>
      </x:c>
      <x:c r="G198" t="n">
        <x:v>6677.88</x:v>
      </x:c>
      <x:c r="H198" t="n">
        <x:v>0.001101</x:v>
      </x:c>
      <x:c r="I198" t="n">
        <x:v>0.9376</x:v>
      </x:c>
      <x:c r="J198" t="n">
        <x:v>4527.63</x:v>
      </x:c>
      <x:c r="K198" t="n">
        <x:v>1165.7</x:v>
      </x:c>
      <x:c r="L198" t="n">
        <x:v>534.76</x:v>
      </x:c>
      <x:c r="M198" t="n">
        <x:v>449.78</x:v>
      </x:c>
      <x:c r="N198" t="n">
        <x:v>0</x:v>
      </x:c>
    </x:row>
    <x:row r="199">
      <x:c r="A199" t="str">
        <x:v>Komolo</x:v>
      </x:c>
      <x:c r="B199" t="str">
        <x:v>B182</x:v>
      </x:c>
      <x:c r="C199" t="str">
        <x:v>B303_Link02</x:v>
      </x:c>
      <x:c r="D199" t="str">
        <x:v>B</x:v>
      </x:c>
      <x:c r="E199" t="str">
        <x:v>North Eastern</x:v>
      </x:c>
      <x:c r="F199" t="str">
        <x:v>Soroti</x:v>
      </x:c>
      <x:c r="G199" t="n">
        <x:v>26529.38</x:v>
      </x:c>
      <x:c r="H199" t="n">
        <x:v>0.079778</x:v>
      </x:c>
      <x:c r="I199" t="n">
        <x:v>1</x:v>
      </x:c>
      <x:c r="J199" t="n">
        <x:v>19246.37</x:v>
      </x:c>
      <x:c r="K199" t="n">
        <x:v>2594.01</x:v>
      </x:c>
      <x:c r="L199" t="n">
        <x:v>1080.27</x:v>
      </x:c>
      <x:c r="M199" t="n">
        <x:v>353.69</x:v>
      </x:c>
      <x:c r="N199" t="n">
        <x:v>3255.05</x:v>
      </x:c>
    </x:row>
    <x:row r="200">
      <x:c r="A200" t="str">
        <x:v>Getom</x:v>
      </x:c>
      <x:c r="B200" t="str">
        <x:v>B183</x:v>
      </x:c>
      <x:c r="C200" t="str">
        <x:v>B303_Link02</x:v>
      </x:c>
      <x:c r="D200" t="str">
        <x:v>B</x:v>
      </x:c>
      <x:c r="E200" t="str">
        <x:v>North Eastern</x:v>
      </x:c>
      <x:c r="F200" t="str">
        <x:v>Soroti</x:v>
      </x:c>
      <x:c r="G200" t="n">
        <x:v>26529.38</x:v>
      </x:c>
      <x:c r="H200" t="n">
        <x:v>0.079778</x:v>
      </x:c>
      <x:c r="I200" t="n">
        <x:v>1</x:v>
      </x:c>
      <x:c r="J200" t="n">
        <x:v>19246.37</x:v>
      </x:c>
      <x:c r="K200" t="n">
        <x:v>2594.01</x:v>
      </x:c>
      <x:c r="L200" t="n">
        <x:v>1080.27</x:v>
      </x:c>
      <x:c r="M200" t="n">
        <x:v>353.69</x:v>
      </x:c>
      <x:c r="N200" t="n">
        <x:v>3255.05</x:v>
      </x:c>
    </x:row>
    <x:row r="201">
      <x:c r="A201" t="str">
        <x:v>Akangole</x:v>
      </x:c>
      <x:c r="B201" t="str">
        <x:v>B184</x:v>
      </x:c>
      <x:c r="C201" t="str">
        <x:v>B303_Link02</x:v>
      </x:c>
      <x:c r="D201" t="str">
        <x:v>B</x:v>
      </x:c>
      <x:c r="E201" t="str">
        <x:v>North Eastern</x:v>
      </x:c>
      <x:c r="F201" t="str">
        <x:v>Soroti</x:v>
      </x:c>
      <x:c r="G201" t="n">
        <x:v>6707.33</x:v>
      </x:c>
      <x:c r="H201" t="n">
        <x:v>0.001101</x:v>
      </x:c>
      <x:c r="I201" t="n">
        <x:v>0.9376</x:v>
      </x:c>
      <x:c r="J201" t="n">
        <x:v>4477.3</x:v>
      </x:c>
      <x:c r="K201" t="n">
        <x:v>1233.89</x:v>
      </x:c>
      <x:c r="L201" t="n">
        <x:v>542.47</x:v>
      </x:c>
      <x:c r="M201" t="n">
        <x:v>453.67</x:v>
      </x:c>
      <x:c r="N201" t="n">
        <x:v>0</x:v>
      </x:c>
    </x:row>
    <x:row r="202">
      <x:c r="A202" t="str">
        <x:v>Apak Bridge</x:v>
      </x:c>
      <x:c r="B202" t="str">
        <x:v>B185</x:v>
      </x:c>
      <x:c r="C202" t="str">
        <x:v>C650_Link01</x:v>
      </x:c>
      <x:c r="D202" t="str">
        <x:v>C</x:v>
      </x:c>
      <x:c r="E202" t="str">
        <x:v>Northern</x:v>
      </x:c>
      <x:c r="F202" t="str">
        <x:v>Lira</x:v>
      </x:c>
      <x:c r="G202" t="n">
        <x:v>1037.4</x:v>
      </x:c>
      <x:c r="H202" t="n">
        <x:v>-0.002965</x:v>
      </x:c>
      <x:c r="I202" t="n">
        <x:v>1</x:v>
      </x:c>
      <x:c r="J202" t="n">
        <x:v>414.66</x:v>
      </x:c>
      <x:c r="K202" t="n">
        <x:v>133.09</x:v>
      </x:c>
      <x:c r="L202" t="n">
        <x:v>77.3</x:v>
      </x:c>
      <x:c r="M202" t="n">
        <x:v>98.82</x:v>
      </x:c>
      <x:c r="N202" t="n">
        <x:v>313.52</x:v>
      </x:c>
    </x:row>
    <x:row r="203">
      <x:c r="A203" t="str">
        <x:v>Apak Bridge</x:v>
      </x:c>
      <x:c r="B203" t="str">
        <x:v>B186</x:v>
      </x:c>
      <x:c r="C203" t="str">
        <x:v>C650_Link01</x:v>
      </x:c>
      <x:c r="D203" t="str">
        <x:v>C</x:v>
      </x:c>
      <x:c r="E203" t="str">
        <x:v>Northern</x:v>
      </x:c>
      <x:c r="F203" t="str">
        <x:v>Lira</x:v>
      </x:c>
      <x:c r="G203" t="n">
        <x:v>6594.13</x:v>
      </x:c>
      <x:c r="H203" t="n">
        <x:v>0.000928</x:v>
      </x:c>
      <x:c r="I203" t="n">
        <x:v>0.9376</x:v>
      </x:c>
      <x:c r="J203" t="n">
        <x:v>4468.73</x:v>
      </x:c>
      <x:c r="K203" t="n">
        <x:v>1157.08</x:v>
      </x:c>
      <x:c r="L203" t="n">
        <x:v>526.46</x:v>
      </x:c>
      <x:c r="M203" t="n">
        <x:v>441.86</x:v>
      </x:c>
      <x:c r="N203" t="n">
        <x:v>0</x:v>
      </x:c>
    </x:row>
    <x:row r="204">
      <x:c r="A204" t="str">
        <x:v>Tochi (Awol) Bridge</x:v>
      </x:c>
      <x:c r="B204" t="str">
        <x:v>B187</x:v>
      </x:c>
      <x:c r="C204" t="str">
        <x:v>C655_Link01</x:v>
      </x:c>
      <x:c r="D204" t="str">
        <x:v>C</x:v>
      </x:c>
      <x:c r="E204" t="str">
        <x:v>Northern</x:v>
      </x:c>
      <x:c r="F204" t="str">
        <x:v>Gulu</x:v>
      </x:c>
      <x:c r="G204" t="n">
        <x:v>5570.49</x:v>
      </x:c>
      <x:c r="H204" t="n">
        <x:v>0.000928</x:v>
      </x:c>
      <x:c r="I204" t="n">
        <x:v>0.9376</x:v>
      </x:c>
      <x:c r="J204" t="n">
        <x:v>3906.19</x:v>
      </x:c>
      <x:c r="K204" t="n">
        <x:v>818.02</x:v>
      </x:c>
      <x:c r="L204" t="n">
        <x:v>428.33</x:v>
      </x:c>
      <x:c r="M204" t="n">
        <x:v>417.94</x:v>
      </x:c>
      <x:c r="N204" t="n">
        <x:v>0</x:v>
      </x:c>
    </x:row>
    <x:row r="205">
      <x:c r="A205" t="str">
        <x:v>Odek</x:v>
      </x:c>
      <x:c r="B205" t="str">
        <x:v>B188</x:v>
      </x:c>
      <x:c r="C205" t="str">
        <x:v>C680_Link02</x:v>
      </x:c>
      <x:c r="D205" t="str">
        <x:v>C</x:v>
      </x:c>
      <x:c r="E205" t="str">
        <x:v>Northern</x:v>
      </x:c>
      <x:c r="F205" t="str">
        <x:v>Gulu</x:v>
      </x:c>
      <x:c r="G205" t="n">
        <x:v>7219.58</x:v>
      </x:c>
      <x:c r="H205" t="n">
        <x:v>0.063045</x:v>
      </x:c>
      <x:c r="I205" t="n">
        <x:v>1</x:v>
      </x:c>
      <x:c r="J205" t="n">
        <x:v>4952.93</x:v>
      </x:c>
      <x:c r="K205" t="n">
        <x:v>1214.93</x:v>
      </x:c>
      <x:c r="L205" t="n">
        <x:v>566.06</x:v>
      </x:c>
      <x:c r="M205" t="n">
        <x:v>485.66</x:v>
      </x:c>
      <x:c r="N205" t="n">
        <x:v>0</x:v>
      </x:c>
    </x:row>
    <x:row r="206">
      <x:c r="A206" t="str">
        <x:v>Awere Bridge</x:v>
      </x:c>
      <x:c r="B206" t="str">
        <x:v>B189</x:v>
      </x:c>
      <x:c r="C206" t="str">
        <x:v>C680_Link02</x:v>
      </x:c>
      <x:c r="D206" t="str">
        <x:v>C</x:v>
      </x:c>
      <x:c r="E206" t="str">
        <x:v>Northern</x:v>
      </x:c>
      <x:c r="F206" t="str">
        <x:v>Gulu</x:v>
      </x:c>
      <x:c r="G206" t="n">
        <x:v>5498.49</x:v>
      </x:c>
      <x:c r="H206" t="n">
        <x:v>0.000928</x:v>
      </x:c>
      <x:c r="I206" t="n">
        <x:v>0.9376</x:v>
      </x:c>
      <x:c r="J206" t="n">
        <x:v>3760.85</x:v>
      </x:c>
      <x:c r="K206" t="n">
        <x:v>942.29</x:v>
      </x:c>
      <x:c r="L206" t="n">
        <x:v>431.69</x:v>
      </x:c>
      <x:c r="M206" t="n">
        <x:v>363.66</x:v>
      </x:c>
      <x:c r="N206" t="n">
        <x:v>0</x:v>
      </x:c>
    </x:row>
    <x:row r="207">
      <x:c r="A207" t="str">
        <x:v>Atika Bridge</x:v>
      </x:c>
      <x:c r="B207" t="str">
        <x:v>B190</x:v>
      </x:c>
      <x:c r="C207" t="str">
        <x:v>C681_Link01</x:v>
      </x:c>
      <x:c r="D207" t="str">
        <x:v>C</x:v>
      </x:c>
      <x:c r="E207" t="str">
        <x:v>Northern</x:v>
      </x:c>
      <x:c r="F207" t="str">
        <x:v>Kitgum</x:v>
      </x:c>
      <x:c r="G207" t="n">
        <x:v>6045.88</x:v>
      </x:c>
      <x:c r="H207" t="n">
        <x:v>0.000928</x:v>
      </x:c>
      <x:c r="I207" t="n">
        <x:v>0.9376</x:v>
      </x:c>
      <x:c r="J207" t="n">
        <x:v>4126.34</x:v>
      </x:c>
      <x:c r="K207" t="n">
        <x:v>1026.34</x:v>
      </x:c>
      <x:c r="L207" t="n">
        <x:v>482.62</x:v>
      </x:c>
      <x:c r="M207" t="n">
        <x:v>410.57</x:v>
      </x:c>
      <x:c r="N207" t="n">
        <x:v>0</x:v>
      </x:c>
    </x:row>
    <x:row r="208">
      <x:c r="A208" t="str">
        <x:v>Ogeng Bridge</x:v>
      </x:c>
      <x:c r="B208" t="str">
        <x:v>B191</x:v>
      </x:c>
      <x:c r="C208" t="str">
        <x:v>C681_Link01</x:v>
      </x:c>
      <x:c r="D208" t="str">
        <x:v>C</x:v>
      </x:c>
      <x:c r="E208" t="str">
        <x:v>Northern</x:v>
      </x:c>
      <x:c r="F208" t="str">
        <x:v>Kitgum</x:v>
      </x:c>
      <x:c r="G208" t="n">
        <x:v>5968.86</x:v>
      </x:c>
      <x:c r="H208" t="n">
        <x:v>0.000928</x:v>
      </x:c>
      <x:c r="I208" t="n">
        <x:v>0.9376</x:v>
      </x:c>
      <x:c r="J208" t="n">
        <x:v>4076.32</x:v>
      </x:c>
      <x:c r="K208" t="n">
        <x:v>1010.68</x:v>
      </x:c>
      <x:c r="L208" t="n">
        <x:v>476</x:v>
      </x:c>
      <x:c r="M208" t="n">
        <x:v>405.87</x:v>
      </x:c>
      <x:c r="N208" t="n">
        <x:v>0</x:v>
      </x:c>
    </x:row>
    <x:row r="209">
      <x:c r="A209" t="str">
        <x:v>Ajan Bridge</x:v>
      </x:c>
      <x:c r="B209" t="str">
        <x:v>B192</x:v>
      </x:c>
      <x:c r="C209" t="str">
        <x:v>C681_Link01</x:v>
      </x:c>
      <x:c r="D209" t="str">
        <x:v>C</x:v>
      </x:c>
      <x:c r="E209" t="str">
        <x:v>Northern</x:v>
      </x:c>
      <x:c r="F209" t="str">
        <x:v>Kitgum</x:v>
      </x:c>
      <x:c r="G209" t="n">
        <x:v>5938.29</x:v>
      </x:c>
      <x:c r="H209" t="n">
        <x:v>0.000928</x:v>
      </x:c>
      <x:c r="I209" t="n">
        <x:v>0.9376</x:v>
      </x:c>
      <x:c r="J209" t="n">
        <x:v>4056.55</x:v>
      </x:c>
      <x:c r="K209" t="n">
        <x:v>1004.48</x:v>
      </x:c>
      <x:c r="L209" t="n">
        <x:v>473.31</x:v>
      </x:c>
      <x:c r="M209" t="n">
        <x:v>403.96</x:v>
      </x:c>
      <x:c r="N209" t="n">
        <x:v>0</x:v>
      </x:c>
    </x:row>
    <x:row r="210">
      <x:c r="A210" t="str">
        <x:v>Atanga Bridge</x:v>
      </x:c>
      <x:c r="B210" t="str">
        <x:v>B193</x:v>
      </x:c>
      <x:c r="C210" t="str">
        <x:v>C681_Link01</x:v>
      </x:c>
      <x:c r="D210" t="str">
        <x:v>C</x:v>
      </x:c>
      <x:c r="E210" t="str">
        <x:v>Northern</x:v>
      </x:c>
      <x:c r="F210" t="str">
        <x:v>Kitgum</x:v>
      </x:c>
      <x:c r="G210" t="n">
        <x:v>5923.46</x:v>
      </x:c>
      <x:c r="H210" t="n">
        <x:v>0.000928</x:v>
      </x:c>
      <x:c r="I210" t="n">
        <x:v>0.9376</x:v>
      </x:c>
      <x:c r="J210" t="n">
        <x:v>4046.97</x:v>
      </x:c>
      <x:c r="K210" t="n">
        <x:v>1001.44</x:v>
      </x:c>
      <x:c r="L210" t="n">
        <x:v>472</x:v>
      </x:c>
      <x:c r="M210" t="n">
        <x:v>403.05</x:v>
      </x:c>
      <x:c r="N210" t="n">
        <x:v>0</x:v>
      </x:c>
    </x:row>
    <x:row r="211">
      <x:c r="A211" t="str">
        <x:v>Unyama</x:v>
      </x:c>
      <x:c r="B211" t="str">
        <x:v>B194</x:v>
      </x:c>
      <x:c r="C211" t="str">
        <x:v>C681_Link02</x:v>
      </x:c>
      <x:c r="D211" t="str">
        <x:v>C</x:v>
      </x:c>
      <x:c r="E211" t="str">
        <x:v>Northern</x:v>
      </x:c>
      <x:c r="F211" t="str">
        <x:v>Gulu</x:v>
      </x:c>
      <x:c r="G211" t="n">
        <x:v>5091.99</x:v>
      </x:c>
      <x:c r="H211" t="n">
        <x:v>0.000928</x:v>
      </x:c>
      <x:c r="I211" t="n">
        <x:v>0.9376</x:v>
      </x:c>
      <x:c r="J211" t="n">
        <x:v>3489.04</x:v>
      </x:c>
      <x:c r="K211" t="n">
        <x:v>847.78</x:v>
      </x:c>
      <x:c r="L211" t="n">
        <x:v>403.65</x:v>
      </x:c>
      <x:c r="M211" t="n">
        <x:v>351.52</x:v>
      </x:c>
      <x:c r="N211" t="n">
        <x:v>0</x:v>
      </x:c>
    </x:row>
    <x:row r="212">
      <x:c r="A212" t="str">
        <x:v>Aswa Bridge</x:v>
      </x:c>
      <x:c r="B212" t="str">
        <x:v>B195</x:v>
      </x:c>
      <x:c r="C212" t="str">
        <x:v>C681_Link02</x:v>
      </x:c>
      <x:c r="D212" t="str">
        <x:v>C</x:v>
      </x:c>
      <x:c r="E212" t="str">
        <x:v>Northern</x:v>
      </x:c>
      <x:c r="F212" t="str">
        <x:v>Gulu</x:v>
      </x:c>
      <x:c r="G212" t="n">
        <x:v>5698.84</x:v>
      </x:c>
      <x:c r="H212" t="n">
        <x:v>0.000928</x:v>
      </x:c>
      <x:c r="I212" t="n">
        <x:v>0.9376</x:v>
      </x:c>
      <x:c r="J212" t="n">
        <x:v>3899.9</x:v>
      </x:c>
      <x:c r="K212" t="n">
        <x:v>954.61</x:v>
      </x:c>
      <x:c r="L212" t="n">
        <x:v>453.49</x:v>
      </x:c>
      <x:c r="M212" t="n">
        <x:v>390.83</x:v>
      </x:c>
      <x:c r="N212" t="n">
        <x:v>0</x:v>
      </x:c>
    </x:row>
    <x:row r="213">
      <x:c r="A213" t="str">
        <x:v>Unyama Bridge</x:v>
      </x:c>
      <x:c r="B213" t="str">
        <x:v>B196</x:v>
      </x:c>
      <x:c r="C213" t="str">
        <x:v>C682_Link01</x:v>
      </x:c>
      <x:c r="D213" t="str">
        <x:v>C</x:v>
      </x:c>
      <x:c r="E213" t="str">
        <x:v>Northern</x:v>
      </x:c>
      <x:c r="F213" t="str">
        <x:v>Gulu</x:v>
      </x:c>
      <x:c r="G213" t="n">
        <x:v>4929.4</x:v>
      </x:c>
      <x:c r="H213" t="n">
        <x:v>0.000928</x:v>
      </x:c>
      <x:c r="I213" t="n">
        <x:v>0.9376</x:v>
      </x:c>
      <x:c r="J213" t="n">
        <x:v>3359.23</x:v>
      </x:c>
      <x:c r="K213" t="n">
        <x:v>841.59</x:v>
      </x:c>
      <x:c r="L213" t="n">
        <x:v>393.78</x:v>
      </x:c>
      <x:c r="M213" t="n">
        <x:v>334.8</x:v>
      </x:c>
      <x:c r="N213" t="n">
        <x:v>0</x:v>
      </x:c>
    </x:row>
    <x:row r="214">
      <x:c r="A214" t="str">
        <x:v>Nyarwotho</x:v>
      </x:c>
      <x:c r="B214" t="str">
        <x:v>B197</x:v>
      </x:c>
      <x:c r="C214" t="str">
        <x:v>C745_Link01</x:v>
      </x:c>
      <x:c r="D214" t="str">
        <x:v>C</x:v>
      </x:c>
      <x:c r="E214" t="str">
        <x:v>Northern</x:v>
      </x:c>
      <x:c r="F214" t="str">
        <x:v>Arua</x:v>
      </x:c>
      <x:c r="G214" t="n">
        <x:v>4497.59</x:v>
      </x:c>
      <x:c r="H214" t="n">
        <x:v>0.000928</x:v>
      </x:c>
      <x:c r="I214" t="n">
        <x:v>0.9376</x:v>
      </x:c>
      <x:c r="J214" t="n">
        <x:v>2990.58</x:v>
      </x:c>
      <x:c r="K214" t="n">
        <x:v>705.3</x:v>
      </x:c>
      <x:c r="L214" t="n">
        <x:v>407.45</x:v>
      </x:c>
      <x:c r="M214" t="n">
        <x:v>394.26</x:v>
      </x:c>
      <x:c r="N214" t="n">
        <x:v>0</x:v>
      </x:c>
    </x:row>
    <x:row r="215">
      <x:c r="A215" t="str">
        <x:v>Unyama Bridge</x:v>
      </x:c>
      <x:c r="B215" t="str">
        <x:v>B198</x:v>
      </x:c>
      <x:c r="C215" t="str">
        <x:v>C700_Link01</x:v>
      </x:c>
      <x:c r="D215" t="str">
        <x:v>C</x:v>
      </x:c>
      <x:c r="E215" t="str">
        <x:v>Northern</x:v>
      </x:c>
      <x:c r="F215" t="str">
        <x:v>Kitgum</x:v>
      </x:c>
      <x:c r="G215" t="n">
        <x:v>5499.06</x:v>
      </x:c>
      <x:c r="H215" t="n">
        <x:v>0.000928</x:v>
      </x:c>
      <x:c r="I215" t="n">
        <x:v>0.9376</x:v>
      </x:c>
      <x:c r="J215" t="n">
        <x:v>3741.22</x:v>
      </x:c>
      <x:c r="K215" t="n">
        <x:v>934.55</x:v>
      </x:c>
      <x:c r="L215" t="n">
        <x:v>445.23</x:v>
      </x:c>
      <x:c r="M215" t="n">
        <x:v>378.06</x:v>
      </x:c>
      <x:c r="N215" t="n">
        <x:v>0</x:v>
      </x:c>
    </x:row>
    <x:row r="216">
      <x:c r="A216" t="str">
        <x:v>Aswa Bridge</x:v>
      </x:c>
      <x:c r="B216" t="str">
        <x:v>B199</x:v>
      </x:c>
      <x:c r="C216" t="str">
        <x:v>C700_Link01</x:v>
      </x:c>
      <x:c r="D216" t="str">
        <x:v>C</x:v>
      </x:c>
      <x:c r="E216" t="str">
        <x:v>Northern</x:v>
      </x:c>
      <x:c r="F216" t="str">
        <x:v>Kitgum</x:v>
      </x:c>
      <x:c r="G216" t="n">
        <x:v>5728.95</x:v>
      </x:c>
      <x:c r="H216" t="n">
        <x:v>0.000928</x:v>
      </x:c>
      <x:c r="I216" t="n">
        <x:v>0.9376</x:v>
      </x:c>
      <x:c r="J216" t="n">
        <x:v>3902.89</x:v>
      </x:c>
      <x:c r="K216" t="n">
        <x:v>970.18</x:v>
      </x:c>
      <x:c r="L216" t="n">
        <x:v>462.35</x:v>
      </x:c>
      <x:c r="M216" t="n">
        <x:v>393.53</x:v>
      </x:c>
      <x:c r="N216" t="n">
        <x:v>0</x:v>
      </x:c>
    </x:row>
    <x:row r="217">
      <x:c r="A217" t="str">
        <x:v>Awich Bridge</x:v>
      </x:c>
      <x:c r="B217" t="str">
        <x:v>B200</x:v>
      </x:c>
      <x:c r="C217" t="str">
        <x:v>C700_Link01</x:v>
      </x:c>
      <x:c r="D217" t="str">
        <x:v>C</x:v>
      </x:c>
      <x:c r="E217" t="str">
        <x:v>Northern</x:v>
      </x:c>
      <x:c r="F217" t="str">
        <x:v>Kitgum</x:v>
      </x:c>
      <x:c r="G217" t="n">
        <x:v>5868.48</x:v>
      </x:c>
      <x:c r="H217" t="n">
        <x:v>0.000928</x:v>
      </x:c>
      <x:c r="I217" t="n">
        <x:v>0.9376</x:v>
      </x:c>
      <x:c r="J217" t="n">
        <x:v>3998.03</x:v>
      </x:c>
      <x:c r="K217" t="n">
        <x:v>993.52</x:v>
      </x:c>
      <x:c r="L217" t="n">
        <x:v>473.83</x:v>
      </x:c>
      <x:c r="M217" t="n">
        <x:v>403.1</x:v>
      </x:c>
      <x:c r="N217" t="n">
        <x:v>0</x:v>
      </x:c>
    </x:row>
    <x:row r="218">
      <x:c r="A218" t="str">
        <x:v>Burkung</x:v>
      </x:c>
      <x:c r="B218" t="str">
        <x:v>B201</x:v>
      </x:c>
      <x:c r="C218" t="str">
        <x:v>C700_Link01</x:v>
      </x:c>
      <x:c r="D218" t="str">
        <x:v>C</x:v>
      </x:c>
      <x:c r="E218" t="str">
        <x:v>Northern</x:v>
      </x:c>
      <x:c r="F218" t="str">
        <x:v>Kitgum</x:v>
      </x:c>
      <x:c r="G218" t="n">
        <x:v>6023.52</x:v>
      </x:c>
      <x:c r="H218" t="n">
        <x:v>0.000928</x:v>
      </x:c>
      <x:c r="I218" t="n">
        <x:v>0.9376</x:v>
      </x:c>
      <x:c r="J218" t="n">
        <x:v>4104.26</x:v>
      </x:c>
      <x:c r="K218" t="n">
        <x:v>1020.11</x:v>
      </x:c>
      <x:c r="L218" t="n">
        <x:v>485.99</x:v>
      </x:c>
      <x:c r="M218" t="n">
        <x:v>413.17</x:v>
      </x:c>
      <x:c r="N218" t="n">
        <x:v>0</x:v>
      </x:c>
    </x:row>
    <x:row r="219">
      <x:c r="A219" t="str">
        <x:v>Lagwel Bridge</x:v>
      </x:c>
      <x:c r="B219" t="str">
        <x:v>B202</x:v>
      </x:c>
      <x:c r="C219" t="str">
        <x:v>C701_Link01</x:v>
      </x:c>
      <x:c r="D219" t="str">
        <x:v>C</x:v>
      </x:c>
      <x:c r="E219" t="str">
        <x:v>Northern</x:v>
      </x:c>
      <x:c r="F219" t="str">
        <x:v>Kitgum</x:v>
      </x:c>
      <x:c r="G219" t="n">
        <x:v>6291.36</x:v>
      </x:c>
      <x:c r="H219" t="n">
        <x:v>0.000928</x:v>
      </x:c>
      <x:c r="I219" t="n">
        <x:v>0.9376</x:v>
      </x:c>
      <x:c r="J219" t="n">
        <x:v>4286.34</x:v>
      </x:c>
      <x:c r="K219" t="n">
        <x:v>1069.59</x:v>
      </x:c>
      <x:c r="L219" t="n">
        <x:v>506.13</x:v>
      </x:c>
      <x:c r="M219" t="n">
        <x:v>429.29</x:v>
      </x:c>
      <x:c r="N219" t="n">
        <x:v>0</x:v>
      </x:c>
    </x:row>
    <x:row r="220">
      <x:c r="A220" t="str">
        <x:v>Limu Bridge</x:v>
      </x:c>
      <x:c r="B220" t="str">
        <x:v>B203</x:v>
      </x:c>
      <x:c r="C220" t="str">
        <x:v>C701_Link01</x:v>
      </x:c>
      <x:c r="D220" t="str">
        <x:v>C</x:v>
      </x:c>
      <x:c r="E220" t="str">
        <x:v>Northern</x:v>
      </x:c>
      <x:c r="F220" t="str">
        <x:v>Kitgum</x:v>
      </x:c>
      <x:c r="G220" t="n">
        <x:v>6257.19</x:v>
      </x:c>
      <x:c r="H220" t="n">
        <x:v>0.000928</x:v>
      </x:c>
      <x:c r="I220" t="n">
        <x:v>0.9376</x:v>
      </x:c>
      <x:c r="J220" t="n">
        <x:v>4260.61</x:v>
      </x:c>
      <x:c r="K220" t="n">
        <x:v>1061.64</x:v>
      </x:c>
      <x:c r="L220" t="n">
        <x:v>506.04</x:v>
      </x:c>
      <x:c r="M220" t="n">
        <x:v>428.9</x:v>
      </x:c>
      <x:c r="N220" t="n">
        <x:v>0</x:v>
      </x:c>
    </x:row>
    <x:row r="221">
      <x:c r="A221" t="str">
        <x:v>Lakaye Bridge</x:v>
      </x:c>
      <x:c r="B221" t="str">
        <x:v>B205</x:v>
      </x:c>
      <x:c r="C221" t="str">
        <x:v>B252_Link04</x:v>
      </x:c>
      <x:c r="D221" t="str">
        <x:v>B</x:v>
      </x:c>
      <x:c r="E221" t="str">
        <x:v>Northern</x:v>
      </x:c>
      <x:c r="F221" t="str">
        <x:v>Kitgum</x:v>
      </x:c>
      <x:c r="G221" t="n">
        <x:v>6004.17</x:v>
      </x:c>
      <x:c r="H221" t="n">
        <x:v>0.001101</x:v>
      </x:c>
      <x:c r="I221" t="n">
        <x:v>0.9376</x:v>
      </x:c>
      <x:c r="J221" t="n">
        <x:v>4077.6</x:v>
      </x:c>
      <x:c r="K221" t="n">
        <x:v>1048.41</x:v>
      </x:c>
      <x:c r="L221" t="n">
        <x:v>481.06</x:v>
      </x:c>
      <x:c r="M221" t="n">
        <x:v>397.09</x:v>
      </x:c>
      <x:c r="N221" t="n">
        <x:v>0</x:v>
      </x:c>
    </x:row>
    <x:row r="222">
      <x:c r="A222" t="str">
        <x:v>Okura Bridge</x:v>
      </x:c>
      <x:c r="B222" t="str">
        <x:v>B206</x:v>
      </x:c>
      <x:c r="C222" t="str">
        <x:v>C702_Link01</x:v>
      </x:c>
      <x:c r="D222" t="str">
        <x:v>C</x:v>
      </x:c>
      <x:c r="E222" t="str">
        <x:v>Northern</x:v>
      </x:c>
      <x:c r="F222" t="str">
        <x:v>Kitgum</x:v>
      </x:c>
      <x:c r="G222" t="n">
        <x:v>6555.58</x:v>
      </x:c>
      <x:c r="H222" t="n">
        <x:v>0.000928</x:v>
      </x:c>
      <x:c r="I222" t="n">
        <x:v>0.9376</x:v>
      </x:c>
      <x:c r="J222" t="n">
        <x:v>4461.38</x:v>
      </x:c>
      <x:c r="K222" t="n">
        <x:v>1117.57</x:v>
      </x:c>
      <x:c r="L222" t="n">
        <x:v>529.29</x:v>
      </x:c>
      <x:c r="M222" t="n">
        <x:v>447.35</x:v>
      </x:c>
      <x:c r="N222" t="n">
        <x:v>0</x:v>
      </x:c>
    </x:row>
    <x:row r="223">
      <x:c r="A223" t="str">
        <x:v>Kitgum Matidi</x:v>
      </x:c>
      <x:c r="B223" t="str">
        <x:v>B207</x:v>
      </x:c>
      <x:c r="C223" t="str">
        <x:v>C703_Link01</x:v>
      </x:c>
      <x:c r="D223" t="str">
        <x:v>C</x:v>
      </x:c>
      <x:c r="E223" t="str">
        <x:v>Northern</x:v>
      </x:c>
      <x:c r="F223" t="str">
        <x:v>Kitgum</x:v>
      </x:c>
      <x:c r="G223" t="n">
        <x:v>6346.24</x:v>
      </x:c>
      <x:c r="H223" t="n">
        <x:v>0.000928</x:v>
      </x:c>
      <x:c r="I223" t="n">
        <x:v>0.9376</x:v>
      </x:c>
      <x:c r="J223" t="n">
        <x:v>4322.87</x:v>
      </x:c>
      <x:c r="K223" t="n">
        <x:v>1083.61</x:v>
      </x:c>
      <x:c r="L223" t="n">
        <x:v>508.87</x:v>
      </x:c>
      <x:c r="M223" t="n">
        <x:v>430.88</x:v>
      </x:c>
      <x:c r="N223" t="n">
        <x:v>0</x:v>
      </x:c>
    </x:row>
    <x:row r="224">
      <x:c r="A224" t="str">
        <x:v>Oraa 1</x:v>
      </x:c>
      <x:c r="B224" t="str">
        <x:v>B208</x:v>
      </x:c>
      <x:c r="C224" t="str">
        <x:v>C743_Link01</x:v>
      </x:c>
      <x:c r="D224" t="str">
        <x:v>C</x:v>
      </x:c>
      <x:c r="E224" t="str">
        <x:v>Northern</x:v>
      </x:c>
      <x:c r="F224" t="str">
        <x:v>Arua</x:v>
      </x:c>
      <x:c r="G224" t="n">
        <x:v>4559.66</x:v>
      </x:c>
      <x:c r="H224" t="n">
        <x:v>0.000928</x:v>
      </x:c>
      <x:c r="I224" t="n">
        <x:v>0.9376</x:v>
      </x:c>
      <x:c r="J224" t="n">
        <x:v>3020.06</x:v>
      </x:c>
      <x:c r="K224" t="n">
        <x:v>759.07</x:v>
      </x:c>
      <x:c r="L224" t="n">
        <x:v>410.4</x:v>
      </x:c>
      <x:c r="M224" t="n">
        <x:v>370.12</x:v>
      </x:c>
      <x:c r="N224" t="n">
        <x:v>0</x:v>
      </x:c>
    </x:row>
    <x:row r="225">
      <x:c r="A225" t="str">
        <x:v>Oraa2 Bridge</x:v>
      </x:c>
      <x:c r="B225" t="str">
        <x:v>B209</x:v>
      </x:c>
      <x:c r="C225" t="str">
        <x:v>C743_Link01</x:v>
      </x:c>
      <x:c r="D225" t="str">
        <x:v>C</x:v>
      </x:c>
      <x:c r="E225" t="str">
        <x:v>Northern</x:v>
      </x:c>
      <x:c r="F225" t="str">
        <x:v>Arua</x:v>
      </x:c>
      <x:c r="G225" t="n">
        <x:v>4559.66</x:v>
      </x:c>
      <x:c r="H225" t="n">
        <x:v>0.000928</x:v>
      </x:c>
      <x:c r="I225" t="n">
        <x:v>0.9376</x:v>
      </x:c>
      <x:c r="J225" t="n">
        <x:v>3020.06</x:v>
      </x:c>
      <x:c r="K225" t="n">
        <x:v>759.08</x:v>
      </x:c>
      <x:c r="L225" t="n">
        <x:v>410.4</x:v>
      </x:c>
      <x:c r="M225" t="n">
        <x:v>370.12</x:v>
      </x:c>
      <x:c r="N225" t="n">
        <x:v>0</x:v>
      </x:c>
    </x:row>
    <x:row r="226">
      <x:c r="A226" t="str">
        <x:v>Awa</x:v>
      </x:c>
      <x:c r="B226" t="str">
        <x:v>B210</x:v>
      </x:c>
      <x:c r="C226" t="str">
        <x:v>C743_Link02</x:v>
      </x:c>
      <x:c r="D226" t="str">
        <x:v>C</x:v>
      </x:c>
      <x:c r="E226" t="str">
        <x:v>Northern</x:v>
      </x:c>
      <x:c r="F226" t="str">
        <x:v>Arua</x:v>
      </x:c>
      <x:c r="G226" t="n">
        <x:v>4147.89</x:v>
      </x:c>
      <x:c r="H226" t="n">
        <x:v>0.000928</x:v>
      </x:c>
      <x:c r="I226" t="n">
        <x:v>0.9376</x:v>
      </x:c>
      <x:c r="J226" t="n">
        <x:v>2649.69</x:v>
      </x:c>
      <x:c r="K226" t="n">
        <x:v>767.2</x:v>
      </x:c>
      <x:c r="L226" t="n">
        <x:v>403.85</x:v>
      </x:c>
      <x:c r="M226" t="n">
        <x:v>327.15</x:v>
      </x:c>
      <x:c r="N226" t="n">
        <x:v>0</x:v>
      </x:c>
    </x:row>
    <x:row r="227">
      <x:c r="A227" t="str">
        <x:v>Allah Bridge</x:v>
      </x:c>
      <x:c r="B227" t="str">
        <x:v>B211</x:v>
      </x:c>
      <x:c r="C227" t="str">
        <x:v>C743_Link02</x:v>
      </x:c>
      <x:c r="D227" t="str">
        <x:v>C</x:v>
      </x:c>
      <x:c r="E227" t="str">
        <x:v>Northern</x:v>
      </x:c>
      <x:c r="F227" t="str">
        <x:v>Arua</x:v>
      </x:c>
      <x:c r="G227" t="n">
        <x:v>4148.08</x:v>
      </x:c>
      <x:c r="H227" t="n">
        <x:v>0.000928</x:v>
      </x:c>
      <x:c r="I227" t="n">
        <x:v>0.9376</x:v>
      </x:c>
      <x:c r="J227" t="n">
        <x:v>2643.85</x:v>
      </x:c>
      <x:c r="K227" t="n">
        <x:v>772.97</x:v>
      </x:c>
      <x:c r="L227" t="n">
        <x:v>405.73</x:v>
      </x:c>
      <x:c r="M227" t="n">
        <x:v>325.53</x:v>
      </x:c>
      <x:c r="N227" t="n">
        <x:v>0</x:v>
      </x:c>
    </x:row>
    <x:row r="228">
      <x:c r="A228" t="str">
        <x:v>Olemika Bridge</x:v>
      </x:c>
      <x:c r="B228" t="str">
        <x:v>B212</x:v>
      </x:c>
      <x:c r="C228" t="str">
        <x:v>C743_Link02</x:v>
      </x:c>
      <x:c r="D228" t="str">
        <x:v>C</x:v>
      </x:c>
      <x:c r="E228" t="str">
        <x:v>Northern</x:v>
      </x:c>
      <x:c r="F228" t="str">
        <x:v>Arua</x:v>
      </x:c>
      <x:c r="G228" t="n">
        <x:v>4287.65</x:v>
      </x:c>
      <x:c r="H228" t="n">
        <x:v>0.000928</x:v>
      </x:c>
      <x:c r="I228" t="n">
        <x:v>0.9376</x:v>
      </x:c>
      <x:c r="J228" t="n">
        <x:v>2750.61</x:v>
      </x:c>
      <x:c r="K228" t="n">
        <x:v>790.39</x:v>
      </x:c>
      <x:c r="L228" t="n">
        <x:v>413.26</x:v>
      </x:c>
      <x:c r="M228" t="n">
        <x:v>333.39</x:v>
      </x:c>
      <x:c r="N228" t="n">
        <x:v>0</x:v>
      </x:c>
    </x:row>
    <x:row r="229">
      <x:c r="A229" t="str">
        <x:v>Boro Bridge</x:v>
      </x:c>
      <x:c r="B229" t="str">
        <x:v>B213</x:v>
      </x:c>
      <x:c r="C229" t="str">
        <x:v>C746_Link01</x:v>
      </x:c>
      <x:c r="D229" t="str">
        <x:v>C</x:v>
      </x:c>
      <x:c r="E229" t="str">
        <x:v>Northern</x:v>
      </x:c>
      <x:c r="F229" t="str">
        <x:v>Arua</x:v>
      </x:c>
      <x:c r="G229" t="n">
        <x:v>4442.99</x:v>
      </x:c>
      <x:c r="H229" t="n">
        <x:v>0.000928</x:v>
      </x:c>
      <x:c r="I229" t="n">
        <x:v>0.9376</x:v>
      </x:c>
      <x:c r="J229" t="n">
        <x:v>2999.23</x:v>
      </x:c>
      <x:c r="K229" t="n">
        <x:v>635.49</x:v>
      </x:c>
      <x:c r="L229" t="n">
        <x:v>391.77</x:v>
      </x:c>
      <x:c r="M229" t="n">
        <x:v>416.5</x:v>
      </x:c>
      <x:c r="N229" t="n">
        <x:v>0</x:v>
      </x:c>
    </x:row>
    <x:row r="230">
      <x:c r="A230" t="str">
        <x:v>Kivuje Bridge</x:v>
      </x:c>
      <x:c r="B230" t="str">
        <x:v>B214</x:v>
      </x:c>
      <x:c r="C230" t="str">
        <x:v>C746_Link01</x:v>
      </x:c>
      <x:c r="D230" t="str">
        <x:v>C</x:v>
      </x:c>
      <x:c r="E230" t="str">
        <x:v>Northern</x:v>
      </x:c>
      <x:c r="F230" t="str">
        <x:v>Arua</x:v>
      </x:c>
      <x:c r="G230" t="n">
        <x:v>4544.35</x:v>
      </x:c>
      <x:c r="H230" t="n">
        <x:v>0.000928</x:v>
      </x:c>
      <x:c r="I230" t="n">
        <x:v>0.9376</x:v>
      </x:c>
      <x:c r="J230" t="n">
        <x:v>3069.75</x:v>
      </x:c>
      <x:c r="K230" t="n">
        <x:v>656.73</x:v>
      </x:c>
      <x:c r="L230" t="n">
        <x:v>399.23</x:v>
      </x:c>
      <x:c r="M230" t="n">
        <x:v>418.64</x:v>
      </x:c>
      <x:c r="N230" t="n">
        <x:v>0</x:v>
      </x:c>
    </x:row>
    <x:row r="231">
      <x:c r="A231" t="str">
        <x:v>Lojoro</x:v>
      </x:c>
      <x:c r="B231" t="str">
        <x:v>B215</x:v>
      </x:c>
      <x:c r="C231" t="str">
        <x:v>C960_Link01</x:v>
      </x:c>
      <x:c r="D231" t="str">
        <x:v>C</x:v>
      </x:c>
      <x:c r="E231" t="str">
        <x:v>North Eastern</x:v>
      </x:c>
      <x:c r="F231" t="str">
        <x:v>Moroto</x:v>
      </x:c>
      <x:c r="G231" t="n">
        <x:v>7282.34</x:v>
      </x:c>
      <x:c r="H231" t="n">
        <x:v>0.000928</x:v>
      </x:c>
      <x:c r="I231" t="n">
        <x:v>0.9376</x:v>
      </x:c>
      <x:c r="J231" t="n">
        <x:v>4873.89</x:v>
      </x:c>
      <x:c r="K231" t="n">
        <x:v>1317.75</x:v>
      </x:c>
      <x:c r="L231" t="n">
        <x:v>592.49</x:v>
      </x:c>
      <x:c r="M231" t="n">
        <x:v>498.21</x:v>
      </x:c>
      <x:c r="N231" t="n">
        <x:v>0</x:v>
      </x:c>
    </x:row>
    <x:row r="232">
      <x:c r="A232" t="str">
        <x:v>Nakoyiti</x:v>
      </x:c>
      <x:c r="B232" t="str">
        <x:v>B216</x:v>
      </x:c>
      <x:c r="C232" t="str">
        <x:v>C960_Link01</x:v>
      </x:c>
      <x:c r="D232" t="str">
        <x:v>C</x:v>
      </x:c>
      <x:c r="E232" t="str">
        <x:v>North Eastern</x:v>
      </x:c>
      <x:c r="F232" t="str">
        <x:v>Moroto</x:v>
      </x:c>
      <x:c r="G232" t="n">
        <x:v>7353.68</x:v>
      </x:c>
      <x:c r="H232" t="n">
        <x:v>0.000928</x:v>
      </x:c>
      <x:c r="I232" t="n">
        <x:v>0.9376</x:v>
      </x:c>
      <x:c r="J232" t="n">
        <x:v>4933.03</x:v>
      </x:c>
      <x:c r="K232" t="n">
        <x:v>1319.71</x:v>
      </x:c>
      <x:c r="L232" t="n">
        <x:v>597.55</x:v>
      </x:c>
      <x:c r="M232" t="n">
        <x:v>503.39</x:v>
      </x:c>
      <x:c r="N232" t="n">
        <x:v>0</x:v>
      </x:c>
    </x:row>
    <x:row r="233">
      <x:c r="A233" t="str">
        <x:v>Chololo</x:v>
      </x:c>
      <x:c r="B233" t="str">
        <x:v>B217</x:v>
      </x:c>
      <x:c r="C233" t="str">
        <x:v>C961_Link01</x:v>
      </x:c>
      <x:c r="D233" t="str">
        <x:v>C</x:v>
      </x:c>
      <x:c r="E233" t="str">
        <x:v>North Eastern</x:v>
      </x:c>
      <x:c r="F233" t="str">
        <x:v>Moroto</x:v>
      </x:c>
      <x:c r="G233" t="n">
        <x:v>7515.18</x:v>
      </x:c>
      <x:c r="H233" t="n">
        <x:v>0.000928</x:v>
      </x:c>
      <x:c r="I233" t="n">
        <x:v>0.9376</x:v>
      </x:c>
      <x:c r="J233" t="n">
        <x:v>5037.47</x:v>
      </x:c>
      <x:c r="K233" t="n">
        <x:v>1349.25</x:v>
      </x:c>
      <x:c r="L233" t="n">
        <x:v>611.97</x:v>
      </x:c>
      <x:c r="M233" t="n">
        <x:v>516.48</x:v>
      </x:c>
      <x:c r="N233" t="n">
        <x:v>0</x:v>
      </x:c>
    </x:row>
    <x:row r="234">
      <x:c r="A234" t="str">
        <x:v>Kolo Bridge</x:v>
      </x:c>
      <x:c r="B234" t="str">
        <x:v>B218</x:v>
      </x:c>
      <x:c r="C234" t="str">
        <x:v>C036_Link01</x:v>
      </x:c>
      <x:c r="D234" t="str">
        <x:v>C</x:v>
      </x:c>
      <x:c r="E234" t="str">
        <x:v>Central</x:v>
      </x:c>
      <x:c r="F234" t="str">
        <x:v>Kampala</x:v>
      </x:c>
      <x:c r="G234" t="n">
        <x:v>26414.63</x:v>
      </x:c>
      <x:c r="H234" t="n">
        <x:v>0.000928</x:v>
      </x:c>
      <x:c r="I234" t="n">
        <x:v>0.9781</x:v>
      </x:c>
      <x:c r="J234" t="n">
        <x:v>19231.66</x:v>
      </x:c>
      <x:c r="K234" t="n">
        <x:v>2444.04</x:v>
      </x:c>
      <x:c r="L234" t="n">
        <x:v>1999.91</x:v>
      </x:c>
      <x:c r="M234" t="n">
        <x:v>2739.02</x:v>
      </x:c>
      <x:c r="N234" t="n">
        <x:v>0</x:v>
      </x:c>
    </x:row>
    <x:row r="235">
      <x:c r="A235" t="str">
        <x:v>Kigungu Bridge</x:v>
      </x:c>
      <x:c r="B235" t="str">
        <x:v>B220</x:v>
      </x:c>
      <x:c r="C235" t="str">
        <x:v>C177_Link01</x:v>
      </x:c>
      <x:c r="D235" t="str">
        <x:v>C</x:v>
      </x:c>
      <x:c r="E235" t="str">
        <x:v>Central</x:v>
      </x:c>
      <x:c r="F235" t="str">
        <x:v>Kampala</x:v>
      </x:c>
      <x:c r="G235" t="n">
        <x:v>14585.27</x:v>
      </x:c>
      <x:c r="H235" t="n">
        <x:v>0.000928</x:v>
      </x:c>
      <x:c r="I235" t="n">
        <x:v>0.9781</x:v>
      </x:c>
      <x:c r="J235" t="n">
        <x:v>11169.37</x:v>
      </x:c>
      <x:c r="K235" t="n">
        <x:v>1795.6</x:v>
      </x:c>
      <x:c r="L235" t="n">
        <x:v>941.76</x:v>
      </x:c>
      <x:c r="M235" t="n">
        <x:v>678.54</x:v>
      </x:c>
      <x:c r="N235" t="n">
        <x:v>0</x:v>
      </x:c>
    </x:row>
    <x:row r="236">
      <x:c r="A236" t="str">
        <x:v>Mayanja</x:v>
      </x:c>
      <x:c r="B236" t="str">
        <x:v>B222</x:v>
      </x:c>
      <x:c r="C236" t="str">
        <x:v>C187_Link01</x:v>
      </x:c>
      <x:c r="D236" t="str">
        <x:v>C</x:v>
      </x:c>
      <x:c r="E236" t="str">
        <x:v>Central</x:v>
      </x:c>
      <x:c r="F236" t="str">
        <x:v>Kampala</x:v>
      </x:c>
      <x:c r="G236" t="n">
        <x:v>11669.62</x:v>
      </x:c>
      <x:c r="H236" t="n">
        <x:v>0.000928</x:v>
      </x:c>
      <x:c r="I236" t="n">
        <x:v>0.9781</x:v>
      </x:c>
      <x:c r="J236" t="n">
        <x:v>8262.98</x:v>
      </x:c>
      <x:c r="K236" t="n">
        <x:v>1786.06</x:v>
      </x:c>
      <x:c r="L236" t="n">
        <x:v>933.1</x:v>
      </x:c>
      <x:c r="M236" t="n">
        <x:v>687.49</x:v>
      </x:c>
      <x:c r="N236" t="n">
        <x:v>0</x:v>
      </x:c>
    </x:row>
    <x:row r="237">
      <x:c r="A237" t="str">
        <x:v>Bukoola</x:v>
      </x:c>
      <x:c r="B237" t="str">
        <x:v>B223</x:v>
      </x:c>
      <x:c r="C237" t="str">
        <x:v>C271_Link04</x:v>
      </x:c>
      <x:c r="D237" t="str">
        <x:v>C</x:v>
      </x:c>
      <x:c r="E237" t="str">
        <x:v>Western</x:v>
      </x:c>
      <x:c r="F237" t="str">
        <x:v>Hoima</x:v>
      </x:c>
      <x:c r="G237" t="n">
        <x:v>8750.63</x:v>
      </x:c>
      <x:c r="H237" t="n">
        <x:v>0.000928</x:v>
      </x:c>
      <x:c r="I237" t="n">
        <x:v>0.9388</x:v>
      </x:c>
      <x:c r="J237" t="n">
        <x:v>6094.31</x:v>
      </x:c>
      <x:c r="K237" t="n">
        <x:v>1384.22</x:v>
      </x:c>
      <x:c r="L237" t="n">
        <x:v>711.51</x:v>
      </x:c>
      <x:c r="M237" t="n">
        <x:v>560.59</x:v>
      </x:c>
      <x:c r="N237" t="n">
        <x:v>0</x:v>
      </x:c>
    </x:row>
    <x:row r="238">
      <x:c r="A238" t="str">
        <x:v>Mayanja Bridge</x:v>
      </x:c>
      <x:c r="B238" t="str">
        <x:v>B225</x:v>
      </x:c>
      <x:c r="C238" t="str">
        <x:v>C320_Link01</x:v>
      </x:c>
      <x:c r="D238" t="str">
        <x:v>C</x:v>
      </x:c>
      <x:c r="E238" t="str">
        <x:v>Central</x:v>
      </x:c>
      <x:c r="F238" t="str">
        <x:v>Luwero</x:v>
      </x:c>
      <x:c r="G238" t="n">
        <x:v>11056.68</x:v>
      </x:c>
      <x:c r="H238" t="n">
        <x:v>0.000928</x:v>
      </x:c>
      <x:c r="I238" t="n">
        <x:v>0.9781</x:v>
      </x:c>
      <x:c r="J238" t="n">
        <x:v>7866.02</x:v>
      </x:c>
      <x:c r="K238" t="n">
        <x:v>1643.79</x:v>
      </x:c>
      <x:c r="L238" t="n">
        <x:v>877.34</x:v>
      </x:c>
      <x:c r="M238" t="n">
        <x:v>669.52</x:v>
      </x:c>
      <x:c r="N238" t="n">
        <x:v>0</x:v>
      </x:c>
    </x:row>
    <x:row r="239">
      <x:c r="A239" t="str">
        <x:v>Nkurungu</x:v>
      </x:c>
      <x:c r="B239" t="str">
        <x:v>B227</x:v>
      </x:c>
      <x:c r="C239" t="str">
        <x:v>C373_Link02</x:v>
      </x:c>
      <x:c r="D239" t="str">
        <x:v>C</x:v>
      </x:c>
      <x:c r="E239" t="str">
        <x:v>Southern</x:v>
      </x:c>
      <x:c r="F239" t="str">
        <x:v>Ibanda</x:v>
      </x:c>
      <x:c r="G239" t="n">
        <x:v>4759.89</x:v>
      </x:c>
      <x:c r="H239" t="n">
        <x:v>0.000928</x:v>
      </x:c>
      <x:c r="I239" t="n">
        <x:v>0.9728</x:v>
      </x:c>
      <x:c r="J239" t="n">
        <x:v>3341.76</x:v>
      </x:c>
      <x:c r="K239" t="n">
        <x:v>792.33</x:v>
      </x:c>
      <x:c r="L239" t="n">
        <x:v>360.16</x:v>
      </x:c>
      <x:c r="M239" t="n">
        <x:v>265.64</x:v>
      </x:c>
      <x:c r="N239" t="n">
        <x:v>0</x:v>
      </x:c>
    </x:row>
    <x:row r="240">
      <x:c r="A240" t="str">
        <x:v>Butembe Bridge</x:v>
      </x:c>
      <x:c r="B240" t="str">
        <x:v>B228</x:v>
      </x:c>
      <x:c r="C240" t="str">
        <x:v>C452_Link01</x:v>
      </x:c>
      <x:c r="D240" t="str">
        <x:v>C</x:v>
      </x:c>
      <x:c r="E240" t="str">
        <x:v>Southern</x:v>
      </x:c>
      <x:c r="F240" t="str">
        <x:v>Kabale</x:v>
      </x:c>
      <x:c r="G240" t="n">
        <x:v>6225.08</x:v>
      </x:c>
      <x:c r="H240" t="n">
        <x:v>0.000928</x:v>
      </x:c>
      <x:c r="I240" t="n">
        <x:v>0.9728</x:v>
      </x:c>
      <x:c r="J240" t="n">
        <x:v>4847</x:v>
      </x:c>
      <x:c r="K240" t="n">
        <x:v>707.93</x:v>
      </x:c>
      <x:c r="L240" t="n">
        <x:v>375.05</x:v>
      </x:c>
      <x:c r="M240" t="n">
        <x:v>295.1</x:v>
      </x:c>
      <x:c r="N240" t="n">
        <x:v>0</x:v>
      </x:c>
    </x:row>
    <x:row r="241">
      <x:c r="A241" t="str">
        <x:v>Kyonyo</x:v>
      </x:c>
      <x:c r="B241" t="str">
        <x:v>B229</x:v>
      </x:c>
      <x:c r="C241" t="str">
        <x:v>C416_Link02</x:v>
      </x:c>
      <x:c r="D241" t="str">
        <x:v>C</x:v>
      </x:c>
      <x:c r="E241" t="str">
        <x:v>Southern</x:v>
      </x:c>
      <x:c r="F241" t="str">
        <x:v>Ibanda</x:v>
      </x:c>
      <x:c r="G241" t="n">
        <x:v>5289.68</x:v>
      </x:c>
      <x:c r="H241" t="n">
        <x:v>0.000928</x:v>
      </x:c>
      <x:c r="I241" t="n">
        <x:v>0.9728</x:v>
      </x:c>
      <x:c r="J241" t="n">
        <x:v>3802.83</x:v>
      </x:c>
      <x:c r="K241" t="n">
        <x:v>813.95</x:v>
      </x:c>
      <x:c r="L241" t="n">
        <x:v>384.73</x:v>
      </x:c>
      <x:c r="M241" t="n">
        <x:v>288.17</x:v>
      </x:c>
      <x:c r="N241" t="n">
        <x:v>0</x:v>
      </x:c>
    </x:row>
    <x:row r="242">
      <x:c r="A242" t="str">
        <x:v>Maziba Bridge</x:v>
      </x:c>
      <x:c r="B242" t="str">
        <x:v>B230</x:v>
      </x:c>
      <x:c r="C242" t="str">
        <x:v>C424_Link01</x:v>
      </x:c>
      <x:c r="D242" t="str">
        <x:v>C</x:v>
      </x:c>
      <x:c r="E242" t="str">
        <x:v>Southern</x:v>
      </x:c>
      <x:c r="F242" t="str">
        <x:v>Kabale</x:v>
      </x:c>
      <x:c r="G242" t="n">
        <x:v>7024.3</x:v>
      </x:c>
      <x:c r="H242" t="n">
        <x:v>0.000928</x:v>
      </x:c>
      <x:c r="I242" t="n">
        <x:v>0.9728</x:v>
      </x:c>
      <x:c r="J242" t="n">
        <x:v>5028.31</x:v>
      </x:c>
      <x:c r="K242" t="n">
        <x:v>1052</x:v>
      </x:c>
      <x:c r="L242" t="n">
        <x:v>524.51</x:v>
      </x:c>
      <x:c r="M242" t="n">
        <x:v>419.48</x:v>
      </x:c>
      <x:c r="N242" t="n">
        <x:v>0</x:v>
      </x:c>
    </x:row>
    <x:row r="243">
      <x:c r="A243" t="str">
        <x:v>Mpungu Bridge</x:v>
      </x:c>
      <x:c r="B243" t="str">
        <x:v>B231</x:v>
      </x:c>
      <x:c r="C243" t="str">
        <x:v>C434_Link01</x:v>
      </x:c>
      <x:c r="D243" t="str">
        <x:v>C</x:v>
      </x:c>
      <x:c r="E243" t="str">
        <x:v>Southern</x:v>
      </x:c>
      <x:c r="F243" t="str">
        <x:v>Kabale</x:v>
      </x:c>
      <x:c r="G243" t="n">
        <x:v>6696.78</x:v>
      </x:c>
      <x:c r="H243" t="n">
        <x:v>0.000928</x:v>
      </x:c>
      <x:c r="I243" t="n">
        <x:v>0.9728</x:v>
      </x:c>
      <x:c r="J243" t="n">
        <x:v>4847.43</x:v>
      </x:c>
      <x:c r="K243" t="n">
        <x:v>976.35</x:v>
      </x:c>
      <x:c r="L243" t="n">
        <x:v>486.76</x:v>
      </x:c>
      <x:c r="M243" t="n">
        <x:v>386.24</x:v>
      </x:c>
      <x:c r="N243" t="n">
        <x:v>0</x:v>
      </x:c>
    </x:row>
    <x:row r="244">
      <x:c r="A244" t="str">
        <x:v>Mucha Bridge</x:v>
      </x:c>
      <x:c r="B244" t="str">
        <x:v>B232</x:v>
      </x:c>
      <x:c r="C244" t="str">
        <x:v>C436_Link01</x:v>
      </x:c>
      <x:c r="D244" t="str">
        <x:v>C</x:v>
      </x:c>
      <x:c r="E244" t="str">
        <x:v>Southern</x:v>
      </x:c>
      <x:c r="F244" t="str">
        <x:v>Kabale</x:v>
      </x:c>
      <x:c r="G244" t="n">
        <x:v>6960.94</x:v>
      </x:c>
      <x:c r="H244" t="n">
        <x:v>0.000928</x:v>
      </x:c>
      <x:c r="I244" t="n">
        <x:v>0.9728</x:v>
      </x:c>
      <x:c r="J244" t="n">
        <x:v>4976.17</x:v>
      </x:c>
      <x:c r="K244" t="n">
        <x:v>1048.06</x:v>
      </x:c>
      <x:c r="L244" t="n">
        <x:v>520.6</x:v>
      </x:c>
      <x:c r="M244" t="n">
        <x:v>416.11</x:v>
      </x:c>
      <x:c r="N244" t="n">
        <x:v>0</x:v>
      </x:c>
    </x:row>
    <x:row r="245">
      <x:c r="A245" t="str">
        <x:v>Kaku Bridge</x:v>
      </x:c>
      <x:c r="B245" t="str">
        <x:v>B233</x:v>
      </x:c>
      <x:c r="C245" t="str">
        <x:v>C439_Link01</x:v>
      </x:c>
      <x:c r="D245" t="str">
        <x:v>C</x:v>
      </x:c>
      <x:c r="E245" t="str">
        <x:v>Southern</x:v>
      </x:c>
      <x:c r="F245" t="str">
        <x:v>Kabale</x:v>
      </x:c>
      <x:c r="G245" t="n">
        <x:v>6910.58</x:v>
      </x:c>
      <x:c r="H245" t="n">
        <x:v>0.000928</x:v>
      </x:c>
      <x:c r="I245" t="n">
        <x:v>0.9728</x:v>
      </x:c>
      <x:c r="J245" t="n">
        <x:v>4942.6</x:v>
      </x:c>
      <x:c r="K245" t="n">
        <x:v>1039.89</x:v>
      </x:c>
      <x:c r="L245" t="n">
        <x:v>516.08</x:v>
      </x:c>
      <x:c r="M245" t="n">
        <x:v>412.02</x:v>
      </x:c>
      <x:c r="N245" t="n">
        <x:v>0</x:v>
      </x:c>
    </x:row>
    <x:row r="246">
      <x:c r="A246" t="str">
        <x:v>Ishasha Bridge</x:v>
      </x:c>
      <x:c r="B246" t="str">
        <x:v>B234</x:v>
      </x:c>
      <x:c r="C246" t="str">
        <x:v>C440_Link01</x:v>
      </x:c>
      <x:c r="D246" t="str">
        <x:v>C</x:v>
      </x:c>
      <x:c r="E246" t="str">
        <x:v>Southern</x:v>
      </x:c>
      <x:c r="F246" t="str">
        <x:v>Kabale</x:v>
      </x:c>
      <x:c r="G246" t="n">
        <x:v>6565.4</x:v>
      </x:c>
      <x:c r="H246" t="n">
        <x:v>0.000928</x:v>
      </x:c>
      <x:c r="I246" t="n">
        <x:v>0.9728</x:v>
      </x:c>
      <x:c r="J246" t="n">
        <x:v>4769.83</x:v>
      </x:c>
      <x:c r="K246" t="n">
        <x:v>949.19</x:v>
      </x:c>
      <x:c r="L246" t="n">
        <x:v>472.84</x:v>
      </x:c>
      <x:c r="M246" t="n">
        <x:v>373.54</x:v>
      </x:c>
      <x:c r="N246" t="n">
        <x:v>0</x:v>
      </x:c>
    </x:row>
    <x:row r="247">
      <x:c r="A247" t="str">
        <x:v>Muyaga Bridge</x:v>
      </x:c>
      <x:c r="B247" t="str">
        <x:v>B235</x:v>
      </x:c>
      <x:c r="C247" t="str">
        <x:v>C440_Link02</x:v>
      </x:c>
      <x:c r="D247" t="str">
        <x:v>C</x:v>
      </x:c>
      <x:c r="E247" t="str">
        <x:v>Southern</x:v>
      </x:c>
      <x:c r="F247" t="str">
        <x:v>Kabale</x:v>
      </x:c>
      <x:c r="G247" t="n">
        <x:v>6635.76</x:v>
      </x:c>
      <x:c r="H247" t="n">
        <x:v>0.000928</x:v>
      </x:c>
      <x:c r="I247" t="n">
        <x:v>0.9728</x:v>
      </x:c>
      <x:c r="J247" t="n">
        <x:v>4806.45</x:v>
      </x:c>
      <x:c r="K247" t="n">
        <x:v>966.75</x:v>
      </x:c>
      <x:c r="L247" t="n">
        <x:v>481.37</x:v>
      </x:c>
      <x:c r="M247" t="n">
        <x:v>381.19</x:v>
      </x:c>
      <x:c r="N247" t="n">
        <x:v>0</x:v>
      </x:c>
    </x:row>
    <x:row r="248">
      <x:c r="A248" t="str">
        <x:v>Kiruruma Bridge</x:v>
      </x:c>
      <x:c r="B248" t="str">
        <x:v>B236</x:v>
      </x:c>
      <x:c r="C248" t="str">
        <x:v>C441_Link01</x:v>
      </x:c>
      <x:c r="D248" t="str">
        <x:v>C</x:v>
      </x:c>
      <x:c r="E248" t="str">
        <x:v>Southern</x:v>
      </x:c>
      <x:c r="F248" t="str">
        <x:v>Kabale</x:v>
      </x:c>
      <x:c r="G248" t="n">
        <x:v>6435.36</x:v>
      </x:c>
      <x:c r="H248" t="n">
        <x:v>0.000928</x:v>
      </x:c>
      <x:c r="I248" t="n">
        <x:v>0.9728</x:v>
      </x:c>
      <x:c r="J248" t="n">
        <x:v>4726.38</x:v>
      </x:c>
      <x:c r="K248" t="n">
        <x:v>901.91</x:v>
      </x:c>
      <x:c r="L248" t="n">
        <x:v>451.7</x:v>
      </x:c>
      <x:c r="M248" t="n">
        <x:v>355.37</x:v>
      </x:c>
      <x:c r="N248" t="n">
        <x:v>0</x:v>
      </x:c>
    </x:row>
    <x:row r="249">
      <x:c r="A249" t="str">
        <x:v>Mitano 01</x:v>
      </x:c>
      <x:c r="B249" t="str">
        <x:v>B237</x:v>
      </x:c>
      <x:c r="C249" t="str">
        <x:v>C442_Link02</x:v>
      </x:c>
      <x:c r="D249" t="str">
        <x:v>C</x:v>
      </x:c>
      <x:c r="E249" t="str">
        <x:v>Southern</x:v>
      </x:c>
      <x:c r="F249" t="str">
        <x:v>Kabale</x:v>
      </x:c>
      <x:c r="G249" t="n">
        <x:v>6482.41</x:v>
      </x:c>
      <x:c r="H249" t="n">
        <x:v>0.000928</x:v>
      </x:c>
      <x:c r="I249" t="n">
        <x:v>0.9728</x:v>
      </x:c>
      <x:c r="J249" t="n">
        <x:v>4774.65</x:v>
      </x:c>
      <x:c r="K249" t="n">
        <x:v>898.95</x:v>
      </x:c>
      <x:c r="L249" t="n">
        <x:v>452.2</x:v>
      </x:c>
      <x:c r="M249" t="n">
        <x:v>356.61</x:v>
      </x:c>
      <x:c r="N249" t="n">
        <x:v>0</x:v>
      </x:c>
    </x:row>
    <x:row r="250">
      <x:c r="A250" t="str">
        <x:v>Kabaale Bridge</x:v>
      </x:c>
      <x:c r="B250" t="str">
        <x:v>B238</x:v>
      </x:c>
      <x:c r="C250" t="str">
        <x:v>C442_Link01</x:v>
      </x:c>
      <x:c r="D250" t="str">
        <x:v>C</x:v>
      </x:c>
      <x:c r="E250" t="str">
        <x:v>Southern</x:v>
      </x:c>
      <x:c r="F250" t="str">
        <x:v>Kabale</x:v>
      </x:c>
      <x:c r="G250" t="n">
        <x:v>6414.3</x:v>
      </x:c>
      <x:c r="H250" t="n">
        <x:v>0.000928</x:v>
      </x:c>
      <x:c r="I250" t="n">
        <x:v>0.9728</x:v>
      </x:c>
      <x:c r="J250" t="n">
        <x:v>4811.71</x:v>
      </x:c>
      <x:c r="K250" t="n">
        <x:v>837.24</x:v>
      </x:c>
      <x:c r="L250" t="n">
        <x:v>427.91</x:v>
      </x:c>
      <x:c r="M250" t="n">
        <x:v>337.45</x:v>
      </x:c>
      <x:c r="N250" t="n">
        <x:v>0</x:v>
      </x:c>
    </x:row>
    <x:row r="251">
      <x:c r="A251" t="str">
        <x:v>Kakingo Bridge</x:v>
      </x:c>
      <x:c r="B251" t="str">
        <x:v>B239</x:v>
      </x:c>
      <x:c r="C251" t="str">
        <x:v>C445_Link02</x:v>
      </x:c>
      <x:c r="D251" t="str">
        <x:v>C</x:v>
      </x:c>
      <x:c r="E251" t="str">
        <x:v>Southern</x:v>
      </x:c>
      <x:c r="F251" t="str">
        <x:v>Kabale</x:v>
      </x:c>
      <x:c r="G251" t="n">
        <x:v>6262.67</x:v>
      </x:c>
      <x:c r="H251" t="n">
        <x:v>0.000928</x:v>
      </x:c>
      <x:c r="I251" t="n">
        <x:v>0.9728</x:v>
      </x:c>
      <x:c r="J251" t="n">
        <x:v>4721.23</x:v>
      </x:c>
      <x:c r="K251" t="n">
        <x:v>806.85</x:v>
      </x:c>
      <x:c r="L251" t="n">
        <x:v>411.9</x:v>
      </x:c>
      <x:c r="M251" t="n">
        <x:v>322.69</x:v>
      </x:c>
      <x:c r="N251" t="n">
        <x:v>0</x:v>
      </x:c>
    </x:row>
    <x:row r="252">
      <x:c r="A252" t="str">
        <x:v>Rushaya Bridge</x:v>
      </x:c>
      <x:c r="B252" t="str">
        <x:v>B240</x:v>
      </x:c>
      <x:c r="C252" t="str">
        <x:v>C445_Link02</x:v>
      </x:c>
      <x:c r="D252" t="str">
        <x:v>C</x:v>
      </x:c>
      <x:c r="E252" t="str">
        <x:v>Southern</x:v>
      </x:c>
      <x:c r="F252" t="str">
        <x:v>Kabale</x:v>
      </x:c>
      <x:c r="G252" t="n">
        <x:v>6262.67</x:v>
      </x:c>
      <x:c r="H252" t="n">
        <x:v>0.000928</x:v>
      </x:c>
      <x:c r="I252" t="n">
        <x:v>0.9728</x:v>
      </x:c>
      <x:c r="J252" t="n">
        <x:v>4721.23</x:v>
      </x:c>
      <x:c r="K252" t="n">
        <x:v>806.85</x:v>
      </x:c>
      <x:c r="L252" t="n">
        <x:v>411.9</x:v>
      </x:c>
      <x:c r="M252" t="n">
        <x:v>322.69</x:v>
      </x:c>
      <x:c r="N252" t="n">
        <x:v>0</x:v>
      </x:c>
    </x:row>
    <x:row r="253">
      <x:c r="A253" t="str">
        <x:v>Mitano 02 Bridge</x:v>
      </x:c>
      <x:c r="B253" t="str">
        <x:v>B241</x:v>
      </x:c>
      <x:c r="C253" t="str">
        <x:v>C446_Link01</x:v>
      </x:c>
      <x:c r="D253" t="str">
        <x:v>C</x:v>
      </x:c>
      <x:c r="E253" t="str">
        <x:v>Southern</x:v>
      </x:c>
      <x:c r="F253" t="str">
        <x:v>Kabale</x:v>
      </x:c>
      <x:c r="G253" t="n">
        <x:v>6327.22</x:v>
      </x:c>
      <x:c r="H253" t="n">
        <x:v>0.000928</x:v>
      </x:c>
      <x:c r="I253" t="n">
        <x:v>0.9728</x:v>
      </x:c>
      <x:c r="J253" t="n">
        <x:v>4677.62</x:v>
      </x:c>
      <x:c r="K253" t="n">
        <x:v>870.43</x:v>
      </x:c>
      <x:c r="L253" t="n">
        <x:v>436.87</x:v>
      </x:c>
      <x:c r="M253" t="n">
        <x:v>342.3</x:v>
      </x:c>
      <x:c r="N253" t="n">
        <x:v>0</x:v>
      </x:c>
    </x:row>
    <x:row r="254">
      <x:c r="A254" t="str">
        <x:v>Rwamuganga Bridge</x:v>
      </x:c>
      <x:c r="B254" t="str">
        <x:v>B243</x:v>
      </x:c>
      <x:c r="C254" t="str">
        <x:v>C447_Link01</x:v>
      </x:c>
      <x:c r="D254" t="str">
        <x:v>C</x:v>
      </x:c>
      <x:c r="E254" t="str">
        <x:v>Southern</x:v>
      </x:c>
      <x:c r="F254" t="str">
        <x:v>Mbarara</x:v>
      </x:c>
      <x:c r="G254" t="n">
        <x:v>6325.68</x:v>
      </x:c>
      <x:c r="H254" t="n">
        <x:v>0.000928</x:v>
      </x:c>
      <x:c r="I254" t="n">
        <x:v>0.9728</x:v>
      </x:c>
      <x:c r="J254" t="n">
        <x:v>4886.87</x:v>
      </x:c>
      <x:c r="K254" t="n">
        <x:v>740.39</x:v>
      </x:c>
      <x:c r="L254" t="n">
        <x:v>390.18</x:v>
      </x:c>
      <x:c r="M254" t="n">
        <x:v>308.23</x:v>
      </x:c>
      <x:c r="N254" t="n">
        <x:v>0</x:v>
      </x:c>
    </x:row>
    <x:row r="255">
      <x:c r="A255" t="str">
        <x:v>Ndurumo Bridge</x:v>
      </x:c>
      <x:c r="B255" t="str">
        <x:v>B246</x:v>
      </x:c>
      <x:c r="C255" t="str">
        <x:v>C447_Link01</x:v>
      </x:c>
      <x:c r="D255" t="str">
        <x:v>C</x:v>
      </x:c>
      <x:c r="E255" t="str">
        <x:v>Southern</x:v>
      </x:c>
      <x:c r="F255" t="str">
        <x:v>Mbarara</x:v>
      </x:c>
      <x:c r="G255" t="n">
        <x:v>6325.68</x:v>
      </x:c>
      <x:c r="H255" t="n">
        <x:v>0.000928</x:v>
      </x:c>
      <x:c r="I255" t="n">
        <x:v>0.9728</x:v>
      </x:c>
      <x:c r="J255" t="n">
        <x:v>4886.87</x:v>
      </x:c>
      <x:c r="K255" t="n">
        <x:v>740.39</x:v>
      </x:c>
      <x:c r="L255" t="n">
        <x:v>390.18</x:v>
      </x:c>
      <x:c r="M255" t="n">
        <x:v>308.23</x:v>
      </x:c>
      <x:c r="N255" t="n">
        <x:v>0</x:v>
      </x:c>
    </x:row>
    <x:row r="256">
      <x:c r="A256" t="str">
        <x:v>Katizi Bridge</x:v>
      </x:c>
      <x:c r="B256" t="str">
        <x:v>B248</x:v>
      </x:c>
      <x:c r="C256" t="str">
        <x:v>C447_Link02</x:v>
      </x:c>
      <x:c r="D256" t="str">
        <x:v>C</x:v>
      </x:c>
      <x:c r="E256" t="str">
        <x:v>Southern</x:v>
      </x:c>
      <x:c r="F256" t="str">
        <x:v>Kabale</x:v>
      </x:c>
      <x:c r="G256" t="n">
        <x:v>6331.35</x:v>
      </x:c>
      <x:c r="H256" t="n">
        <x:v>0.000928</x:v>
      </x:c>
      <x:c r="I256" t="n">
        <x:v>0.9728</x:v>
      </x:c>
      <x:c r="J256" t="n">
        <x:v>4877.42</x:v>
      </x:c>
      <x:c r="K256" t="n">
        <x:v>749.44</x:v>
      </x:c>
      <x:c r="L256" t="n">
        <x:v>393.63</x:v>
      </x:c>
      <x:c r="M256" t="n">
        <x:v>310.85</x:v>
      </x:c>
      <x:c r="N256" t="n">
        <x:v>0</x:v>
      </x:c>
    </x:row>
    <x:row r="257">
      <x:c r="A257" t="str">
        <x:v>Kyambura Bridge</x:v>
      </x:c>
      <x:c r="B257" t="str">
        <x:v>B249</x:v>
      </x:c>
      <x:c r="C257" t="str">
        <x:v>C450_Link01</x:v>
      </x:c>
      <x:c r="D257" t="str">
        <x:v>C</x:v>
      </x:c>
      <x:c r="E257" t="str">
        <x:v>Southern</x:v>
      </x:c>
      <x:c r="F257" t="str">
        <x:v>Mbarara</x:v>
      </x:c>
      <x:c r="G257" t="n">
        <x:v>5001.09</x:v>
      </x:c>
      <x:c r="H257" t="n">
        <x:v>0.000928</x:v>
      </x:c>
      <x:c r="I257" t="n">
        <x:v>0.9728</x:v>
      </x:c>
      <x:c r="J257" t="n">
        <x:v>3573.3</x:v>
      </x:c>
      <x:c r="K257" t="n">
        <x:v>796.77</x:v>
      </x:c>
      <x:c r="L257" t="n">
        <x:v>366.7</x:v>
      </x:c>
      <x:c r="M257" t="n">
        <x:v>264.33</x:v>
      </x:c>
      <x:c r="N257" t="n">
        <x:v>0</x:v>
      </x:c>
    </x:row>
    <x:row r="258">
      <x:c r="A258" t="str">
        <x:v>Enshya Bridge</x:v>
      </x:c>
      <x:c r="B258" t="str">
        <x:v>B251</x:v>
      </x:c>
      <x:c r="C258" t="str">
        <x:v>C519_Link01</x:v>
      </x:c>
      <x:c r="D258" t="str">
        <x:v>C</x:v>
      </x:c>
      <x:c r="E258" t="str">
        <x:v>Southern</x:v>
      </x:c>
      <x:c r="F258" t="str">
        <x:v>Kasese</x:v>
      </x:c>
      <x:c r="G258" t="n">
        <x:v>5619.9</x:v>
      </x:c>
      <x:c r="H258" t="n">
        <x:v>0.000928</x:v>
      </x:c>
      <x:c r="I258" t="n">
        <x:v>0.9728</x:v>
      </x:c>
      <x:c r="J258" t="n">
        <x:v>3843.58</x:v>
      </x:c>
      <x:c r="K258" t="n">
        <x:v>983.99</x:v>
      </x:c>
      <x:c r="L258" t="n">
        <x:v>455.12</x:v>
      </x:c>
      <x:c r="M258" t="n">
        <x:v>337.21</x:v>
      </x:c>
      <x:c r="N258" t="n">
        <x:v>0</x:v>
      </x:c>
    </x:row>
    <x:row r="259">
      <x:c r="A259" t="str">
        <x:v>Rubiriha</x:v>
      </x:c>
      <x:c r="B259" t="str">
        <x:v>B252</x:v>
      </x:c>
      <x:c r="C259" t="str">
        <x:v>C520_Link02</x:v>
      </x:c>
      <x:c r="D259" t="str">
        <x:v>C</x:v>
      </x:c>
      <x:c r="E259" t="str">
        <x:v>Southern</x:v>
      </x:c>
      <x:c r="F259" t="str">
        <x:v>Kasese</x:v>
      </x:c>
      <x:c r="G259" t="n">
        <x:v>5991.92</x:v>
      </x:c>
      <x:c r="H259" t="n">
        <x:v>0.000928</x:v>
      </x:c>
      <x:c r="I259" t="n">
        <x:v>0.9728</x:v>
      </x:c>
      <x:c r="J259" t="n">
        <x:v>4209.62</x:v>
      </x:c>
      <x:c r="K259" t="n">
        <x:v>967.05</x:v>
      </x:c>
      <x:c r="L259" t="n">
        <x:v>461.78</x:v>
      </x:c>
      <x:c r="M259" t="n">
        <x:v>353.48</x:v>
      </x:c>
      <x:c r="N259" t="n">
        <x:v>0</x:v>
      </x:c>
    </x:row>
    <x:row r="260">
      <x:c r="A260" t="str">
        <x:v>Kabira Bridge</x:v>
      </x:c>
      <x:c r="B260" t="str">
        <x:v>B253</x:v>
      </x:c>
      <x:c r="C260" t="str">
        <x:v>C520_Link02</x:v>
      </x:c>
      <x:c r="D260" t="str">
        <x:v>C</x:v>
      </x:c>
      <x:c r="E260" t="str">
        <x:v>Southern</x:v>
      </x:c>
      <x:c r="F260" t="str">
        <x:v>Kasese</x:v>
      </x:c>
      <x:c r="G260" t="n">
        <x:v>6010.88</x:v>
      </x:c>
      <x:c r="H260" t="n">
        <x:v>0.000928</x:v>
      </x:c>
      <x:c r="I260" t="n">
        <x:v>0.9728</x:v>
      </x:c>
      <x:c r="J260" t="n">
        <x:v>4217.75</x:v>
      </x:c>
      <x:c r="K260" t="n">
        <x:v>972.82</x:v>
      </x:c>
      <x:c r="L260" t="n">
        <x:v>464.51</x:v>
      </x:c>
      <x:c r="M260" t="n">
        <x:v>355.8</x:v>
      </x:c>
      <x:c r="N260" t="n">
        <x:v>0</x:v>
      </x:c>
    </x:row>
    <x:row r="261">
      <x:c r="A261" t="str">
        <x:v>Ruzairwe</x:v>
      </x:c>
      <x:c r="B261" t="str">
        <x:v>B255</x:v>
      </x:c>
      <x:c r="C261" t="str">
        <x:v>C553_Link01</x:v>
      </x:c>
      <x:c r="D261" t="str">
        <x:v>C</x:v>
      </x:c>
      <x:c r="E261" t="str">
        <x:v>Western</x:v>
      </x:c>
      <x:c r="F261" t="str">
        <x:v>Hoima</x:v>
      </x:c>
      <x:c r="G261" t="n">
        <x:v>7129.5</x:v>
      </x:c>
      <x:c r="H261" t="n">
        <x:v>0.000928</x:v>
      </x:c>
      <x:c r="I261" t="n">
        <x:v>0.9388</x:v>
      </x:c>
      <x:c r="J261" t="n">
        <x:v>4868.93</x:v>
      </x:c>
      <x:c r="K261" t="n">
        <x:v>1205.08</x:v>
      </x:c>
      <x:c r="L261" t="n">
        <x:v>591.15</x:v>
      </x:c>
      <x:c r="M261" t="n">
        <x:v>464.33</x:v>
      </x:c>
      <x:c r="N261" t="n">
        <x:v>0</x:v>
      </x:c>
    </x:row>
    <x:row r="262">
      <x:c r="A262" t="str">
        <x:v>Perepa</x:v>
      </x:c>
      <x:c r="B262" t="str">
        <x:v>B256</x:v>
      </x:c>
      <x:c r="C262" t="str">
        <x:v>C556_Link01</x:v>
      </x:c>
      <x:c r="D262" t="str">
        <x:v>C</x:v>
      </x:c>
      <x:c r="E262" t="str">
        <x:v>Western</x:v>
      </x:c>
      <x:c r="F262" t="str">
        <x:v>Fort Portal</x:v>
      </x:c>
      <x:c r="G262" t="n">
        <x:v>5366.09</x:v>
      </x:c>
      <x:c r="H262" t="n">
        <x:v>0.000928</x:v>
      </x:c>
      <x:c r="I262" t="n">
        <x:v>0.9388</x:v>
      </x:c>
      <x:c r="J262" t="n">
        <x:v>3532.94</x:v>
      </x:c>
      <x:c r="K262" t="n">
        <x:v>1045.44</x:v>
      </x:c>
      <x:c r="L262" t="n">
        <x:v>463.36</x:v>
      </x:c>
      <x:c r="M262" t="n">
        <x:v>324.35</x:v>
      </x:c>
      <x:c r="N262" t="n">
        <x:v>0</x:v>
      </x:c>
    </x:row>
    <x:row r="263">
      <x:c r="A263" t="str">
        <x:v>Mahoma</x:v>
      </x:c>
      <x:c r="B263" t="str">
        <x:v>B258</x:v>
      </x:c>
      <x:c r="C263" t="str">
        <x:v>C556_Link01</x:v>
      </x:c>
      <x:c r="D263" t="str">
        <x:v>C</x:v>
      </x:c>
      <x:c r="E263" t="str">
        <x:v>Western</x:v>
      </x:c>
      <x:c r="F263" t="str">
        <x:v>Fort Portal</x:v>
      </x:c>
      <x:c r="G263" t="n">
        <x:v>5351.21</x:v>
      </x:c>
      <x:c r="H263" t="n">
        <x:v>0.000928</x:v>
      </x:c>
      <x:c r="I263" t="n">
        <x:v>0.9388</x:v>
      </x:c>
      <x:c r="J263" t="n">
        <x:v>3510.65</x:v>
      </x:c>
      <x:c r="K263" t="n">
        <x:v>1051.93</x:v>
      </x:c>
      <x:c r="L263" t="n">
        <x:v>464.81</x:v>
      </x:c>
      <x:c r="M263" t="n">
        <x:v>323.82</x:v>
      </x:c>
      <x:c r="N263" t="n">
        <x:v>0</x:v>
      </x:c>
    </x:row>
    <x:row r="264">
      <x:c r="A264" t="str">
        <x:v>Dunga</x:v>
      </x:c>
      <x:c r="B264" t="str">
        <x:v>B259</x:v>
      </x:c>
      <x:c r="C264" t="str">
        <x:v>C556_Link01</x:v>
      </x:c>
      <x:c r="D264" t="str">
        <x:v>C</x:v>
      </x:c>
      <x:c r="E264" t="str">
        <x:v>Western</x:v>
      </x:c>
      <x:c r="F264" t="str">
        <x:v>Fort Portal</x:v>
      </x:c>
      <x:c r="G264" t="n">
        <x:v>5356.09</x:v>
      </x:c>
      <x:c r="H264" t="n">
        <x:v>0.000928</x:v>
      </x:c>
      <x:c r="I264" t="n">
        <x:v>0.9388</x:v>
      </x:c>
      <x:c r="J264" t="n">
        <x:v>3509.27</x:v>
      </x:c>
      <x:c r="K264" t="n">
        <x:v>1055.97</x:v>
      </x:c>
      <x:c r="L264" t="n">
        <x:v>466.31</x:v>
      </x:c>
      <x:c r="M264" t="n">
        <x:v>324.53</x:v>
      </x:c>
      <x:c r="N264" t="n">
        <x:v>0</x:v>
      </x:c>
    </x:row>
    <x:row r="265">
      <x:c r="A265" t="str">
        <x:v>Nyabuswa</x:v>
      </x:c>
      <x:c r="B265" t="str">
        <x:v>B260</x:v>
      </x:c>
      <x:c r="C265" t="str">
        <x:v>C556_Link01</x:v>
      </x:c>
      <x:c r="D265" t="str">
        <x:v>C</x:v>
      </x:c>
      <x:c r="E265" t="str">
        <x:v>Western</x:v>
      </x:c>
      <x:c r="F265" t="str">
        <x:v>Fort Portal</x:v>
      </x:c>
      <x:c r="G265" t="n">
        <x:v>5356.27</x:v>
      </x:c>
      <x:c r="H265" t="n">
        <x:v>0.000928</x:v>
      </x:c>
      <x:c r="I265" t="n">
        <x:v>0.9388</x:v>
      </x:c>
      <x:c r="J265" t="n">
        <x:v>3507.3</x:v>
      </x:c>
      <x:c r="K265" t="n">
        <x:v>1057.48</x:v>
      </x:c>
      <x:c r="L265" t="n">
        <x:v>466.81</x:v>
      </x:c>
      <x:c r="M265" t="n">
        <x:v>324.69</x:v>
      </x:c>
      <x:c r="N265" t="n">
        <x:v>0</x:v>
      </x:c>
    </x:row>
    <x:row r="266">
      <x:c r="A266" t="str">
        <x:v>Mpanga</x:v>
      </x:c>
      <x:c r="B266" t="str">
        <x:v>B261</x:v>
      </x:c>
      <x:c r="C266" t="str">
        <x:v>C556_Link01</x:v>
      </x:c>
      <x:c r="D266" t="str">
        <x:v>C</x:v>
      </x:c>
      <x:c r="E266" t="str">
        <x:v>Western</x:v>
      </x:c>
      <x:c r="F266" t="str">
        <x:v>Fort Portal</x:v>
      </x:c>
      <x:c r="G266" t="n">
        <x:v>5315.01</x:v>
      </x:c>
      <x:c r="H266" t="n">
        <x:v>0.000928</x:v>
      </x:c>
      <x:c r="I266" t="n">
        <x:v>0.9388</x:v>
      </x:c>
      <x:c r="J266" t="n">
        <x:v>3463.6</x:v>
      </x:c>
      <x:c r="K266" t="n">
        <x:v>1062.52</x:v>
      </x:c>
      <x:c r="L266" t="n">
        <x:v>466.73</x:v>
      </x:c>
      <x:c r="M266" t="n">
        <x:v>322.15</x:v>
      </x:c>
      <x:c r="N266" t="n">
        <x:v>0</x:v>
      </x:c>
    </x:row>
    <x:row r="267">
      <x:c r="A267" t="str">
        <x:v>Satisfactory</x:v>
      </x:c>
      <x:c r="B267" t="str">
        <x:v>B263</x:v>
      </x:c>
      <x:c r="C267" t="str">
        <x:v>C575_Link01</x:v>
      </x:c>
      <x:c r="D267" t="str">
        <x:v>C</x:v>
      </x:c>
      <x:c r="E267" t="str">
        <x:v>Western</x:v>
      </x:c>
      <x:c r="F267" t="str">
        <x:v>Fort Portal</x:v>
      </x:c>
      <x:c r="G267" t="n">
        <x:v>5663.21</x:v>
      </x:c>
      <x:c r="H267" t="n">
        <x:v>0.000928</x:v>
      </x:c>
      <x:c r="I267" t="n">
        <x:v>0.9388</x:v>
      </x:c>
      <x:c r="J267" t="n">
        <x:v>3718.53</x:v>
      </x:c>
      <x:c r="K267" t="n">
        <x:v>1098.21</x:v>
      </x:c>
      <x:c r="L267" t="n">
        <x:v>493.8</x:v>
      </x:c>
      <x:c r="M267" t="n">
        <x:v>352.68</x:v>
      </x:c>
      <x:c r="N267" t="n">
        <x:v>0</x:v>
      </x:c>
    </x:row>
    <x:row r="268">
      <x:c r="A268" t="str">
        <x:v>Murungu</x:v>
      </x:c>
      <x:c r="B268" t="str">
        <x:v>B264</x:v>
      </x:c>
      <x:c r="C268" t="str">
        <x:v>C677_Link02</x:v>
      </x:c>
      <x:c r="D268" t="str">
        <x:v>C</x:v>
      </x:c>
      <x:c r="E268" t="str">
        <x:v>Northern</x:v>
      </x:c>
      <x:c r="F268" t="str">
        <x:v>Kitgum</x:v>
      </x:c>
      <x:c r="G268" t="n">
        <x:v>6418.78</x:v>
      </x:c>
      <x:c r="H268" t="n">
        <x:v>0.000928</x:v>
      </x:c>
      <x:c r="I268" t="n">
        <x:v>0.9376</x:v>
      </x:c>
      <x:c r="J268" t="n">
        <x:v>4368.16</x:v>
      </x:c>
      <x:c r="K268" t="n">
        <x:v>1103.25</x:v>
      </x:c>
      <x:c r="L268" t="n">
        <x:v>513.75</x:v>
      </x:c>
      <x:c r="M268" t="n">
        <x:v>433.62</x:v>
      </x:c>
      <x:c r="N268" t="n">
        <x:v>0</x:v>
      </x:c>
    </x:row>
    <x:row r="269">
      <x:c r="A269" t="str">
        <x:v>Nguse</x:v>
      </x:c>
      <x:c r="B269" t="str">
        <x:v>B265</x:v>
      </x:c>
      <x:c r="C269" t="str">
        <x:v>C677_Link02</x:v>
      </x:c>
      <x:c r="D269" t="str">
        <x:v>C</x:v>
      </x:c>
      <x:c r="E269" t="str">
        <x:v>Northern</x:v>
      </x:c>
      <x:c r="F269" t="str">
        <x:v>Kitgum</x:v>
      </x:c>
      <x:c r="G269" t="n">
        <x:v>6367.97</x:v>
      </x:c>
      <x:c r="H269" t="n">
        <x:v>0.000928</x:v>
      </x:c>
      <x:c r="I269" t="n">
        <x:v>0.9376</x:v>
      </x:c>
      <x:c r="J269" t="n">
        <x:v>4336.06</x:v>
      </x:c>
      <x:c r="K269" t="n">
        <x:v>1091.11</x:v>
      </x:c>
      <x:c r="L269" t="n">
        <x:v>509.84</x:v>
      </x:c>
      <x:c r="M269" t="n">
        <x:v>430.96</x:v>
      </x:c>
      <x:c r="N269" t="n">
        <x:v>0</x:v>
      </x:c>
    </x:row>
    <x:row r="270">
      <x:c r="A270" t="str">
        <x:v>Mpanga</x:v>
      </x:c>
      <x:c r="B270" t="str">
        <x:v>B266</x:v>
      </x:c>
      <x:c r="C270" t="str">
        <x:v>C677_Link02</x:v>
      </x:c>
      <x:c r="D270" t="str">
        <x:v>C</x:v>
      </x:c>
      <x:c r="E270" t="str">
        <x:v>Northern</x:v>
      </x:c>
      <x:c r="F270" t="str">
        <x:v>Kitgum</x:v>
      </x:c>
      <x:c r="G270" t="n">
        <x:v>6385.6</x:v>
      </x:c>
      <x:c r="H270" t="n">
        <x:v>0.000928</x:v>
      </x:c>
      <x:c r="I270" t="n">
        <x:v>0.9376</x:v>
      </x:c>
      <x:c r="J270" t="n">
        <x:v>4347.07</x:v>
      </x:c>
      <x:c r="K270" t="n">
        <x:v>1095.69</x:v>
      </x:c>
      <x:c r="L270" t="n">
        <x:v>511.12</x:v>
      </x:c>
      <x:c r="M270" t="n">
        <x:v>431.72</x:v>
      </x:c>
      <x:c r="N270" t="n">
        <x:v>0</x:v>
      </x:c>
    </x:row>
    <x:row r="271">
      <x:c r="A271" t="str">
        <x:v>Mpanga</x:v>
      </x:c>
      <x:c r="B271" t="str">
        <x:v>B267</x:v>
      </x:c>
      <x:c r="C271" t="str">
        <x:v>C963_Link02</x:v>
      </x:c>
      <x:c r="D271" t="str">
        <x:v>C</x:v>
      </x:c>
      <x:c r="E271" t="str">
        <x:v>North Eastern</x:v>
      </x:c>
      <x:c r="F271" t="str">
        <x:v>Moroto</x:v>
      </x:c>
      <x:c r="G271" t="n">
        <x:v>7434.62</x:v>
      </x:c>
      <x:c r="H271" t="n">
        <x:v>0.000928</x:v>
      </x:c>
      <x:c r="I271" t="n">
        <x:v>0.9376</x:v>
      </x:c>
      <x:c r="J271" t="n">
        <x:v>5002.54</x:v>
      </x:c>
      <x:c r="K271" t="n">
        <x:v>1319.89</x:v>
      </x:c>
      <x:c r="L271" t="n">
        <x:v>603.24</x:v>
      </x:c>
      <x:c r="M271" t="n">
        <x:v>508.95</x:v>
      </x:c>
      <x:c r="N271" t="n">
        <x:v>0</x:v>
      </x:c>
    </x:row>
    <x:row r="272">
      <x:c r="A272" t="str">
        <x:v>Mpanga Bridge</x:v>
      </x:c>
      <x:c r="B272" t="str">
        <x:v>B268</x:v>
      </x:c>
      <x:c r="C272" t="str">
        <x:v>C963_Link03</x:v>
      </x:c>
      <x:c r="D272" t="str">
        <x:v>C</x:v>
      </x:c>
      <x:c r="E272" t="str">
        <x:v>North Eastern</x:v>
      </x:c>
      <x:c r="F272" t="str">
        <x:v>Moroto</x:v>
      </x:c>
      <x:c r="G272" t="n">
        <x:v>7591.76</x:v>
      </x:c>
      <x:c r="H272" t="n">
        <x:v>0.000928</x:v>
      </x:c>
      <x:c r="I272" t="n">
        <x:v>0.9376</x:v>
      </x:c>
      <x:c r="J272" t="n">
        <x:v>5073.59</x:v>
      </x:c>
      <x:c r="K272" t="n">
        <x:v>1374.02</x:v>
      </x:c>
      <x:c r="L272" t="n">
        <x:v>620.31</x:v>
      </x:c>
      <x:c r="M272" t="n">
        <x:v>523.83</x:v>
      </x:c>
      <x:c r="N272" t="n">
        <x:v>0</x:v>
      </x:c>
    </x:row>
    <x:row r="273">
      <x:c r="A273" t="str">
        <x:v>Kisenge</x:v>
      </x:c>
      <x:c r="B273" t="str">
        <x:v>B269</x:v>
      </x:c>
      <x:c r="C273" t="str">
        <x:v>C964_Link02</x:v>
      </x:c>
      <x:c r="D273" t="str">
        <x:v>C</x:v>
      </x:c>
      <x:c r="E273" t="str">
        <x:v>North Eastern</x:v>
      </x:c>
      <x:c r="F273" t="str">
        <x:v>Soroti</x:v>
      </x:c>
      <x:c r="G273" t="n">
        <x:v>6593.9</x:v>
      </x:c>
      <x:c r="H273" t="n">
        <x:v>0.000928</x:v>
      </x:c>
      <x:c r="I273" t="n">
        <x:v>0.9376</x:v>
      </x:c>
      <x:c r="J273" t="n">
        <x:v>4368.36</x:v>
      </x:c>
      <x:c r="K273" t="n">
        <x:v>1243.52</x:v>
      </x:c>
      <x:c r="L273" t="n">
        <x:v>536.98</x:v>
      </x:c>
      <x:c r="M273" t="n">
        <x:v>445.04</x:v>
      </x:c>
      <x:c r="N273" t="n">
        <x:v>0</x:v>
      </x:c>
    </x:row>
    <x:row r="274">
      <x:c r="A274" t="str">
        <x:v>Wambabya</x:v>
      </x:c>
      <x:c r="B274" t="str">
        <x:v>B270</x:v>
      </x:c>
      <x:c r="C274" t="str">
        <x:v>C967_Link01</x:v>
      </x:c>
      <x:c r="D274" t="str">
        <x:v>C</x:v>
      </x:c>
      <x:c r="E274" t="str">
        <x:v>North Eastern</x:v>
      </x:c>
      <x:c r="F274" t="str">
        <x:v>Moroto</x:v>
      </x:c>
      <x:c r="G274" t="n">
        <x:v>7189.1</x:v>
      </x:c>
      <x:c r="H274" t="n">
        <x:v>0.000928</x:v>
      </x:c>
      <x:c r="I274" t="n">
        <x:v>0.9376</x:v>
      </x:c>
      <x:c r="J274" t="n">
        <x:v>4840.09</x:v>
      </x:c>
      <x:c r="K274" t="n">
        <x:v>1277.55</x:v>
      </x:c>
      <x:c r="L274" t="n">
        <x:v>581.56</x:v>
      </x:c>
      <x:c r="M274" t="n">
        <x:v>489.89</x:v>
      </x:c>
      <x:c r="N274" t="n">
        <x:v>0</x:v>
      </x:c>
    </x:row>
    <x:row r="275">
      <x:c r="A275" t="str">
        <x:v>Wambabya</x:v>
      </x:c>
      <x:c r="B275" t="str">
        <x:v>B271</x:v>
      </x:c>
      <x:c r="C275" t="str">
        <x:v>C594_Link01</x:v>
      </x:c>
      <x:c r="D275" t="str">
        <x:v>C</x:v>
      </x:c>
      <x:c r="E275" t="str">
        <x:v>Western</x:v>
      </x:c>
      <x:c r="F275" t="str">
        <x:v>Hoima</x:v>
      </x:c>
      <x:c r="G275" t="n">
        <x:v>7280.37</x:v>
      </x:c>
      <x:c r="H275" t="n">
        <x:v>0.000928</x:v>
      </x:c>
      <x:c r="I275" t="n">
        <x:v>0.9388</x:v>
      </x:c>
      <x:c r="J275" t="n">
        <x:v>4996.03</x:v>
      </x:c>
      <x:c r="K275" t="n">
        <x:v>1201.7</x:v>
      </x:c>
      <x:c r="L275" t="n">
        <x:v>598.74</x:v>
      </x:c>
      <x:c r="M275" t="n">
        <x:v>483.9</x:v>
      </x:c>
      <x:c r="N275" t="n">
        <x:v>0</x:v>
      </x:c>
    </x:row>
    <x:row r="276">
      <x:c r="A276" t="str">
        <x:v>Wambabya</x:v>
      </x:c>
      <x:c r="B276" t="str">
        <x:v>B272</x:v>
      </x:c>
      <x:c r="C276" t="str">
        <x:v>C595_Link01</x:v>
      </x:c>
      <x:c r="D276" t="str">
        <x:v>C</x:v>
      </x:c>
      <x:c r="E276" t="str">
        <x:v>Western</x:v>
      </x:c>
      <x:c r="F276" t="str">
        <x:v>Hoima</x:v>
      </x:c>
      <x:c r="G276" t="n">
        <x:v>7376.28</x:v>
      </x:c>
      <x:c r="H276" t="n">
        <x:v>0.000928</x:v>
      </x:c>
      <x:c r="I276" t="n">
        <x:v>0.9388</x:v>
      </x:c>
      <x:c r="J276" t="n">
        <x:v>5068.9</x:v>
      </x:c>
      <x:c r="K276" t="n">
        <x:v>1211.84</x:v>
      </x:c>
      <x:c r="L276" t="n">
        <x:v>605.29</x:v>
      </x:c>
      <x:c r="M276" t="n">
        <x:v>490.25</x:v>
      </x:c>
      <x:c r="N276" t="n">
        <x:v>0</x:v>
      </x:c>
    </x:row>
    <x:row r="277">
      <x:c r="A277" t="str">
        <x:v>Wambabya</x:v>
      </x:c>
      <x:c r="B277" t="str">
        <x:v>B274</x:v>
      </x:c>
      <x:c r="C277" t="str">
        <x:v>C601_Link01</x:v>
      </x:c>
      <x:c r="D277" t="str">
        <x:v>C</x:v>
      </x:c>
      <x:c r="E277" t="str">
        <x:v>Western</x:v>
      </x:c>
      <x:c r="F277" t="str">
        <x:v>Hoima</x:v>
      </x:c>
      <x:c r="G277" t="n">
        <x:v>7050.55</x:v>
      </x:c>
      <x:c r="H277" t="n">
        <x:v>0.000928</x:v>
      </x:c>
      <x:c r="I277" t="n">
        <x:v>0.9388</x:v>
      </x:c>
      <x:c r="J277" t="n">
        <x:v>4835.03</x:v>
      </x:c>
      <x:c r="K277" t="n">
        <x:v>1156.83</x:v>
      </x:c>
      <x:c r="L277" t="n">
        <x:v>580.4</x:v>
      </x:c>
      <x:c r="M277" t="n">
        <x:v>478.29</x:v>
      </x:c>
      <x:c r="N277" t="n">
        <x:v>0</x:v>
      </x:c>
    </x:row>
    <x:row r="278">
      <x:c r="A278" t="str">
        <x:v>Wambabya</x:v>
      </x:c>
      <x:c r="B278" t="str">
        <x:v>B275</x:v>
      </x:c>
      <x:c r="C278" t="str">
        <x:v>M3_Link01</x:v>
      </x:c>
      <x:c r="D278" t="str">
        <x:v>M</x:v>
      </x:c>
      <x:c r="E278" t="str">
        <x:v>Central</x:v>
      </x:c>
      <x:c r="F278" t="str">
        <x:v>Kampala</x:v>
      </x:c>
      <x:c r="G278" t="n">
        <x:v>20711.35</x:v>
      </x:c>
      <x:c r="H278" t="n">
        <x:v>0.001594</x:v>
      </x:c>
      <x:c r="I278" t="n">
        <x:v>0.9781</x:v>
      </x:c>
      <x:c r="J278" t="n">
        <x:v>13575.36</x:v>
      </x:c>
      <x:c r="K278" t="n">
        <x:v>4351.49</x:v>
      </x:c>
      <x:c r="L278" t="n">
        <x:v>1695.25</x:v>
      </x:c>
      <x:c r="M278" t="n">
        <x:v>1089.25</x:v>
      </x:c>
      <x:c r="N278" t="n">
        <x:v>0</x:v>
      </x:c>
    </x:row>
    <x:row r="279">
      <x:c r="A279" t="str">
        <x:v>Kanangalo</x:v>
      </x:c>
      <x:c r="B279" t="str">
        <x:v>B276</x:v>
      </x:c>
      <x:c r="C279" t="str">
        <x:v>C627_Link02</x:v>
      </x:c>
      <x:c r="D279" t="str">
        <x:v>C</x:v>
      </x:c>
      <x:c r="E279" t="str">
        <x:v>Western</x:v>
      </x:c>
      <x:c r="F279" t="str">
        <x:v>Hoima</x:v>
      </x:c>
      <x:c r="G279" t="n">
        <x:v>8215.15</x:v>
      </x:c>
      <x:c r="H279" t="n">
        <x:v>0.000928</x:v>
      </x:c>
      <x:c r="I279" t="n">
        <x:v>0.9388</x:v>
      </x:c>
      <x:c r="J279" t="n">
        <x:v>5689.85</x:v>
      </x:c>
      <x:c r="K279" t="n">
        <x:v>1323.42</x:v>
      </x:c>
      <x:c r="L279" t="n">
        <x:v>671.11</x:v>
      </x:c>
      <x:c r="M279" t="n">
        <x:v>530.77</x:v>
      </x:c>
      <x:c r="N279" t="n">
        <x:v>0</x:v>
      </x:c>
    </x:row>
    <x:row r="280">
      <x:c r="A280" t="str">
        <x:v>Okole Bridge 1</x:v>
      </x:c>
      <x:c r="B280" t="str">
        <x:v>B277</x:v>
      </x:c>
      <x:c r="C280" t="str">
        <x:v>M3_Link01</x:v>
      </x:c>
      <x:c r="D280" t="str">
        <x:v>M</x:v>
      </x:c>
      <x:c r="E280" t="str">
        <x:v>Central</x:v>
      </x:c>
      <x:c r="F280" t="str">
        <x:v>Kampala</x:v>
      </x:c>
      <x:c r="G280" t="n">
        <x:v>15629.51</x:v>
      </x:c>
      <x:c r="H280" t="n">
        <x:v>0.001594</x:v>
      </x:c>
      <x:c r="I280" t="n">
        <x:v>0.9781</x:v>
      </x:c>
      <x:c r="J280" t="n">
        <x:v>10492.36</x:v>
      </x:c>
      <x:c r="K280" t="n">
        <x:v>3100.73</x:v>
      </x:c>
      <x:c r="L280" t="n">
        <x:v>1237.33</x:v>
      </x:c>
      <x:c r="M280" t="n">
        <x:v>799.09</x:v>
      </x:c>
      <x:c r="N280" t="n">
        <x:v>0</x:v>
      </x:c>
    </x:row>
    <x:row r="281">
      <x:c r="A281" t="str">
        <x:v>Walabam</x:v>
      </x:c>
      <x:c r="B281" t="str">
        <x:v>B278</x:v>
      </x:c>
      <x:c r="C281" t="str">
        <x:v>M3_Link01</x:v>
      </x:c>
      <x:c r="D281" t="str">
        <x:v>M</x:v>
      </x:c>
      <x:c r="E281" t="str">
        <x:v>Central</x:v>
      </x:c>
      <x:c r="F281" t="str">
        <x:v>Kampala</x:v>
      </x:c>
      <x:c r="G281" t="n">
        <x:v>20711.35</x:v>
      </x:c>
      <x:c r="H281" t="n">
        <x:v>0.001594</x:v>
      </x:c>
      <x:c r="I281" t="n">
        <x:v>0.9781</x:v>
      </x:c>
      <x:c r="J281" t="n">
        <x:v>14329.27</x:v>
      </x:c>
      <x:c r="K281" t="n">
        <x:v>3800.97</x:v>
      </x:c>
      <x:c r="L281" t="n">
        <x:v>1564.81</x:v>
      </x:c>
      <x:c r="M281" t="n">
        <x:v>1016.3</x:v>
      </x:c>
      <x:c r="N281" t="n">
        <x:v>0</x:v>
      </x:c>
    </x:row>
    <x:row r="282">
      <x:c r="A282" t="str">
        <x:v>Tochi Bridge</x:v>
      </x:c>
      <x:c r="B282" t="str">
        <x:v>B279</x:v>
      </x:c>
      <x:c r="C282" t="str">
        <x:v>M3_Link01</x:v>
      </x:c>
      <x:c r="D282" t="str">
        <x:v>M</x:v>
      </x:c>
      <x:c r="E282" t="str">
        <x:v>Central</x:v>
      </x:c>
      <x:c r="F282" t="str">
        <x:v>Kampala</x:v>
      </x:c>
      <x:c r="G282" t="n">
        <x:v>20711.35</x:v>
      </x:c>
      <x:c r="H282" t="n">
        <x:v>0.001594</x:v>
      </x:c>
      <x:c r="I282" t="n">
        <x:v>0.9781</x:v>
      </x:c>
      <x:c r="J282" t="n">
        <x:v>18468.15</x:v>
      </x:c>
      <x:c r="K282" t="n">
        <x:v>1035.57</x:v>
      </x:c>
      <x:c r="L282" t="n">
        <x:v>773.64</x:v>
      </x:c>
      <x:c r="M282" t="n">
        <x:v>433.98</x:v>
      </x:c>
      <x:c r="N282" t="n">
        <x:v>0</x:v>
      </x:c>
    </x:row>
    <x:row r="283">
      <x:c r="A283" t="str">
        <x:v>Eyama Bridge</x:v>
      </x:c>
      <x:c r="B283" t="str">
        <x:v>B281</x:v>
      </x:c>
      <x:c r="C283" t="str">
        <x:v>M3_Link01</x:v>
      </x:c>
      <x:c r="D283" t="str">
        <x:v>M</x:v>
      </x:c>
      <x:c r="E283" t="str">
        <x:v>Central</x:v>
      </x:c>
      <x:c r="F283" t="str">
        <x:v>Kampala</x:v>
      </x:c>
      <x:c r="G283" t="n">
        <x:v>19246.89</x:v>
      </x:c>
      <x:c r="H283" t="n">
        <x:v>0.001594</x:v>
      </x:c>
      <x:c r="I283" t="n">
        <x:v>0.9781</x:v>
      </x:c>
      <x:c r="J283" t="n">
        <x:v>16795.69</x:v>
      </x:c>
      <x:c r="K283" t="n">
        <x:v>1202.68</x:v>
      </x:c>
      <x:c r="L283" t="n">
        <x:v>790.24</x:v>
      </x:c>
      <x:c r="M283" t="n">
        <x:v>458.27</x:v>
      </x:c>
      <x:c r="N283" t="n">
        <x:v>0</x:v>
      </x:c>
    </x:row>
    <x:row r="284">
      <x:c r="A284" t="str">
        <x:v>Enget Bridge</x:v>
      </x:c>
      <x:c r="B284" t="str">
        <x:v>B282</x:v>
      </x:c>
      <x:c r="C284" t="str">
        <x:v>C671_Link01</x:v>
      </x:c>
      <x:c r="D284" t="str">
        <x:v>C</x:v>
      </x:c>
      <x:c r="E284" t="str">
        <x:v>Northern</x:v>
      </x:c>
      <x:c r="F284" t="str">
        <x:v>Lira</x:v>
      </x:c>
      <x:c r="G284" t="n">
        <x:v>6849.09</x:v>
      </x:c>
      <x:c r="H284" t="n">
        <x:v>0.000928</x:v>
      </x:c>
      <x:c r="I284" t="n">
        <x:v>0.9376</x:v>
      </x:c>
      <x:c r="J284" t="n">
        <x:v>4660.23</x:v>
      </x:c>
      <x:c r="K284" t="n">
        <x:v>1186.5</x:v>
      </x:c>
      <x:c r="L284" t="n">
        <x:v>543.18</x:v>
      </x:c>
      <x:c r="M284" t="n">
        <x:v>459.18</x:v>
      </x:c>
      <x:c r="N284" t="n">
        <x:v>0</x:v>
      </x:c>
    </x:row>
    <x:row r="285">
      <x:c r="A285" t="str">
        <x:v>Akokowo Bridge</x:v>
      </x:c>
      <x:c r="B285" t="str">
        <x:v>B283</x:v>
      </x:c>
      <x:c r="C285" t="str">
        <x:v>C671_Link01</x:v>
      </x:c>
      <x:c r="D285" t="str">
        <x:v>C</x:v>
      </x:c>
      <x:c r="E285" t="str">
        <x:v>Northern</x:v>
      </x:c>
      <x:c r="F285" t="str">
        <x:v>Lira</x:v>
      </x:c>
      <x:c r="G285" t="n">
        <x:v>6772.91</x:v>
      </x:c>
      <x:c r="H285" t="n">
        <x:v>0.000928</x:v>
      </x:c>
      <x:c r="I285" t="n">
        <x:v>0.9376</x:v>
      </x:c>
      <x:c r="J285" t="n">
        <x:v>4607.23</x:v>
      </x:c>
      <x:c r="K285" t="n">
        <x:v>1175.15</x:v>
      </x:c>
      <x:c r="L285" t="n">
        <x:v>537.1</x:v>
      </x:c>
      <x:c r="M285" t="n">
        <x:v>453.42</x:v>
      </x:c>
      <x:c r="N285" t="n">
        <x:v>0</x:v>
      </x:c>
    </x:row>
    <x:row r="286">
      <x:c r="A286" t="str">
        <x:v>Enget Bridge</x:v>
      </x:c>
      <x:c r="B286" t="str">
        <x:v>B284</x:v>
      </x:c>
      <x:c r="C286" t="str">
        <x:v>C671_Link01</x:v>
      </x:c>
      <x:c r="D286" t="str">
        <x:v>C</x:v>
      </x:c>
      <x:c r="E286" t="str">
        <x:v>Northern</x:v>
      </x:c>
      <x:c r="F286" t="str">
        <x:v>Lira</x:v>
      </x:c>
      <x:c r="G286" t="n">
        <x:v>6379.84</x:v>
      </x:c>
      <x:c r="H286" t="n">
        <x:v>0.000928</x:v>
      </x:c>
      <x:c r="I286" t="n">
        <x:v>0.9376</x:v>
      </x:c>
      <x:c r="J286" t="n">
        <x:v>4339.58</x:v>
      </x:c>
      <x:c r="K286" t="n">
        <x:v>1113.29</x:v>
      </x:c>
      <x:c r="L286" t="n">
        <x:v>504.7</x:v>
      </x:c>
      <x:c r="M286" t="n">
        <x:v>422.28</x:v>
      </x:c>
      <x:c r="N286" t="n">
        <x:v>0</x:v>
      </x:c>
    </x:row>
    <x:row r="287">
      <x:c r="A287" t="str">
        <x:v>Apoc Bridge</x:v>
      </x:c>
      <x:c r="B287" t="str">
        <x:v>B285</x:v>
      </x:c>
      <x:c r="C287" t="str">
        <x:v>C672_Link01</x:v>
      </x:c>
      <x:c r="D287" t="str">
        <x:v>C</x:v>
      </x:c>
      <x:c r="E287" t="str">
        <x:v>Northern</x:v>
      </x:c>
      <x:c r="F287" t="str">
        <x:v>Lira</x:v>
      </x:c>
      <x:c r="G287" t="n">
        <x:v>2848.04</x:v>
      </x:c>
      <x:c r="H287" t="n">
        <x:v>0.000928</x:v>
      </x:c>
      <x:c r="I287" t="n">
        <x:v>0.9376</x:v>
      </x:c>
      <x:c r="J287" t="n">
        <x:v>1884.58</x:v>
      </x:c>
      <x:c r="K287" t="n">
        <x:v>644.84</x:v>
      </x:c>
      <x:c r="L287" t="n">
        <x:v>207.78</x:v>
      </x:c>
      <x:c r="M287" t="n">
        <x:v>110.84</x:v>
      </x:c>
      <x:c r="N287" t="n">
        <x:v>0</x:v>
      </x:c>
    </x:row>
    <x:row r="288">
      <x:c r="A288" t="str">
        <x:v>Obim Bridge</x:v>
      </x:c>
      <x:c r="B288" t="str">
        <x:v>B286</x:v>
      </x:c>
      <x:c r="C288" t="str">
        <x:v>C672_Link01</x:v>
      </x:c>
      <x:c r="D288" t="str">
        <x:v>C</x:v>
      </x:c>
      <x:c r="E288" t="str">
        <x:v>Northern</x:v>
      </x:c>
      <x:c r="F288" t="str">
        <x:v>Lira</x:v>
      </x:c>
      <x:c r="G288" t="n">
        <x:v>3726.02</x:v>
      </x:c>
      <x:c r="H288" t="n">
        <x:v>0.000928</x:v>
      </x:c>
      <x:c r="I288" t="n">
        <x:v>0.9376</x:v>
      </x:c>
      <x:c r="J288" t="n">
        <x:v>2501.47</x:v>
      </x:c>
      <x:c r="K288" t="n">
        <x:v>752.25</x:v>
      </x:c>
      <x:c r="L288" t="n">
        <x:v>281.43</x:v>
      </x:c>
      <x:c r="M288" t="n">
        <x:v>190.87</x:v>
      </x:c>
      <x:c r="N288" t="n">
        <x:v>0</x:v>
      </x:c>
    </x:row>
    <x:row r="289">
      <x:c r="A289" t="str">
        <x:v>Apochi Bridge</x:v>
      </x:c>
      <x:c r="B289" t="str">
        <x:v>B287</x:v>
      </x:c>
      <x:c r="C289" t="str">
        <x:v>C672_Link02</x:v>
      </x:c>
      <x:c r="D289" t="str">
        <x:v>C</x:v>
      </x:c>
      <x:c r="E289" t="str">
        <x:v>Northern</x:v>
      </x:c>
      <x:c r="F289" t="str">
        <x:v>Lira</x:v>
      </x:c>
      <x:c r="G289" t="n">
        <x:v>5083.87</x:v>
      </x:c>
      <x:c r="H289" t="n">
        <x:v>0.000928</x:v>
      </x:c>
      <x:c r="I289" t="n">
        <x:v>0.9376</x:v>
      </x:c>
      <x:c r="J289" t="n">
        <x:v>3449.25</x:v>
      </x:c>
      <x:c r="K289" t="n">
        <x:v>926.81</x:v>
      </x:c>
      <x:c r="L289" t="n">
        <x:v>395.65</x:v>
      </x:c>
      <x:c r="M289" t="n">
        <x:v>312.15</x:v>
      </x:c>
      <x:c r="N289" t="n">
        <x:v>0</x:v>
      </x:c>
    </x:row>
    <x:row r="290">
      <x:c r="A290" t="str">
        <x:v>Buaporo Bridge</x:v>
      </x:c>
      <x:c r="B290" t="str">
        <x:v>B288</x:v>
      </x:c>
      <x:c r="C290" t="str">
        <x:v>C672_Link02</x:v>
      </x:c>
      <x:c r="D290" t="str">
        <x:v>C</x:v>
      </x:c>
      <x:c r="E290" t="str">
        <x:v>Northern</x:v>
      </x:c>
      <x:c r="F290" t="str">
        <x:v>Lira</x:v>
      </x:c>
      <x:c r="G290" t="n">
        <x:v>5925.4</x:v>
      </x:c>
      <x:c r="H290" t="n">
        <x:v>0.000928</x:v>
      </x:c>
      <x:c r="I290" t="n">
        <x:v>0.9376</x:v>
      </x:c>
      <x:c r="J290" t="n">
        <x:v>4029.51</x:v>
      </x:c>
      <x:c r="K290" t="n">
        <x:v>1044.68</x:v>
      </x:c>
      <x:c r="L290" t="n">
        <x:v>466.59</x:v>
      </x:c>
      <x:c r="M290" t="n">
        <x:v>384.62</x:v>
      </x:c>
      <x:c r="N290" t="n">
        <x:v>0</x:v>
      </x:c>
    </x:row>
    <x:row r="291">
      <x:c r="A291" t="str">
        <x:v>Apoc</x:v>
      </x:c>
      <x:c r="B291" t="str">
        <x:v>B289</x:v>
      </x:c>
      <x:c r="C291" t="str">
        <x:v>C673_Link02</x:v>
      </x:c>
      <x:c r="D291" t="str">
        <x:v>C</x:v>
      </x:c>
      <x:c r="E291" t="str">
        <x:v>Northern</x:v>
      </x:c>
      <x:c r="F291" t="str">
        <x:v>Lira</x:v>
      </x:c>
      <x:c r="G291" t="n">
        <x:v>4919.61</x:v>
      </x:c>
      <x:c r="H291" t="n">
        <x:v>0.000928</x:v>
      </x:c>
      <x:c r="I291" t="n">
        <x:v>0.9376</x:v>
      </x:c>
      <x:c r="J291" t="n">
        <x:v>3334.32</x:v>
      </x:c>
      <x:c r="K291" t="n">
        <x:v>905.13</x:v>
      </x:c>
      <x:c r="L291" t="n">
        <x:v>382.14</x:v>
      </x:c>
      <x:c r="M291" t="n">
        <x:v>298.01</x:v>
      </x:c>
      <x:c r="N291" t="n">
        <x:v>0</x:v>
      </x:c>
    </x:row>
    <x:row r="292">
      <x:c r="A292" t="str">
        <x:v>Akwera Bridge</x:v>
      </x:c>
      <x:c r="B292" t="str">
        <x:v>B290</x:v>
      </x:c>
      <x:c r="C292" t="str">
        <x:v>C673_Link02</x:v>
      </x:c>
      <x:c r="D292" t="str">
        <x:v>C</x:v>
      </x:c>
      <x:c r="E292" t="str">
        <x:v>Northern</x:v>
      </x:c>
      <x:c r="F292" t="str">
        <x:v>Lira</x:v>
      </x:c>
      <x:c r="G292" t="n">
        <x:v>5970.82</x:v>
      </x:c>
      <x:c r="H292" t="n">
        <x:v>0.000928</x:v>
      </x:c>
      <x:c r="I292" t="n">
        <x:v>0.9376</x:v>
      </x:c>
      <x:c r="J292" t="n">
        <x:v>4056.18</x:v>
      </x:c>
      <x:c r="K292" t="n">
        <x:v>1053.34</x:v>
      </x:c>
      <x:c r="L292" t="n">
        <x:v>471.8</x:v>
      </x:c>
      <x:c r="M292" t="n">
        <x:v>389.5</x:v>
      </x:c>
      <x:c r="N292" t="n">
        <x:v>0</x:v>
      </x:c>
    </x:row>
    <x:row r="293">
      <x:c r="A293" t="str">
        <x:v>Okee Bridge</x:v>
      </x:c>
      <x:c r="B293" t="str">
        <x:v>B291</x:v>
      </x:c>
      <x:c r="C293" t="str">
        <x:v>C994_Link01</x:v>
      </x:c>
      <x:c r="D293" t="str">
        <x:v>C</x:v>
      </x:c>
      <x:c r="E293" t="str">
        <x:v>Northern</x:v>
      </x:c>
      <x:c r="F293" t="str">
        <x:v>Lira</x:v>
      </x:c>
      <x:c r="G293" t="n">
        <x:v>5646.88</x:v>
      </x:c>
      <x:c r="H293" t="n">
        <x:v>0.000928</x:v>
      </x:c>
      <x:c r="I293" t="n">
        <x:v>0.9376</x:v>
      </x:c>
      <x:c r="J293" t="n">
        <x:v>3838.2</x:v>
      </x:c>
      <x:c r="K293" t="n">
        <x:v>1000.08</x:v>
      </x:c>
      <x:c r="L293" t="n">
        <x:v>444.72</x:v>
      </x:c>
      <x:c r="M293" t="n">
        <x:v>363.88</x:v>
      </x:c>
      <x:c r="N293" t="n">
        <x:v>0</x:v>
      </x:c>
    </x:row>
    <x:row r="294">
      <x:c r="A294" t="str">
        <x:v>Agago Bridge</x:v>
      </x:c>
      <x:c r="B294" t="str">
        <x:v>B292</x:v>
      </x:c>
      <x:c r="C294" t="str">
        <x:v>C675_Link01</x:v>
      </x:c>
      <x:c r="D294" t="str">
        <x:v>C</x:v>
      </x:c>
      <x:c r="E294" t="str">
        <x:v>Northern</x:v>
      </x:c>
      <x:c r="F294" t="str">
        <x:v>Kitgum</x:v>
      </x:c>
      <x:c r="G294" t="n">
        <x:v>6009.83</x:v>
      </x:c>
      <x:c r="H294" t="n">
        <x:v>0.000928</x:v>
      </x:c>
      <x:c r="I294" t="n">
        <x:v>0.9376</x:v>
      </x:c>
      <x:c r="J294" t="n">
        <x:v>4099.76</x:v>
      </x:c>
      <x:c r="K294" t="n">
        <x:v>1028.33</x:v>
      </x:c>
      <x:c r="L294" t="n">
        <x:v>477.84</x:v>
      </x:c>
      <x:c r="M294" t="n">
        <x:v>403.89</x:v>
      </x:c>
      <x:c r="N294" t="n">
        <x:v>0</x:v>
      </x:c>
    </x:row>
    <x:row r="295">
      <x:c r="A295" t="str">
        <x:v>Agago Bridge</x:v>
      </x:c>
      <x:c r="B295" t="str">
        <x:v>B293</x:v>
      </x:c>
      <x:c r="C295" t="str">
        <x:v>C677_Link01</x:v>
      </x:c>
      <x:c r="D295" t="str">
        <x:v>C</x:v>
      </x:c>
      <x:c r="E295" t="str">
        <x:v>Northern</x:v>
      </x:c>
      <x:c r="F295" t="str">
        <x:v>Kitgum</x:v>
      </x:c>
      <x:c r="G295" t="n">
        <x:v>6276.72</x:v>
      </x:c>
      <x:c r="H295" t="n">
        <x:v>0.000928</x:v>
      </x:c>
      <x:c r="I295" t="n">
        <x:v>0.9376</x:v>
      </x:c>
      <x:c r="J295" t="n">
        <x:v>4267.52</x:v>
      </x:c>
      <x:c r="K295" t="n">
        <x:v>1090.57</x:v>
      </x:c>
      <x:c r="L295" t="n">
        <x:v>499.83</x:v>
      </x:c>
      <x:c r="M295" t="n">
        <x:v>418.8</x:v>
      </x:c>
      <x:c r="N295" t="n">
        <x:v>0</x:v>
      </x:c>
    </x:row>
    <x:row r="296">
      <x:c r="A296" t="str">
        <x:v>Agago Bridge</x:v>
      </x:c>
      <x:c r="B296" t="str">
        <x:v>B294</x:v>
      </x:c>
      <x:c r="C296" t="str">
        <x:v>C677_Link01</x:v>
      </x:c>
      <x:c r="D296" t="str">
        <x:v>C</x:v>
      </x:c>
      <x:c r="E296" t="str">
        <x:v>Northern</x:v>
      </x:c>
      <x:c r="F296" t="str">
        <x:v>Kitgum</x:v>
      </x:c>
      <x:c r="G296" t="n">
        <x:v>6277.06</x:v>
      </x:c>
      <x:c r="H296" t="n">
        <x:v>0.000928</x:v>
      </x:c>
      <x:c r="I296" t="n">
        <x:v>0.9376</x:v>
      </x:c>
      <x:c r="J296" t="n">
        <x:v>4267.75</x:v>
      </x:c>
      <x:c r="K296" t="n">
        <x:v>1090.63</x:v>
      </x:c>
      <x:c r="L296" t="n">
        <x:v>499.86</x:v>
      </x:c>
      <x:c r="M296" t="n">
        <x:v>418.82</x:v>
      </x:c>
      <x:c r="N296" t="n">
        <x:v>0</x:v>
      </x:c>
    </x:row>
    <x:row r="297">
      <x:c r="A297" t="str">
        <x:v>Agago Bridge</x:v>
      </x:c>
      <x:c r="B297" t="str">
        <x:v>B295</x:v>
      </x:c>
      <x:c r="C297" t="str">
        <x:v>C677_Link01</x:v>
      </x:c>
      <x:c r="D297" t="str">
        <x:v>C</x:v>
      </x:c>
      <x:c r="E297" t="str">
        <x:v>Northern</x:v>
      </x:c>
      <x:c r="F297" t="str">
        <x:v>Kitgum</x:v>
      </x:c>
      <x:c r="G297" t="n">
        <x:v>6282.73</x:v>
      </x:c>
      <x:c r="H297" t="n">
        <x:v>0.000928</x:v>
      </x:c>
      <x:c r="I297" t="n">
        <x:v>0.9376</x:v>
      </x:c>
      <x:c r="J297" t="n">
        <x:v>4271.57</x:v>
      </x:c>
      <x:c r="K297" t="n">
        <x:v>1091.49</x:v>
      </x:c>
      <x:c r="L297" t="n">
        <x:v>500.37</x:v>
      </x:c>
      <x:c r="M297" t="n">
        <x:v>419.31</x:v>
      </x:c>
      <x:c r="N297" t="n">
        <x:v>0</x:v>
      </x:c>
    </x:row>
    <x:row r="298">
      <x:c r="A298" t="str">
        <x:v>Agago Bridge</x:v>
      </x:c>
      <x:c r="B298" t="str">
        <x:v>B296</x:v>
      </x:c>
      <x:c r="C298" t="str">
        <x:v>C677_Link01</x:v>
      </x:c>
      <x:c r="D298" t="str">
        <x:v>C</x:v>
      </x:c>
      <x:c r="E298" t="str">
        <x:v>Northern</x:v>
      </x:c>
      <x:c r="F298" t="str">
        <x:v>Kitgum</x:v>
      </x:c>
      <x:c r="G298" t="n">
        <x:v>6481.68</x:v>
      </x:c>
      <x:c r="H298" t="n">
        <x:v>0.000928</x:v>
      </x:c>
      <x:c r="I298" t="n">
        <x:v>0.9376</x:v>
      </x:c>
      <x:c r="J298" t="n">
        <x:v>4407.03</x:v>
      </x:c>
      <x:c r="K298" t="n">
        <x:v>1119.15</x:v>
      </x:c>
      <x:c r="L298" t="n">
        <x:v>518.59</x:v>
      </x:c>
      <x:c r="M298" t="n">
        <x:v>436.9</x:v>
      </x:c>
      <x:c r="N298" t="n">
        <x:v>0</x:v>
      </x:c>
    </x:row>
    <x:row r="299">
      <x:c r="A299" t="str">
        <x:v>Bulugi Bridge</x:v>
      </x:c>
      <x:c r="B299" t="str">
        <x:v>B297</x:v>
      </x:c>
      <x:c r="C299" t="str">
        <x:v>C677_Link02</x:v>
      </x:c>
      <x:c r="D299" t="str">
        <x:v>C</x:v>
      </x:c>
      <x:c r="E299" t="str">
        <x:v>Northern</x:v>
      </x:c>
      <x:c r="F299" t="str">
        <x:v>Kitgum</x:v>
      </x:c>
      <x:c r="G299" t="n">
        <x:v>6344.44</x:v>
      </x:c>
      <x:c r="H299" t="n">
        <x:v>0.000928</x:v>
      </x:c>
      <x:c r="I299" t="n">
        <x:v>0.9376</x:v>
      </x:c>
      <x:c r="J299" t="n">
        <x:v>4321.26</x:v>
      </x:c>
      <x:c r="K299" t="n">
        <x:v>1084.96</x:v>
      </x:c>
      <x:c r="L299" t="n">
        <x:v>508.21</x:v>
      </x:c>
      <x:c r="M299" t="n">
        <x:v>430.01</x:v>
      </x:c>
      <x:c r="N299" t="n">
        <x:v>0</x:v>
      </x:c>
    </x:row>
    <x:row r="300">
      <x:c r="A300" t="str">
        <x:v>Odyaka Bridge</x:v>
      </x:c>
      <x:c r="B300" t="str">
        <x:v>B727</x:v>
      </x:c>
      <x:c r="C300" t="str">
        <x:v>C677_Link02</x:v>
      </x:c>
      <x:c r="D300" t="str">
        <x:v>C</x:v>
      </x:c>
      <x:c r="E300" t="str">
        <x:v>Northern</x:v>
      </x:c>
      <x:c r="F300" t="str">
        <x:v>Kitgum</x:v>
      </x:c>
      <x:c r="G300" t="n">
        <x:v>6354.82</x:v>
      </x:c>
      <x:c r="H300" t="n">
        <x:v>0.000928</x:v>
      </x:c>
      <x:c r="I300" t="n">
        <x:v>0.9376</x:v>
      </x:c>
      <x:c r="J300" t="n">
        <x:v>4327.77</x:v>
      </x:c>
      <x:c r="K300" t="n">
        <x:v>1087.77</x:v>
      </x:c>
      <x:c r="L300" t="n">
        <x:v>508.9</x:v>
      </x:c>
      <x:c r="M300" t="n">
        <x:v>430.38</x:v>
      </x:c>
      <x:c r="N300" t="n">
        <x:v>0</x:v>
      </x:c>
    </x:row>
    <x:row r="301">
      <x:c r="A301" t="str">
        <x:v>Odyaka</x:v>
      </x:c>
      <x:c r="B301" t="str">
        <x:v>B298</x:v>
      </x:c>
      <x:c r="C301" t="str">
        <x:v>C677_Link02</x:v>
      </x:c>
      <x:c r="D301" t="str">
        <x:v>C</x:v>
      </x:c>
      <x:c r="E301" t="str">
        <x:v>Northern</x:v>
      </x:c>
      <x:c r="F301" t="str">
        <x:v>Kitgum</x:v>
      </x:c>
      <x:c r="G301" t="n">
        <x:v>6354.82</x:v>
      </x:c>
      <x:c r="H301" t="n">
        <x:v>0.000928</x:v>
      </x:c>
      <x:c r="I301" t="n">
        <x:v>0.9376</x:v>
      </x:c>
      <x:c r="J301" t="n">
        <x:v>4327.77</x:v>
      </x:c>
      <x:c r="K301" t="n">
        <x:v>1087.77</x:v>
      </x:c>
      <x:c r="L301" t="n">
        <x:v>508.9</x:v>
      </x:c>
      <x:c r="M301" t="n">
        <x:v>430.38</x:v>
      </x:c>
      <x:c r="N301" t="n">
        <x:v>0</x:v>
      </x:c>
    </x:row>
    <x:row r="302">
      <x:c r="A302" t="str">
        <x:v>Nagoya Bridge</x:v>
      </x:c>
      <x:c r="B302" t="str">
        <x:v>B299</x:v>
      </x:c>
      <x:c r="C302" t="str">
        <x:v>C678_Link01</x:v>
      </x:c>
      <x:c r="D302" t="str">
        <x:v>C</x:v>
      </x:c>
      <x:c r="E302" t="str">
        <x:v>Northern</x:v>
      </x:c>
      <x:c r="F302" t="str">
        <x:v>Kitgum</x:v>
      </x:c>
      <x:c r="G302" t="n">
        <x:v>6552.05</x:v>
      </x:c>
      <x:c r="H302" t="n">
        <x:v>0.000928</x:v>
      </x:c>
      <x:c r="I302" t="n">
        <x:v>0.9376</x:v>
      </x:c>
      <x:c r="J302" t="n">
        <x:v>4449.75</x:v>
      </x:c>
      <x:c r="K302" t="n">
        <x:v>1137.24</x:v>
      </x:c>
      <x:c r="L302" t="n">
        <x:v>524.14</x:v>
      </x:c>
      <x:c r="M302" t="n">
        <x:v>440.92</x:v>
      </x:c>
      <x:c r="N302" t="n">
        <x:v>0</x:v>
      </x:c>
    </x:row>
    <x:row r="303">
      <x:c r="A303" t="str">
        <x:v>Orok Bridge</x:v>
      </x:c>
      <x:c r="B303" t="str">
        <x:v>B300</x:v>
      </x:c>
      <x:c r="C303" t="str">
        <x:v>C997_Link01</x:v>
      </x:c>
      <x:c r="D303" t="str">
        <x:v>C</x:v>
      </x:c>
      <x:c r="E303" t="str">
        <x:v>Northern</x:v>
      </x:c>
      <x:c r="F303" t="str">
        <x:v>Lira</x:v>
      </x:c>
      <x:c r="G303" t="n">
        <x:v>6264.83</x:v>
      </x:c>
      <x:c r="H303" t="n">
        <x:v>0.000928</x:v>
      </x:c>
      <x:c r="I303" t="n">
        <x:v>0.9376</x:v>
      </x:c>
      <x:c r="J303" t="n">
        <x:v>4257.62</x:v>
      </x:c>
      <x:c r="K303" t="n">
        <x:v>1098.36</x:v>
      </x:c>
      <x:c r="L303" t="n">
        <x:v>495.75</x:v>
      </x:c>
      <x:c r="M303" t="n">
        <x:v>413.11</x:v>
      </x:c>
      <x:c r="N303" t="n">
        <x:v>0</x:v>
      </x:c>
    </x:row>
    <x:row r="304">
      <x:c r="A304" t="str">
        <x:v>Torchi</x:v>
      </x:c>
      <x:c r="B304" t="str">
        <x:v>B301</x:v>
      </x:c>
      <x:c r="C304" t="str">
        <x:v>C685_Link01</x:v>
      </x:c>
      <x:c r="D304" t="str">
        <x:v>C</x:v>
      </x:c>
      <x:c r="E304" t="str">
        <x:v>Northern</x:v>
      </x:c>
      <x:c r="F304" t="str">
        <x:v>Gulu</x:v>
      </x:c>
      <x:c r="G304" t="n">
        <x:v>4413.71</x:v>
      </x:c>
      <x:c r="H304" t="n">
        <x:v>0.000928</x:v>
      </x:c>
      <x:c r="I304" t="n">
        <x:v>0.9376</x:v>
      </x:c>
      <x:c r="J304" t="n">
        <x:v>3011.32</x:v>
      </x:c>
      <x:c r="K304" t="n">
        <x:v>754.51</x:v>
      </x:c>
      <x:c r="L304" t="n">
        <x:v>349.34</x:v>
      </x:c>
      <x:c r="M304" t="n">
        <x:v>298.54</x:v>
      </x:c>
      <x:c r="N304" t="n">
        <x:v>0</x:v>
      </x:c>
    </x:row>
    <x:row r="305">
      <x:c r="A305" t="str">
        <x:v>Ayago</x:v>
      </x:c>
      <x:c r="B305" t="str">
        <x:v>B302</x:v>
      </x:c>
      <x:c r="C305" t="str">
        <x:v>C685_Link01</x:v>
      </x:c>
      <x:c r="D305" t="str">
        <x:v>C</x:v>
      </x:c>
      <x:c r="E305" t="str">
        <x:v>Northern</x:v>
      </x:c>
      <x:c r="F305" t="str">
        <x:v>Gulu</x:v>
      </x:c>
      <x:c r="G305" t="n">
        <x:v>4051.85</x:v>
      </x:c>
      <x:c r="H305" t="n">
        <x:v>0.000928</x:v>
      </x:c>
      <x:c r="I305" t="n">
        <x:v>0.9376</x:v>
      </x:c>
      <x:c r="J305" t="n">
        <x:v>2751.62</x:v>
      </x:c>
      <x:c r="K305" t="n">
        <x:v>711.76</x:v>
      </x:c>
      <x:c r="L305" t="n">
        <x:v>320.74</x:v>
      </x:c>
      <x:c r="M305" t="n">
        <x:v>267.73</x:v>
      </x:c>
      <x:c r="N305" t="n">
        <x:v>0</x:v>
      </x:c>
    </x:row>
    <x:row r="306">
      <x:c r="A306" t="str">
        <x:v>Ayago Bridge</x:v>
      </x:c>
      <x:c r="B306" t="str">
        <x:v>B303</x:v>
      </x:c>
      <x:c r="C306" t="str">
        <x:v>C685_Link01</x:v>
      </x:c>
      <x:c r="D306" t="str">
        <x:v>C</x:v>
      </x:c>
      <x:c r="E306" t="str">
        <x:v>Northern</x:v>
      </x:c>
      <x:c r="F306" t="str">
        <x:v>Gulu</x:v>
      </x:c>
      <x:c r="G306" t="n">
        <x:v>3819.32</x:v>
      </x:c>
      <x:c r="H306" t="n">
        <x:v>0.000928</x:v>
      </x:c>
      <x:c r="I306" t="n">
        <x:v>0.9376</x:v>
      </x:c>
      <x:c r="J306" t="n">
        <x:v>2584.99</x:v>
      </x:c>
      <x:c r="K306" t="n">
        <x:v>684.04</x:v>
      </x:c>
      <x:c r="L306" t="n">
        <x:v>302.29</x:v>
      </x:c>
      <x:c r="M306" t="n">
        <x:v>248</x:v>
      </x:c>
      <x:c r="N306" t="n">
        <x:v>0</x:v>
      </x:c>
    </x:row>
    <x:row r="307">
      <x:c r="A307" t="str">
        <x:v>Omee Bridge</x:v>
      </x:c>
      <x:c r="B307" t="str">
        <x:v>B308</x:v>
      </x:c>
      <x:c r="C307" t="str">
        <x:v>C686_Link02</x:v>
      </x:c>
      <x:c r="D307" t="str">
        <x:v>C</x:v>
      </x:c>
      <x:c r="E307" t="str">
        <x:v>Northern</x:v>
      </x:c>
      <x:c r="F307" t="str">
        <x:v>Gulu</x:v>
      </x:c>
      <x:c r="G307" t="n">
        <x:v>3945.02</x:v>
      </x:c>
      <x:c r="H307" t="n">
        <x:v>0.000928</x:v>
      </x:c>
      <x:c r="I307" t="n">
        <x:v>0.9376</x:v>
      </x:c>
      <x:c r="J307" t="n">
        <x:v>2644.77</x:v>
      </x:c>
      <x:c r="K307" t="n">
        <x:v>711.29</x:v>
      </x:c>
      <x:c r="L307" t="n">
        <x:v>324.08</x:v>
      </x:c>
      <x:c r="M307" t="n">
        <x:v>264.88</x:v>
      </x:c>
      <x:c r="N307" t="n">
        <x:v>0</x:v>
      </x:c>
    </x:row>
    <x:row r="308">
      <x:c r="A308" t="str">
        <x:v>Apaa Bridge</x:v>
      </x:c>
      <x:c r="B308" t="str">
        <x:v>B312</x:v>
      </x:c>
      <x:c r="C308" t="str">
        <x:v>C686_Link03</x:v>
      </x:c>
      <x:c r="D308" t="str">
        <x:v>C</x:v>
      </x:c>
      <x:c r="E308" t="str">
        <x:v>Northern</x:v>
      </x:c>
      <x:c r="F308" t="str">
        <x:v>Gulu</x:v>
      </x:c>
      <x:c r="G308" t="n">
        <x:v>4390.45</x:v>
      </x:c>
      <x:c r="H308" t="n">
        <x:v>0.000928</x:v>
      </x:c>
      <x:c r="I308" t="n">
        <x:v>0.9376</x:v>
      </x:c>
      <x:c r="J308" t="n">
        <x:v>2936.03</x:v>
      </x:c>
      <x:c r="K308" t="n">
        <x:v>766.98</x:v>
      </x:c>
      <x:c r="L308" t="n">
        <x:v>372.61</x:v>
      </x:c>
      <x:c r="M308" t="n">
        <x:v>314.83</x:v>
      </x:c>
      <x:c r="N308" t="n">
        <x:v>0</x:v>
      </x:c>
    </x:row>
    <x:row r="309">
      <x:c r="A309" t="str">
        <x:v>Ociip Bridge</x:v>
      </x:c>
      <x:c r="B309" t="str">
        <x:v>B313</x:v>
      </x:c>
      <x:c r="C309" t="str">
        <x:v>C686_Link03</x:v>
      </x:c>
      <x:c r="D309" t="str">
        <x:v>C</x:v>
      </x:c>
      <x:c r="E309" t="str">
        <x:v>Northern</x:v>
      </x:c>
      <x:c r="F309" t="str">
        <x:v>Gulu</x:v>
      </x:c>
      <x:c r="G309" t="n">
        <x:v>4363.8</x:v>
      </x:c>
      <x:c r="H309" t="n">
        <x:v>0.000928</x:v>
      </x:c>
      <x:c r="I309" t="n">
        <x:v>0.9376</x:v>
      </x:c>
      <x:c r="J309" t="n">
        <x:v>2920.73</x:v>
      </x:c>
      <x:c r="K309" t="n">
        <x:v>762.76</x:v>
      </x:c>
      <x:c r="L309" t="n">
        <x:v>368.85</x:v>
      </x:c>
      <x:c r="M309" t="n">
        <x:v>311.45</x:v>
      </x:c>
      <x:c r="N309" t="n">
        <x:v>0</x:v>
      </x:c>
    </x:row>
    <x:row r="310">
      <x:c r="A310" t="str">
        <x:v>Omee</x:v>
      </x:c>
      <x:c r="B310" t="str">
        <x:v>B314</x:v>
      </x:c>
      <x:c r="C310" t="str">
        <x:v>C688_Link02</x:v>
      </x:c>
      <x:c r="D310" t="str">
        <x:v>C</x:v>
      </x:c>
      <x:c r="E310" t="str">
        <x:v>Northern</x:v>
      </x:c>
      <x:c r="F310" t="str">
        <x:v>Moyo</x:v>
      </x:c>
      <x:c r="G310" t="n">
        <x:v>4618.09</x:v>
      </x:c>
      <x:c r="H310" t="n">
        <x:v>0.000928</x:v>
      </x:c>
      <x:c r="I310" t="n">
        <x:v>0.9376</x:v>
      </x:c>
      <x:c r="J310" t="n">
        <x:v>3121.32</x:v>
      </x:c>
      <x:c r="K310" t="n">
        <x:v>800.87</x:v>
      </x:c>
      <x:c r="L310" t="n">
        <x:v>377.99</x:v>
      </x:c>
      <x:c r="M310" t="n">
        <x:v>317.91</x:v>
      </x:c>
      <x:c r="N310" t="n">
        <x:v>0</x:v>
      </x:c>
    </x:row>
    <x:row r="311">
      <x:c r="A311" t="str">
        <x:v>Zoka Bridge</x:v>
      </x:c>
      <x:c r="B311" t="str">
        <x:v>B315</x:v>
      </x:c>
      <x:c r="C311" t="str">
        <x:v>C688_Link02</x:v>
      </x:c>
      <x:c r="D311" t="str">
        <x:v>C</x:v>
      </x:c>
      <x:c r="E311" t="str">
        <x:v>Northern</x:v>
      </x:c>
      <x:c r="F311" t="str">
        <x:v>Moyo</x:v>
      </x:c>
      <x:c r="G311" t="n">
        <x:v>5081.97</x:v>
      </x:c>
      <x:c r="H311" t="n">
        <x:v>0.000928</x:v>
      </x:c>
      <x:c r="I311" t="n">
        <x:v>0.9376</x:v>
      </x:c>
      <x:c r="J311" t="n">
        <x:v>3437.59</x:v>
      </x:c>
      <x:c r="K311" t="n">
        <x:v>866.45</x:v>
      </x:c>
      <x:c r="L311" t="n">
        <x:v>420.21</x:v>
      </x:c>
      <x:c r="M311" t="n">
        <x:v>357.71</x:v>
      </x:c>
      <x:c r="N311" t="n">
        <x:v>0</x:v>
      </x:c>
    </x:row>
    <x:row r="312">
      <x:c r="A312" t="str">
        <x:v>Ayugi Bridge</x:v>
      </x:c>
      <x:c r="B312" t="str">
        <x:v>B316</x:v>
      </x:c>
      <x:c r="C312" t="str">
        <x:v>C689_Link01</x:v>
      </x:c>
      <x:c r="D312" t="str">
        <x:v>C</x:v>
      </x:c>
      <x:c r="E312" t="str">
        <x:v>Northern</x:v>
      </x:c>
      <x:c r="F312" t="str">
        <x:v>Moyo</x:v>
      </x:c>
      <x:c r="G312" t="n">
        <x:v>4898.11</x:v>
      </x:c>
      <x:c r="H312" t="n">
        <x:v>0.000928</x:v>
      </x:c>
      <x:c r="I312" t="n">
        <x:v>0.9376</x:v>
      </x:c>
      <x:c r="J312" t="n">
        <x:v>3322.45</x:v>
      </x:c>
      <x:c r="K312" t="n">
        <x:v>846.07</x:v>
      </x:c>
      <x:c r="L312" t="n">
        <x:v>396.5</x:v>
      </x:c>
      <x:c r="M312" t="n">
        <x:v>333.09</x:v>
      </x:c>
      <x:c r="N312" t="n">
        <x:v>0</x:v>
      </x:c>
    </x:row>
    <x:row r="313">
      <x:c r="A313" t="str">
        <x:v>Opio</x:v>
      </x:c>
      <x:c r="B313" t="str">
        <x:v>B317</x:v>
      </x:c>
      <x:c r="C313" t="str">
        <x:v>C689_Link01</x:v>
      </x:c>
      <x:c r="D313" t="str">
        <x:v>C</x:v>
      </x:c>
      <x:c r="E313" t="str">
        <x:v>Northern</x:v>
      </x:c>
      <x:c r="F313" t="str">
        <x:v>Moyo</x:v>
      </x:c>
      <x:c r="G313" t="n">
        <x:v>5207.52</x:v>
      </x:c>
      <x:c r="H313" t="n">
        <x:v>0.000928</x:v>
      </x:c>
      <x:c r="I313" t="n">
        <x:v>0.9376</x:v>
      </x:c>
      <x:c r="J313" t="n">
        <x:v>3534.49</x:v>
      </x:c>
      <x:c r="K313" t="n">
        <x:v>890.61</x:v>
      </x:c>
      <x:c r="L313" t="n">
        <x:v>423.88</x:v>
      </x:c>
      <x:c r="M313" t="n">
        <x:v>358.54</x:v>
      </x:c>
      <x:c r="N313" t="n">
        <x:v>0</x:v>
      </x:c>
    </x:row>
    <x:row r="314">
      <x:c r="A314" t="str">
        <x:v>Amoro</x:v>
      </x:c>
      <x:c r="B314" t="str">
        <x:v>B318</x:v>
      </x:c>
      <x:c r="C314" t="str">
        <x:v>C689_Link01</x:v>
      </x:c>
      <x:c r="D314" t="str">
        <x:v>C</x:v>
      </x:c>
      <x:c r="E314" t="str">
        <x:v>Northern</x:v>
      </x:c>
      <x:c r="F314" t="str">
        <x:v>Moyo</x:v>
      </x:c>
      <x:c r="G314" t="n">
        <x:v>5213.79</x:v>
      </x:c>
      <x:c r="H314" t="n">
        <x:v>0.000928</x:v>
      </x:c>
      <x:c r="I314" t="n">
        <x:v>0.9376</x:v>
      </x:c>
      <x:c r="J314" t="n">
        <x:v>3538.28</x:v>
      </x:c>
      <x:c r="K314" t="n">
        <x:v>891.44</x:v>
      </x:c>
      <x:c r="L314" t="n">
        <x:v>424.73</x:v>
      </x:c>
      <x:c r="M314" t="n">
        <x:v>359.34</x:v>
      </x:c>
      <x:c r="N314" t="n">
        <x:v>0</x:v>
      </x:c>
    </x:row>
    <x:row r="315">
      <x:c r="A315" t="str">
        <x:v>Yuba Bridge</x:v>
      </x:c>
      <x:c r="B315" t="str">
        <x:v>B319</x:v>
      </x:c>
      <x:c r="C315" t="str">
        <x:v>C689_Link01</x:v>
      </x:c>
      <x:c r="D315" t="str">
        <x:v>C</x:v>
      </x:c>
      <x:c r="E315" t="str">
        <x:v>Northern</x:v>
      </x:c>
      <x:c r="F315" t="str">
        <x:v>Moyo</x:v>
      </x:c>
      <x:c r="G315" t="n">
        <x:v>5227.2</x:v>
      </x:c>
      <x:c r="H315" t="n">
        <x:v>0.000928</x:v>
      </x:c>
      <x:c r="I315" t="n">
        <x:v>0.9376</x:v>
      </x:c>
      <x:c r="J315" t="n">
        <x:v>3547.32</x:v>
      </x:c>
      <x:c r="K315" t="n">
        <x:v>893.39</x:v>
      </x:c>
      <x:c r="L315" t="n">
        <x:v>425.99</x:v>
      </x:c>
      <x:c r="M315" t="n">
        <x:v>360.5</x:v>
      </x:c>
      <x:c r="N315" t="n">
        <x:v>0</x:v>
      </x:c>
    </x:row>
    <x:row r="316">
      <x:c r="A316" t="str">
        <x:v>Adidi</x:v>
      </x:c>
      <x:c r="B316" t="str">
        <x:v>B320</x:v>
      </x:c>
      <x:c r="C316" t="str">
        <x:v>C689_Link01</x:v>
      </x:c>
      <x:c r="D316" t="str">
        <x:v>C</x:v>
      </x:c>
      <x:c r="E316" t="str">
        <x:v>Northern</x:v>
      </x:c>
      <x:c r="F316" t="str">
        <x:v>Moyo</x:v>
      </x:c>
      <x:c r="G316" t="n">
        <x:v>5303.66</x:v>
      </x:c>
      <x:c r="H316" t="n">
        <x:v>0.000928</x:v>
      </x:c>
      <x:c r="I316" t="n">
        <x:v>0.9376</x:v>
      </x:c>
      <x:c r="J316" t="n">
        <x:v>3597.68</x:v>
      </x:c>
      <x:c r="K316" t="n">
        <x:v>904.28</x:v>
      </x:c>
      <x:c r="L316" t="n">
        <x:v>433.9</x:v>
      </x:c>
      <x:c r="M316" t="n">
        <x:v>367.8</x:v>
      </x:c>
      <x:c r="N316" t="n">
        <x:v>0</x:v>
      </x:c>
    </x:row>
    <x:row r="317">
      <x:c r="A317" t="str">
        <x:v>Odragi Bridge</x:v>
      </x:c>
      <x:c r="B317" t="str">
        <x:v>B321</x:v>
      </x:c>
      <x:c r="C317" t="str">
        <x:v>C689_Link01</x:v>
      </x:c>
      <x:c r="D317" t="str">
        <x:v>C</x:v>
      </x:c>
      <x:c r="E317" t="str">
        <x:v>Northern</x:v>
      </x:c>
      <x:c r="F317" t="str">
        <x:v>Moyo</x:v>
      </x:c>
      <x:c r="G317" t="n">
        <x:v>5303.66</x:v>
      </x:c>
      <x:c r="H317" t="n">
        <x:v>0.000928</x:v>
      </x:c>
      <x:c r="I317" t="n">
        <x:v>0.9376</x:v>
      </x:c>
      <x:c r="J317" t="n">
        <x:v>3597.68</x:v>
      </x:c>
      <x:c r="K317" t="n">
        <x:v>904.28</x:v>
      </x:c>
      <x:c r="L317" t="n">
        <x:v>433.9</x:v>
      </x:c>
      <x:c r="M317" t="n">
        <x:v>367.8</x:v>
      </x:c>
      <x:c r="N317" t="n">
        <x:v>0</x:v>
      </x:c>
    </x:row>
    <x:row r="318">
      <x:c r="A318" t="str">
        <x:v>Agagura</x:v>
      </x:c>
      <x:c r="B318" t="str">
        <x:v>B323</x:v>
      </x:c>
      <x:c r="C318" t="str">
        <x:v>C682_Link01</x:v>
      </x:c>
      <x:c r="D318" t="str">
        <x:v>C</x:v>
      </x:c>
      <x:c r="E318" t="str">
        <x:v>Northern</x:v>
      </x:c>
      <x:c r="F318" t="str">
        <x:v>Gulu</x:v>
      </x:c>
      <x:c r="G318" t="n">
        <x:v>4878.98</x:v>
      </x:c>
      <x:c r="H318" t="n">
        <x:v>0.000928</x:v>
      </x:c>
      <x:c r="I318" t="n">
        <x:v>0.9376</x:v>
      </x:c>
      <x:c r="J318" t="n">
        <x:v>3341.81</x:v>
      </x:c>
      <x:c r="K318" t="n">
        <x:v>814.77</x:v>
      </x:c>
      <x:c r="L318" t="n">
        <x:v>386.27</x:v>
      </x:c>
      <x:c r="M318" t="n">
        <x:v>336.12</x:v>
      </x:c>
      <x:c r="N318" t="n">
        <x:v>0</x:v>
      </x:c>
    </x:row>
    <x:row r="319">
      <x:c r="A319" t="str">
        <x:v>Lagwel Bridge</x:v>
      </x:c>
      <x:c r="B319" t="str">
        <x:v>B324</x:v>
      </x:c>
      <x:c r="C319" t="str">
        <x:v>C704_Link01</x:v>
      </x:c>
      <x:c r="D319" t="str">
        <x:v>C</x:v>
      </x:c>
      <x:c r="E319" t="str">
        <x:v>Northern</x:v>
      </x:c>
      <x:c r="F319" t="str">
        <x:v>Kitgum</x:v>
      </x:c>
      <x:c r="G319" t="n">
        <x:v>6288.15</x:v>
      </x:c>
      <x:c r="H319" t="n">
        <x:v>0.000928</x:v>
      </x:c>
      <x:c r="I319" t="n">
        <x:v>0.9376</x:v>
      </x:c>
      <x:c r="J319" t="n">
        <x:v>4283.97</x:v>
      </x:c>
      <x:c r="K319" t="n">
        <x:v>1068.69</x:v>
      </x:c>
      <x:c r="L319" t="n">
        <x:v>506.17</x:v>
      </x:c>
      <x:c r="M319" t="n">
        <x:v>429.32</x:v>
      </x:c>
      <x:c r="N319" t="n">
        <x:v>0</x:v>
      </x:c>
    </x:row>
    <x:row r="320">
      <x:c r="A320" t="str">
        <x:v>Pauo Bridge</x:v>
      </x:c>
      <x:c r="B320" t="str">
        <x:v>B325</x:v>
      </x:c>
      <x:c r="C320" t="str">
        <x:v>C704_Link01</x:v>
      </x:c>
      <x:c r="D320" t="str">
        <x:v>C</x:v>
      </x:c>
      <x:c r="E320" t="str">
        <x:v>Northern</x:v>
      </x:c>
      <x:c r="F320" t="str">
        <x:v>Kitgum</x:v>
      </x:c>
      <x:c r="G320" t="n">
        <x:v>6097.98</x:v>
      </x:c>
      <x:c r="H320" t="n">
        <x:v>0.000928</x:v>
      </x:c>
      <x:c r="I320" t="n">
        <x:v>0.9376</x:v>
      </x:c>
      <x:c r="J320" t="n">
        <x:v>4156.11</x:v>
      </x:c>
      <x:c r="K320" t="n">
        <x:v>1033.29</x:v>
      </x:c>
      <x:c r="L320" t="n">
        <x:v>491.09</x:v>
      </x:c>
      <x:c r="M320" t="n">
        <x:v>417.49</x:v>
      </x:c>
      <x:c r="N320" t="n">
        <x:v>0</x:v>
      </x:c>
    </x:row>
    <x:row r="321">
      <x:c r="A321" t="str">
        <x:v>Okwora Bridge</x:v>
      </x:c>
      <x:c r="B321" t="str">
        <x:v>B326</x:v>
      </x:c>
      <x:c r="C321" t="str">
        <x:v>C705_Link02</x:v>
      </x:c>
      <x:c r="D321" t="str">
        <x:v>C</x:v>
      </x:c>
      <x:c r="E321" t="str">
        <x:v>Northern</x:v>
      </x:c>
      <x:c r="F321" t="str">
        <x:v>Kitgum</x:v>
      </x:c>
      <x:c r="G321" t="n">
        <x:v>6407.81</x:v>
      </x:c>
      <x:c r="H321" t="n">
        <x:v>0.000928</x:v>
      </x:c>
      <x:c r="I321" t="n">
        <x:v>0.9376</x:v>
      </x:c>
      <x:c r="J321" t="n">
        <x:v>4363.32</x:v>
      </x:c>
      <x:c r="K321" t="n">
        <x:v>1090.86</x:v>
      </x:c>
      <x:c r="L321" t="n">
        <x:v>516.36</x:v>
      </x:c>
      <x:c r="M321" t="n">
        <x:v>437.26</x:v>
      </x:c>
      <x:c r="N321" t="n">
        <x:v>0</x:v>
      </x:c>
    </x:row>
    <x:row r="322">
      <x:c r="A322" t="str">
        <x:v>Aringa Bridge</x:v>
      </x:c>
      <x:c r="B322" t="str">
        <x:v>B327</x:v>
      </x:c>
      <x:c r="C322" t="str">
        <x:v>C705_Link02</x:v>
      </x:c>
      <x:c r="D322" t="str">
        <x:v>C</x:v>
      </x:c>
      <x:c r="E322" t="str">
        <x:v>Northern</x:v>
      </x:c>
      <x:c r="F322" t="str">
        <x:v>Kitgum</x:v>
      </x:c>
      <x:c r="G322" t="n">
        <x:v>6428.6</x:v>
      </x:c>
      <x:c r="H322" t="n">
        <x:v>0.000928</x:v>
      </x:c>
      <x:c r="I322" t="n">
        <x:v>0.9376</x:v>
      </x:c>
      <x:c r="J322" t="n">
        <x:v>4377.14</x:v>
      </x:c>
      <x:c r="K322" t="n">
        <x:v>1094.79</x:v>
      </x:c>
      <x:c r="L322" t="n">
        <x:v>518.07</x:v>
      </x:c>
      <x:c r="M322" t="n">
        <x:v>438.6</x:v>
      </x:c>
      <x:c r="N322" t="n">
        <x:v>0</x:v>
      </x:c>
    </x:row>
    <x:row r="323">
      <x:c r="A323" t="str">
        <x:v>Aringa Bridge</x:v>
      </x:c>
      <x:c r="B323" t="str">
        <x:v>B328</x:v>
      </x:c>
      <x:c r="C323" t="str">
        <x:v>C706_Link02</x:v>
      </x:c>
      <x:c r="D323" t="str">
        <x:v>C</x:v>
      </x:c>
      <x:c r="E323" t="str">
        <x:v>Northern</x:v>
      </x:c>
      <x:c r="F323" t="str">
        <x:v>Kitgum</x:v>
      </x:c>
      <x:c r="G323" t="n">
        <x:v>6456.15</x:v>
      </x:c>
      <x:c r="H323" t="n">
        <x:v>0.000928</x:v>
      </x:c>
      <x:c r="I323" t="n">
        <x:v>0.9376</x:v>
      </x:c>
      <x:c r="J323" t="n">
        <x:v>4395.1</x:v>
      </x:c>
      <x:c r="K323" t="n">
        <x:v>1098.88</x:v>
      </x:c>
      <x:c r="L323" t="n">
        <x:v>521.19</x:v>
      </x:c>
      <x:c r="M323" t="n">
        <x:v>440.99</x:v>
      </x:c>
      <x:c r="N323" t="n">
        <x:v>0</x:v>
      </x:c>
    </x:row>
    <x:row r="324">
      <x:c r="A324" t="str">
        <x:v>Ngago Bridge</x:v>
      </x:c>
      <x:c r="B324" t="str">
        <x:v>B330</x:v>
      </x:c>
      <x:c r="C324" t="str">
        <x:v>C721_Link01</x:v>
      </x:c>
      <x:c r="D324" t="str">
        <x:v>C</x:v>
      </x:c>
      <x:c r="E324" t="str">
        <x:v>Northern</x:v>
      </x:c>
      <x:c r="F324" t="str">
        <x:v>Moyo</x:v>
      </x:c>
      <x:c r="G324" t="n">
        <x:v>5476.78</x:v>
      </x:c>
      <x:c r="H324" t="n">
        <x:v>0.000928</x:v>
      </x:c>
      <x:c r="I324" t="n">
        <x:v>0.9376</x:v>
      </x:c>
      <x:c r="J324" t="n">
        <x:v>3682.28</x:v>
      </x:c>
      <x:c r="K324" t="n">
        <x:v>933.18</x:v>
      </x:c>
      <x:c r="L324" t="n">
        <x:v>466.24</x:v>
      </x:c>
      <x:c r="M324" t="n">
        <x:v>395.08</x:v>
      </x:c>
      <x:c r="N324" t="n">
        <x:v>0</x:v>
      </x:c>
    </x:row>
    <x:row r="325">
      <x:c r="A325" t="str">
        <x:v>Lea Bridge</x:v>
      </x:c>
      <x:c r="B325" t="str">
        <x:v>B331</x:v>
      </x:c>
      <x:c r="C325" t="str">
        <x:v>C722_Link01</x:v>
      </x:c>
      <x:c r="D325" t="str">
        <x:v>C</x:v>
      </x:c>
      <x:c r="E325" t="str">
        <x:v>Northern</x:v>
      </x:c>
      <x:c r="F325" t="str">
        <x:v>Moyo</x:v>
      </x:c>
      <x:c r="G325" t="n">
        <x:v>5848.99</x:v>
      </x:c>
      <x:c r="H325" t="n">
        <x:v>0.000928</x:v>
      </x:c>
      <x:c r="I325" t="n">
        <x:v>0.9376</x:v>
      </x:c>
      <x:c r="J325" t="n">
        <x:v>3963.85</x:v>
      </x:c>
      <x:c r="K325" t="n">
        <x:v>990.95</x:v>
      </x:c>
      <x:c r="L325" t="n">
        <x:v>484.15</x:v>
      </x:c>
      <x:c r="M325" t="n">
        <x:v>410.05</x:v>
      </x:c>
      <x:c r="N325" t="n">
        <x:v>0</x:v>
      </x:c>
    </x:row>
    <x:row r="326">
      <x:c r="A326" t="str">
        <x:v>Nyawa Bridge</x:v>
      </x:c>
      <x:c r="B326" t="str">
        <x:v>B332</x:v>
      </x:c>
      <x:c r="C326" t="str">
        <x:v>C722_Link01</x:v>
      </x:c>
      <x:c r="D326" t="str">
        <x:v>C</x:v>
      </x:c>
      <x:c r="E326" t="str">
        <x:v>Northern</x:v>
      </x:c>
      <x:c r="F326" t="str">
        <x:v>Moyo</x:v>
      </x:c>
      <x:c r="G326" t="n">
        <x:v>5690.48</x:v>
      </x:c>
      <x:c r="H326" t="n">
        <x:v>0.000928</x:v>
      </x:c>
      <x:c r="I326" t="n">
        <x:v>0.9376</x:v>
      </x:c>
      <x:c r="J326" t="n">
        <x:v>3851.81</x:v>
      </x:c>
      <x:c r="K326" t="n">
        <x:v>964.61</x:v>
      </x:c>
      <x:c r="L326" t="n">
        <x:v>472.85</x:v>
      </x:c>
      <x:c r="M326" t="n">
        <x:v>401.22</x:v>
      </x:c>
      <x:c r="N326" t="n">
        <x:v>0</x:v>
      </x:c>
    </x:row>
    <x:row r="327">
      <x:c r="A327" t="str">
        <x:v>Omposo Bridge</x:v>
      </x:c>
      <x:c r="B327" t="str">
        <x:v>B333</x:v>
      </x:c>
      <x:c r="C327" t="str">
        <x:v>C722_Link01</x:v>
      </x:c>
      <x:c r="D327" t="str">
        <x:v>C</x:v>
      </x:c>
      <x:c r="E327" t="str">
        <x:v>Northern</x:v>
      </x:c>
      <x:c r="F327" t="str">
        <x:v>Moyo</x:v>
      </x:c>
      <x:c r="G327" t="n">
        <x:v>5595.42</x:v>
      </x:c>
      <x:c r="H327" t="n">
        <x:v>0.000928</x:v>
      </x:c>
      <x:c r="I327" t="n">
        <x:v>0.9376</x:v>
      </x:c>
      <x:c r="J327" t="n">
        <x:v>3781.68</x:v>
      </x:c>
      <x:c r="K327" t="n">
        <x:v>949.09</x:v>
      </x:c>
      <x:c r="L327" t="n">
        <x:v>467.55</x:v>
      </x:c>
      <x:c r="M327" t="n">
        <x:v>397.1</x:v>
      </x:c>
      <x:c r="N327" t="n">
        <x:v>0</x:v>
      </x:c>
    </x:row>
    <x:row r="328">
      <x:c r="A328" t="str">
        <x:v>Tete Bridge</x:v>
      </x:c>
      <x:c r="B328" t="str">
        <x:v>B334</x:v>
      </x:c>
      <x:c r="C328" t="str">
        <x:v>C727_Link01</x:v>
      </x:c>
      <x:c r="D328" t="str">
        <x:v>C</x:v>
      </x:c>
      <x:c r="E328" t="str">
        <x:v>Northern</x:v>
      </x:c>
      <x:c r="F328" t="str">
        <x:v>Moyo</x:v>
      </x:c>
      <x:c r="G328" t="n">
        <x:v>5874.5</x:v>
      </x:c>
      <x:c r="H328" t="n">
        <x:v>0.000928</x:v>
      </x:c>
      <x:c r="I328" t="n">
        <x:v>0.9376</x:v>
      </x:c>
      <x:c r="J328" t="n">
        <x:v>3992.35</x:v>
      </x:c>
      <x:c r="K328" t="n">
        <x:v>995.3</x:v>
      </x:c>
      <x:c r="L328" t="n">
        <x:v>479.88</x:v>
      </x:c>
      <x:c r="M328" t="n">
        <x:v>406.97</x:v>
      </x:c>
      <x:c r="N328" t="n">
        <x:v>0</x:v>
      </x:c>
    </x:row>
    <x:row r="329">
      <x:c r="A329" t="str">
        <x:v>Balibo</x:v>
      </x:c>
      <x:c r="B329" t="str">
        <x:v>B335</x:v>
      </x:c>
      <x:c r="C329" t="str">
        <x:v>C764_Link01</x:v>
      </x:c>
      <x:c r="D329" t="str">
        <x:v>C</x:v>
      </x:c>
      <x:c r="E329" t="str">
        <x:v>Northern</x:v>
      </x:c>
      <x:c r="F329" t="str">
        <x:v>Arua</x:v>
      </x:c>
      <x:c r="G329" t="n">
        <x:v>5318.92</x:v>
      </x:c>
      <x:c r="H329" t="n">
        <x:v>0.000928</x:v>
      </x:c>
      <x:c r="I329" t="n">
        <x:v>0.9376</x:v>
      </x:c>
      <x:c r="J329" t="n">
        <x:v>3546.51</x:v>
      </x:c>
      <x:c r="K329" t="n">
        <x:v>918.11</x:v>
      </x:c>
      <x:c r="L329" t="n">
        <x:v>464.94</x:v>
      </x:c>
      <x:c r="M329" t="n">
        <x:v>389.36</x:v>
      </x:c>
      <x:c r="N329" t="n">
        <x:v>0</x:v>
      </x:c>
    </x:row>
    <x:row r="330">
      <x:c r="A330" t="str">
        <x:v>Oguta Bridge</x:v>
      </x:c>
      <x:c r="B330" t="str">
        <x:v>B336</x:v>
      </x:c>
      <x:c r="C330" t="str">
        <x:v>C747_Link01</x:v>
      </x:c>
      <x:c r="D330" t="str">
        <x:v>C</x:v>
      </x:c>
      <x:c r="E330" t="str">
        <x:v>Northern</x:v>
      </x:c>
      <x:c r="F330" t="str">
        <x:v>Arua</x:v>
      </x:c>
      <x:c r="G330" t="n">
        <x:v>4635.52</x:v>
      </x:c>
      <x:c r="H330" t="n">
        <x:v>0.000928</x:v>
      </x:c>
      <x:c r="I330" t="n">
        <x:v>0.9376</x:v>
      </x:c>
      <x:c r="J330" t="n">
        <x:v>3129.41</x:v>
      </x:c>
      <x:c r="K330" t="n">
        <x:v>679.33</x:v>
      </x:c>
      <x:c r="L330" t="n">
        <x:v>407.12</x:v>
      </x:c>
      <x:c r="M330" t="n">
        <x:v>419.66</x:v>
      </x:c>
      <x:c r="N330" t="n">
        <x:v>0</x:v>
      </x:c>
    </x:row>
    <x:row r="331">
      <x:c r="A331" t="str">
        <x:v>Araga Bridge</x:v>
      </x:c>
      <x:c r="B331" t="str">
        <x:v>B337</x:v>
      </x:c>
      <x:c r="C331" t="str">
        <x:v>C747_Link01</x:v>
      </x:c>
      <x:c r="D331" t="str">
        <x:v>C</x:v>
      </x:c>
      <x:c r="E331" t="str">
        <x:v>Northern</x:v>
      </x:c>
      <x:c r="F331" t="str">
        <x:v>Arua</x:v>
      </x:c>
      <x:c r="G331" t="n">
        <x:v>4369.28</x:v>
      </x:c>
      <x:c r="H331" t="n">
        <x:v>0.000928</x:v>
      </x:c>
      <x:c r="I331" t="n">
        <x:v>0.9376</x:v>
      </x:c>
      <x:c r="J331" t="n">
        <x:v>2941.35</x:v>
      </x:c>
      <x:c r="K331" t="n">
        <x:v>623.46</x:v>
      </x:c>
      <x:c r="L331" t="n">
        <x:v>388.97</x:v>
      </x:c>
      <x:c r="M331" t="n">
        <x:v>415.51</x:v>
      </x:c>
      <x:c r="N331" t="n">
        <x:v>0</x:v>
      </x:c>
    </x:row>
    <x:row r="332">
      <x:c r="A332" t="str">
        <x:v>Acodho Bridge</x:v>
      </x:c>
      <x:c r="B332" t="str">
        <x:v>B338</x:v>
      </x:c>
      <x:c r="C332" t="str">
        <x:v>C747_Link01</x:v>
      </x:c>
      <x:c r="D332" t="str">
        <x:v>C</x:v>
      </x:c>
      <x:c r="E332" t="str">
        <x:v>Northern</x:v>
      </x:c>
      <x:c r="F332" t="str">
        <x:v>Arua</x:v>
      </x:c>
      <x:c r="G332" t="n">
        <x:v>4247.79</x:v>
      </x:c>
      <x:c r="H332" t="n">
        <x:v>0.000928</x:v>
      </x:c>
      <x:c r="I332" t="n">
        <x:v>0.9376</x:v>
      </x:c>
      <x:c r="J332" t="n">
        <x:v>2856.97</x:v>
      </x:c>
      <x:c r="K332" t="n">
        <x:v>596.24</x:v>
      </x:c>
      <x:c r="L332" t="n">
        <x:v>380.32</x:v>
      </x:c>
      <x:c r="M332" t="n">
        <x:v>414.26</x:v>
      </x:c>
      <x:c r="N332" t="n">
        <x:v>0</x:v>
      </x:c>
    </x:row>
    <x:row r="333">
      <x:c r="A333" t="str">
        <x:v>Cido Bridge</x:v>
      </x:c>
      <x:c r="B333" t="str">
        <x:v>B339</x:v>
      </x:c>
      <x:c r="C333" t="str">
        <x:v>C747_Link01</x:v>
      </x:c>
      <x:c r="D333" t="str">
        <x:v>C</x:v>
      </x:c>
      <x:c r="E333" t="str">
        <x:v>Northern</x:v>
      </x:c>
      <x:c r="F333" t="str">
        <x:v>Arua</x:v>
      </x:c>
      <x:c r="G333" t="n">
        <x:v>4344.69</x:v>
      </x:c>
      <x:c r="H333" t="n">
        <x:v>0.000928</x:v>
      </x:c>
      <x:c r="I333" t="n">
        <x:v>0.9376</x:v>
      </x:c>
      <x:c r="J333" t="n">
        <x:v>2890.83</x:v>
      </x:c>
      <x:c r="K333" t="n">
        <x:v>662.57</x:v>
      </x:c>
      <x:c r="L333" t="n">
        <x:v>395.06</x:v>
      </x:c>
      <x:c r="M333" t="n">
        <x:v>396.23</x:v>
      </x:c>
      <x:c r="N333" t="n">
        <x:v>0</x:v>
      </x:c>
    </x:row>
    <x:row r="334">
      <x:c r="A334" t="str">
        <x:v>Nyarwotho Bridge</x:v>
      </x:c>
      <x:c r="B334" t="str">
        <x:v>B340</x:v>
      </x:c>
      <x:c r="C334" t="str">
        <x:v>C747_Link01</x:v>
      </x:c>
      <x:c r="D334" t="str">
        <x:v>C</x:v>
      </x:c>
      <x:c r="E334" t="str">
        <x:v>Northern</x:v>
      </x:c>
      <x:c r="F334" t="str">
        <x:v>Arua</x:v>
      </x:c>
      <x:c r="G334" t="n">
        <x:v>4417.47</x:v>
      </x:c>
      <x:c r="H334" t="n">
        <x:v>0.000928</x:v>
      </x:c>
      <x:c r="I334" t="n">
        <x:v>0.9376</x:v>
      </x:c>
      <x:c r="J334" t="n">
        <x:v>2938.05</x:v>
      </x:c>
      <x:c r="K334" t="n">
        <x:v>683.27</x:v>
      </x:c>
      <x:c r="L334" t="n">
        <x:v>401.02</x:v>
      </x:c>
      <x:c r="M334" t="n">
        <x:v>395.13</x:v>
      </x:c>
      <x:c r="N334" t="n">
        <x:v>0</x:v>
      </x:c>
    </x:row>
    <x:row r="335">
      <x:c r="A335" t="str">
        <x:v>Enyau Bridge</x:v>
      </x:c>
      <x:c r="B335" t="str">
        <x:v>B344</x:v>
      </x:c>
      <x:c r="C335" t="str">
        <x:v>C752_Link01</x:v>
      </x:c>
      <x:c r="D335" t="str">
        <x:v>C</x:v>
      </x:c>
      <x:c r="E335" t="str">
        <x:v>Northern</x:v>
      </x:c>
      <x:c r="F335" t="str">
        <x:v>Arua</x:v>
      </x:c>
      <x:c r="G335" t="n">
        <x:v>5012.19</x:v>
      </x:c>
      <x:c r="H335" t="n">
        <x:v>0.000928</x:v>
      </x:c>
      <x:c r="I335" t="n">
        <x:v>0.9376</x:v>
      </x:c>
      <x:c r="J335" t="n">
        <x:v>3309.13</x:v>
      </x:c>
      <x:c r="K335" t="n">
        <x:v>878.83</x:v>
      </x:c>
      <x:c r="L335" t="n">
        <x:v>450.4</x:v>
      </x:c>
      <x:c r="M335" t="n">
        <x:v>373.83</x:v>
      </x:c>
      <x:c r="N335" t="n">
        <x:v>0</x:v>
      </x:c>
    </x:row>
    <x:row r="336">
      <x:c r="A336" t="str">
        <x:v>Okayiva Bridge</x:v>
      </x:c>
      <x:c r="B336" t="str">
        <x:v>B345</x:v>
      </x:c>
      <x:c r="C336" t="str">
        <x:v>C752_Link01</x:v>
      </x:c>
      <x:c r="D336" t="str">
        <x:v>C</x:v>
      </x:c>
      <x:c r="E336" t="str">
        <x:v>Northern</x:v>
      </x:c>
      <x:c r="F336" t="str">
        <x:v>Arua</x:v>
      </x:c>
      <x:c r="G336" t="n">
        <x:v>5045.93</x:v>
      </x:c>
      <x:c r="H336" t="n">
        <x:v>0.000928</x:v>
      </x:c>
      <x:c r="I336" t="n">
        <x:v>0.9376</x:v>
      </x:c>
      <x:c r="J336" t="n">
        <x:v>3334.82</x:v>
      </x:c>
      <x:c r="K336" t="n">
        <x:v>883.25</x:v>
      </x:c>
      <x:c r="L336" t="n">
        <x:v>452.23</x:v>
      </x:c>
      <x:c r="M336" t="n">
        <x:v>375.63</x:v>
      </x:c>
      <x:c r="N336" t="n">
        <x:v>0</x:v>
      </x:c>
    </x:row>
    <x:row r="337">
      <x:c r="A337" t="str">
        <x:v>Esi Bridge</x:v>
      </x:c>
      <x:c r="B337" t="str">
        <x:v>B346</x:v>
      </x:c>
      <x:c r="C337" t="str">
        <x:v>C752_Link01</x:v>
      </x:c>
      <x:c r="D337" t="str">
        <x:v>C</x:v>
      </x:c>
      <x:c r="E337" t="str">
        <x:v>Northern</x:v>
      </x:c>
      <x:c r="F337" t="str">
        <x:v>Arua</x:v>
      </x:c>
      <x:c r="G337" t="n">
        <x:v>5170.07</x:v>
      </x:c>
      <x:c r="H337" t="n">
        <x:v>0.000928</x:v>
      </x:c>
      <x:c r="I337" t="n">
        <x:v>0.9376</x:v>
      </x:c>
      <x:c r="J337" t="n">
        <x:v>3428.81</x:v>
      </x:c>
      <x:c r="K337" t="n">
        <x:v>899.85</x:v>
      </x:c>
      <x:c r="L337" t="n">
        <x:v>459.19</x:v>
      </x:c>
      <x:c r="M337" t="n">
        <x:v>382.22</x:v>
      </x:c>
      <x:c r="N337" t="n">
        <x:v>0</x:v>
      </x:c>
    </x:row>
    <x:row r="338">
      <x:c r="A338" t="str">
        <x:v>Enyawu-Chillio Bridge</x:v>
      </x:c>
      <x:c r="B338" t="str">
        <x:v>B347</x:v>
      </x:c>
      <x:c r="C338" t="str">
        <x:v>C755_Link01</x:v>
      </x:c>
      <x:c r="D338" t="str">
        <x:v>C</x:v>
      </x:c>
      <x:c r="E338" t="str">
        <x:v>Northern</x:v>
      </x:c>
      <x:c r="F338" t="str">
        <x:v>Arua</x:v>
      </x:c>
      <x:c r="G338" t="n">
        <x:v>5290.83</x:v>
      </x:c>
      <x:c r="H338" t="n">
        <x:v>0.000928</x:v>
      </x:c>
      <x:c r="I338" t="n">
        <x:v>0.9376</x:v>
      </x:c>
      <x:c r="J338" t="n">
        <x:v>3527.29</x:v>
      </x:c>
      <x:c r="K338" t="n">
        <x:v>913.16</x:v>
      </x:c>
      <x:c r="L338" t="n">
        <x:v>462.53</x:v>
      </x:c>
      <x:c r="M338" t="n">
        <x:v>387.85</x:v>
      </x:c>
      <x:c r="N338" t="n">
        <x:v>0</x:v>
      </x:c>
    </x:row>
    <x:row r="339">
      <x:c r="A339" t="str">
        <x:v>Kochi</x:v>
      </x:c>
      <x:c r="B339" t="str">
        <x:v>B348</x:v>
      </x:c>
      <x:c r="C339" t="str">
        <x:v>C758_Link01</x:v>
      </x:c>
      <x:c r="D339" t="str">
        <x:v>C</x:v>
      </x:c>
      <x:c r="E339" t="str">
        <x:v>Northern</x:v>
      </x:c>
      <x:c r="F339" t="str">
        <x:v>Moyo</x:v>
      </x:c>
      <x:c r="G339" t="n">
        <x:v>5785.93</x:v>
      </x:c>
      <x:c r="H339" t="n">
        <x:v>0.000928</x:v>
      </x:c>
      <x:c r="I339" t="n">
        <x:v>0.9376</x:v>
      </x:c>
      <x:c r="J339" t="n">
        <x:v>3905.78</x:v>
      </x:c>
      <x:c r="K339" t="n">
        <x:v>982.95</x:v>
      </x:c>
      <x:c r="L339" t="n">
        <x:v>486.54</x:v>
      </x:c>
      <x:c r="M339" t="n">
        <x:v>410.67</x:v>
      </x:c>
      <x:c r="N339" t="n">
        <x:v>0</x:v>
      </x:c>
    </x:row>
    <x:row r="340">
      <x:c r="A340" t="str">
        <x:v>Osu</x:v>
      </x:c>
      <x:c r="B340" t="str">
        <x:v>B349</x:v>
      </x:c>
      <x:c r="C340" t="str">
        <x:v>C762_Link01</x:v>
      </x:c>
      <x:c r="D340" t="str">
        <x:v>C</x:v>
      </x:c>
      <x:c r="E340" t="str">
        <x:v>Northern</x:v>
      </x:c>
      <x:c r="F340" t="str">
        <x:v>Arua</x:v>
      </x:c>
      <x:c r="G340" t="n">
        <x:v>4862.1</x:v>
      </x:c>
      <x:c r="H340" t="n">
        <x:v>0.000928</x:v>
      </x:c>
      <x:c r="I340" t="n">
        <x:v>0.9376</x:v>
      </x:c>
      <x:c r="J340" t="n">
        <x:v>3200.14</x:v>
      </x:c>
      <x:c r="K340" t="n">
        <x:v>855.99</x:v>
      </x:c>
      <x:c r="L340" t="n">
        <x:v>440.09</x:v>
      </x:c>
      <x:c r="M340" t="n">
        <x:v>365.88</x:v>
      </x:c>
      <x:c r="N340" t="n">
        <x:v>0</x:v>
      </x:c>
    </x:row>
    <x:row r="341">
      <x:c r="A341" t="str">
        <x:v>Korubude Bridge</x:v>
      </x:c>
      <x:c r="B341" t="str">
        <x:v>B352</x:v>
      </x:c>
      <x:c r="C341" t="str">
        <x:v>C836_Link02</x:v>
      </x:c>
      <x:c r="D341" t="str">
        <x:v>C</x:v>
      </x:c>
      <x:c r="E341" t="str">
        <x:v>Eastern</x:v>
      </x:c>
      <x:c r="F341" t="str">
        <x:v>Tororo</x:v>
      </x:c>
      <x:c r="G341" t="n">
        <x:v>8239.78</x:v>
      </x:c>
      <x:c r="H341" t="n">
        <x:v>0.000928</x:v>
      </x:c>
      <x:c r="I341" t="n">
        <x:v>0.9312</x:v>
      </x:c>
      <x:c r="J341" t="n">
        <x:v>5355.42</x:v>
      </x:c>
      <x:c r="K341" t="n">
        <x:v>1543.47</x:v>
      </x:c>
      <x:c r="L341" t="n">
        <x:v>699.49</x:v>
      </x:c>
      <x:c r="M341" t="n">
        <x:v>641.41</x:v>
      </x:c>
      <x:c r="N341" t="n">
        <x:v>0</x:v>
      </x:c>
    </x:row>
    <x:row r="342">
      <x:c r="A342" t="str">
        <x:v>Kaminima</x:v>
      </x:c>
      <x:c r="B342" t="str">
        <x:v>B354</x:v>
      </x:c>
      <x:c r="C342" t="str">
        <x:v>C837_Link01</x:v>
      </x:c>
      <x:c r="D342" t="str">
        <x:v>C</x:v>
      </x:c>
      <x:c r="E342" t="str">
        <x:v>Eastern</x:v>
      </x:c>
      <x:c r="F342" t="str">
        <x:v>Tororo</x:v>
      </x:c>
      <x:c r="G342" t="n">
        <x:v>7422.42</x:v>
      </x:c>
      <x:c r="H342" t="n">
        <x:v>0.000928</x:v>
      </x:c>
      <x:c r="I342" t="n">
        <x:v>0.9312</x:v>
      </x:c>
      <x:c r="J342" t="n">
        <x:v>4661.93</x:v>
      </x:c>
      <x:c r="K342" t="n">
        <x:v>1587.17</x:v>
      </x:c>
      <x:c r="L342" t="n">
        <x:v>664.66</x:v>
      </x:c>
      <x:c r="M342" t="n">
        <x:v>508.66</x:v>
      </x:c>
      <x:c r="N342" t="n">
        <x:v>0</x:v>
      </x:c>
    </x:row>
    <x:row r="343">
      <x:c r="A343" t="str">
        <x:v>Kamunima</x:v>
      </x:c>
      <x:c r="B343" t="str">
        <x:v>B355</x:v>
      </x:c>
      <x:c r="C343" t="str">
        <x:v>C837_Link01</x:v>
      </x:c>
      <x:c r="D343" t="str">
        <x:v>C</x:v>
      </x:c>
      <x:c r="E343" t="str">
        <x:v>Eastern</x:v>
      </x:c>
      <x:c r="F343" t="str">
        <x:v>Tororo</x:v>
      </x:c>
      <x:c r="G343" t="n">
        <x:v>7422.42</x:v>
      </x:c>
      <x:c r="H343" t="n">
        <x:v>0.000928</x:v>
      </x:c>
      <x:c r="I343" t="n">
        <x:v>0.9312</x:v>
      </x:c>
      <x:c r="J343" t="n">
        <x:v>4661.93</x:v>
      </x:c>
      <x:c r="K343" t="n">
        <x:v>1587.17</x:v>
      </x:c>
      <x:c r="L343" t="n">
        <x:v>664.66</x:v>
      </x:c>
      <x:c r="M343" t="n">
        <x:v>508.66</x:v>
      </x:c>
      <x:c r="N343" t="n">
        <x:v>0</x:v>
      </x:c>
    </x:row>
    <x:row r="344">
      <x:c r="A344" t="str">
        <x:v>Kapisa Bridge</x:v>
      </x:c>
      <x:c r="B344" t="str">
        <x:v>B357</x:v>
      </x:c>
      <x:c r="C344" t="str">
        <x:v>C838_Link02</x:v>
      </x:c>
      <x:c r="D344" t="str">
        <x:v>C</x:v>
      </x:c>
      <x:c r="E344" t="str">
        <x:v>Eastern</x:v>
      </x:c>
      <x:c r="F344" t="str">
        <x:v>Tororo</x:v>
      </x:c>
      <x:c r="G344" t="n">
        <x:v>7253.39</x:v>
      </x:c>
      <x:c r="H344" t="n">
        <x:v>0.000928</x:v>
      </x:c>
      <x:c r="I344" t="n">
        <x:v>0.9312</x:v>
      </x:c>
      <x:c r="J344" t="n">
        <x:v>4492.33</x:v>
      </x:c>
      <x:c r="K344" t="n">
        <x:v>1614.87</x:v>
      </x:c>
      <x:c r="L344" t="n">
        <x:v>663.45</x:v>
      </x:c>
      <x:c r="M344" t="n">
        <x:v>482.75</x:v>
      </x:c>
      <x:c r="N344" t="n">
        <x:v>0</x:v>
      </x:c>
    </x:row>
    <x:row r="345">
      <x:c r="A345" t="str">
        <x:v>Namulo</x:v>
      </x:c>
      <x:c r="B345" t="str">
        <x:v>B359</x:v>
      </x:c>
      <x:c r="C345" t="str">
        <x:v>C839_Link01</x:v>
      </x:c>
      <x:c r="D345" t="str">
        <x:v>C</x:v>
      </x:c>
      <x:c r="E345" t="str">
        <x:v>Eastern</x:v>
      </x:c>
      <x:c r="F345" t="str">
        <x:v>Tororo</x:v>
      </x:c>
      <x:c r="G345" t="n">
        <x:v>7371.53</x:v>
      </x:c>
      <x:c r="H345" t="n">
        <x:v>0.000928</x:v>
      </x:c>
      <x:c r="I345" t="n">
        <x:v>0.9312</x:v>
      </x:c>
      <x:c r="J345" t="n">
        <x:v>4609.02</x:v>
      </x:c>
      <x:c r="K345" t="n">
        <x:v>1596.79</x:v>
      </x:c>
      <x:c r="L345" t="n">
        <x:v>664.7</x:v>
      </x:c>
      <x:c r="M345" t="n">
        <x:v>501.02</x:v>
      </x:c>
      <x:c r="N345" t="n">
        <x:v>0</x:v>
      </x:c>
    </x:row>
    <x:row r="346">
      <x:c r="A346" t="str">
        <x:v>Paya</x:v>
      </x:c>
      <x:c r="B346" t="str">
        <x:v>B360</x:v>
      </x:c>
      <x:c r="C346" t="str">
        <x:v>C847_Link01</x:v>
      </x:c>
      <x:c r="D346" t="str">
        <x:v>C</x:v>
      </x:c>
      <x:c r="E346" t="str">
        <x:v>Eastern</x:v>
      </x:c>
      <x:c r="F346" t="str">
        <x:v>Tororo</x:v>
      </x:c>
      <x:c r="G346" t="n">
        <x:v>6802.82</x:v>
      </x:c>
      <x:c r="H346" t="n">
        <x:v>0.000928</x:v>
      </x:c>
      <x:c r="I346" t="n">
        <x:v>0.9312</x:v>
      </x:c>
      <x:c r="J346" t="n">
        <x:v>3962.89</x:v>
      </x:c>
      <x:c r="K346" t="n">
        <x:v>1758.07</x:v>
      </x:c>
      <x:c r="L346" t="n">
        <x:v>680.24</x:v>
      </x:c>
      <x:c r="M346" t="n">
        <x:v>401.62</x:v>
      </x:c>
      <x:c r="N346" t="n">
        <x:v>0</x:v>
      </x:c>
    </x:row>
    <x:row r="347">
      <x:c r="A347" t="str">
        <x:v>Jalanja</x:v>
      </x:c>
      <x:c r="B347" t="str">
        <x:v>B361</x:v>
      </x:c>
      <x:c r="C347" t="str">
        <x:v>C873_Link01</x:v>
      </x:c>
      <x:c r="D347" t="str">
        <x:v>C</x:v>
      </x:c>
      <x:c r="E347" t="str">
        <x:v>Eastern</x:v>
      </x:c>
      <x:c r="F347" t="str">
        <x:v>Mbale</x:v>
      </x:c>
      <x:c r="G347" t="n">
        <x:v>6682.85</x:v>
      </x:c>
      <x:c r="H347" t="n">
        <x:v>0.000928</x:v>
      </x:c>
      <x:c r="I347" t="n">
        <x:v>0.9312</x:v>
      </x:c>
      <x:c r="J347" t="n">
        <x:v>3934.35</x:v>
      </x:c>
      <x:c r="K347" t="n">
        <x:v>1700.8</x:v>
      </x:c>
      <x:c r="L347" t="n">
        <x:v>656.38</x:v>
      </x:c>
      <x:c r="M347" t="n">
        <x:v>391.32</x:v>
      </x:c>
      <x:c r="N347" t="n">
        <x:v>0</x:v>
      </x:c>
    </x:row>
    <x:row r="348">
      <x:c r="A348" t="str">
        <x:v>Nahamya</x:v>
      </x:c>
      <x:c r="B348" t="str">
        <x:v>B362</x:v>
      </x:c>
      <x:c r="C348" t="str">
        <x:v>C873_Link01</x:v>
      </x:c>
      <x:c r="D348" t="str">
        <x:v>C</x:v>
      </x:c>
      <x:c r="E348" t="str">
        <x:v>Eastern</x:v>
      </x:c>
      <x:c r="F348" t="str">
        <x:v>Mbale</x:v>
      </x:c>
      <x:c r="G348" t="n">
        <x:v>6699.64</x:v>
      </x:c>
      <x:c r="H348" t="n">
        <x:v>0.000928</x:v>
      </x:c>
      <x:c r="I348" t="n">
        <x:v>0.9312</x:v>
      </x:c>
      <x:c r="J348" t="n">
        <x:v>3949.53</x:v>
      </x:c>
      <x:c r="K348" t="n">
        <x:v>1699.37</x:v>
      </x:c>
      <x:c r="L348" t="n">
        <x:v>656.92</x:v>
      </x:c>
      <x:c r="M348" t="n">
        <x:v>393.82</x:v>
      </x:c>
      <x:c r="N348" t="n">
        <x:v>0</x:v>
      </x:c>
    </x:row>
    <x:row r="349">
      <x:c r="A349" t="str">
        <x:v>Kitoikawunoni</x:v>
      </x:c>
      <x:c r="B349" t="str">
        <x:v>B363</x:v>
      </x:c>
      <x:c r="C349" t="str">
        <x:v>C878_Link01</x:v>
      </x:c>
      <x:c r="D349" t="str">
        <x:v>C</x:v>
      </x:c>
      <x:c r="E349" t="str">
        <x:v>Eastern</x:v>
      </x:c>
      <x:c r="F349" t="str">
        <x:v>Mbale</x:v>
      </x:c>
      <x:c r="G349" t="n">
        <x:v>5473.47</x:v>
      </x:c>
      <x:c r="H349" t="n">
        <x:v>0.000928</x:v>
      </x:c>
      <x:c r="I349" t="n">
        <x:v>0.9312</x:v>
      </x:c>
      <x:c r="J349" t="n">
        <x:v>3339.5</x:v>
      </x:c>
      <x:c r="K349" t="n">
        <x:v>1336.6</x:v>
      </x:c>
      <x:c r="L349" t="n">
        <x:v>477.82</x:v>
      </x:c>
      <x:c r="M349" t="n">
        <x:v>319.54</x:v>
      </x:c>
      <x:c r="N349" t="n">
        <x:v>0</x:v>
      </x:c>
    </x:row>
    <x:row r="350">
      <x:c r="A350" t="str">
        <x:v>Busamaga</x:v>
      </x:c>
      <x:c r="B350" t="str">
        <x:v>B364</x:v>
      </x:c>
      <x:c r="C350" t="str">
        <x:v>C880_Link01</x:v>
      </x:c>
      <x:c r="D350" t="str">
        <x:v>C</x:v>
      </x:c>
      <x:c r="E350" t="str">
        <x:v>Eastern</x:v>
      </x:c>
      <x:c r="F350" t="str">
        <x:v>Mbale</x:v>
      </x:c>
      <x:c r="G350" t="n">
        <x:v>7158.94</x:v>
      </x:c>
      <x:c r="H350" t="n">
        <x:v>0.000928</x:v>
      </x:c>
      <x:c r="I350" t="n">
        <x:v>0.9312</x:v>
      </x:c>
      <x:c r="J350" t="n">
        <x:v>4594.74</x:v>
      </x:c>
      <x:c r="K350" t="n">
        <x:v>1464.13</x:v>
      </x:c>
      <x:c r="L350" t="n">
        <x:v>616.25</x:v>
      </x:c>
      <x:c r="M350" t="n">
        <x:v>483.82</x:v>
      </x:c>
      <x:c r="N350" t="n">
        <x:v>0</x:v>
      </x:c>
    </x:row>
    <x:row r="351">
      <x:c r="A351" t="str">
        <x:v>Namatyale</x:v>
      </x:c>
      <x:c r="B351" t="str">
        <x:v>B365</x:v>
      </x:c>
      <x:c r="C351" t="str">
        <x:v>C880_Link01</x:v>
      </x:c>
      <x:c r="D351" t="str">
        <x:v>C</x:v>
      </x:c>
      <x:c r="E351" t="str">
        <x:v>Eastern</x:v>
      </x:c>
      <x:c r="F351" t="str">
        <x:v>Mbale</x:v>
      </x:c>
      <x:c r="G351" t="n">
        <x:v>7158.94</x:v>
      </x:c>
      <x:c r="H351" t="n">
        <x:v>0.000928</x:v>
      </x:c>
      <x:c r="I351" t="n">
        <x:v>0.9312</x:v>
      </x:c>
      <x:c r="J351" t="n">
        <x:v>4594.74</x:v>
      </x:c>
      <x:c r="K351" t="n">
        <x:v>1464.13</x:v>
      </x:c>
      <x:c r="L351" t="n">
        <x:v>616.25</x:v>
      </x:c>
      <x:c r="M351" t="n">
        <x:v>483.82</x:v>
      </x:c>
      <x:c r="N351" t="n">
        <x:v>0</x:v>
      </x:c>
    </x:row>
    <x:row r="352">
      <x:c r="A352" t="str">
        <x:v>Pondo</x:v>
      </x:c>
      <x:c r="B352" t="str">
        <x:v>B366</x:v>
      </x:c>
      <x:c r="C352" t="str">
        <x:v>C884_Link01</x:v>
      </x:c>
      <x:c r="D352" t="str">
        <x:v>C</x:v>
      </x:c>
      <x:c r="E352" t="str">
        <x:v>Eastern</x:v>
      </x:c>
      <x:c r="F352" t="str">
        <x:v>Mbale</x:v>
      </x:c>
      <x:c r="G352" t="n">
        <x:v>7181.01</x:v>
      </x:c>
      <x:c r="H352" t="n">
        <x:v>0.000928</x:v>
      </x:c>
      <x:c r="I352" t="n">
        <x:v>0.9312</x:v>
      </x:c>
      <x:c r="J352" t="n">
        <x:v>4665.97</x:v>
      </x:c>
      <x:c r="K352" t="n">
        <x:v>1419.48</x:v>
      </x:c>
      <x:c r="L352" t="n">
        <x:v>606.35</x:v>
      </x:c>
      <x:c r="M352" t="n">
        <x:v>489.22</x:v>
      </x:c>
      <x:c r="N352" t="n">
        <x:v>0</x:v>
      </x:c>
    </x:row>
    <x:row r="353">
      <x:c r="A353" t="str">
        <x:v>Simu</x:v>
      </x:c>
      <x:c r="B353" t="str">
        <x:v>B367</x:v>
      </x:c>
      <x:c r="C353" t="str">
        <x:v>C884_Link01</x:v>
      </x:c>
      <x:c r="D353" t="str">
        <x:v>C</x:v>
      </x:c>
      <x:c r="E353" t="str">
        <x:v>Eastern</x:v>
      </x:c>
      <x:c r="F353" t="str">
        <x:v>Mbale</x:v>
      </x:c>
      <x:c r="G353" t="n">
        <x:v>7181.01</x:v>
      </x:c>
      <x:c r="H353" t="n">
        <x:v>0.000928</x:v>
      </x:c>
      <x:c r="I353" t="n">
        <x:v>0.9312</x:v>
      </x:c>
      <x:c r="J353" t="n">
        <x:v>4665.97</x:v>
      </x:c>
      <x:c r="K353" t="n">
        <x:v>1419.48</x:v>
      </x:c>
      <x:c r="L353" t="n">
        <x:v>606.35</x:v>
      </x:c>
      <x:c r="M353" t="n">
        <x:v>489.22</x:v>
      </x:c>
      <x:c r="N353" t="n">
        <x:v>0</x:v>
      </x:c>
    </x:row>
    <x:row r="354">
      <x:c r="A354" t="str">
        <x:v>Sisi</x:v>
      </x:c>
      <x:c r="B354" t="str">
        <x:v>B368</x:v>
      </x:c>
      <x:c r="C354" t="str">
        <x:v>C885_Link01</x:v>
      </x:c>
      <x:c r="D354" t="str">
        <x:v>C</x:v>
      </x:c>
      <x:c r="E354" t="str">
        <x:v>Eastern</x:v>
      </x:c>
      <x:c r="F354" t="str">
        <x:v>Mbale</x:v>
      </x:c>
      <x:c r="G354" t="n">
        <x:v>7157.11</x:v>
      </x:c>
      <x:c r="H354" t="n">
        <x:v>0.000928</x:v>
      </x:c>
      <x:c r="I354" t="n">
        <x:v>0.9312</x:v>
      </x:c>
      <x:c r="J354" t="n">
        <x:v>4666.17</x:v>
      </x:c>
      <x:c r="K354" t="n">
        <x:v>1402.18</x:v>
      </x:c>
      <x:c r="L354" t="n">
        <x:v>601.01</x:v>
      </x:c>
      <x:c r="M354" t="n">
        <x:v>487.74</x:v>
      </x:c>
      <x:c r="N354" t="n">
        <x:v>0</x:v>
      </x:c>
    </x:row>
    <x:row r="355">
      <x:c r="A355" t="str">
        <x:v>Kuffu</x:v>
      </x:c>
      <x:c r="B355" t="str">
        <x:v>B369</x:v>
      </x:c>
      <x:c r="C355" t="str">
        <x:v>C891_Link01</x:v>
      </x:c>
      <x:c r="D355" t="str">
        <x:v>C</x:v>
      </x:c>
      <x:c r="E355" t="str">
        <x:v>Eastern</x:v>
      </x:c>
      <x:c r="F355" t="str">
        <x:v>Mbale</x:v>
      </x:c>
      <x:c r="G355" t="n">
        <x:v>6784.28</x:v>
      </x:c>
      <x:c r="H355" t="n">
        <x:v>0.000928</x:v>
      </x:c>
      <x:c r="I355" t="n">
        <x:v>0.9312</x:v>
      </x:c>
      <x:c r="J355" t="n">
        <x:v>4349.47</x:v>
      </x:c>
      <x:c r="K355" t="n">
        <x:v>1381.1</x:v>
      </x:c>
      <x:c r="L355" t="n">
        <x:v>566.79</x:v>
      </x:c>
      <x:c r="M355" t="n">
        <x:v>486.92</x:v>
      </x:c>
      <x:c r="N355" t="n">
        <x:v>0</x:v>
      </x:c>
    </x:row>
    <x:row r="356">
      <x:c r="A356" t="str">
        <x:v>Nabukhya</x:v>
      </x:c>
      <x:c r="B356" t="str">
        <x:v>B370</x:v>
      </x:c>
      <x:c r="C356" t="str">
        <x:v>C891_Link01</x:v>
      </x:c>
      <x:c r="D356" t="str">
        <x:v>C</x:v>
      </x:c>
      <x:c r="E356" t="str">
        <x:v>Eastern</x:v>
      </x:c>
      <x:c r="F356" t="str">
        <x:v>Mbale</x:v>
      </x:c>
      <x:c r="G356" t="n">
        <x:v>6789.56</x:v>
      </x:c>
      <x:c r="H356" t="n">
        <x:v>0.000928</x:v>
      </x:c>
      <x:c r="I356" t="n">
        <x:v>0.9312</x:v>
      </x:c>
      <x:c r="J356" t="n">
        <x:v>4353.24</x:v>
      </x:c>
      <x:c r="K356" t="n">
        <x:v>1381.53</x:v>
      </x:c>
      <x:c r="L356" t="n">
        <x:v>567.23</x:v>
      </x:c>
      <x:c r="M356" t="n">
        <x:v>487.56</x:v>
      </x:c>
      <x:c r="N356" t="n">
        <x:v>0</x:v>
      </x:c>
    </x:row>
    <x:row r="357">
      <x:c r="A357" t="str">
        <x:v>Methi</x:v>
      </x:c>
      <x:c r="B357" t="str">
        <x:v>B372</x:v>
      </x:c>
      <x:c r="C357" t="str">
        <x:v>C891_Link01</x:v>
      </x:c>
      <x:c r="D357" t="str">
        <x:v>C</x:v>
      </x:c>
      <x:c r="E357" t="str">
        <x:v>Eastern</x:v>
      </x:c>
      <x:c r="F357" t="str">
        <x:v>Mbale</x:v>
      </x:c>
      <x:c r="G357" t="n">
        <x:v>6789.56</x:v>
      </x:c>
      <x:c r="H357" t="n">
        <x:v>0.000928</x:v>
      </x:c>
      <x:c r="I357" t="n">
        <x:v>0.9312</x:v>
      </x:c>
      <x:c r="J357" t="n">
        <x:v>4353.24</x:v>
      </x:c>
      <x:c r="K357" t="n">
        <x:v>1381.53</x:v>
      </x:c>
      <x:c r="L357" t="n">
        <x:v>567.23</x:v>
      </x:c>
      <x:c r="M357" t="n">
        <x:v>487.56</x:v>
      </x:c>
      <x:c r="N357" t="n">
        <x:v>0</x:v>
      </x:c>
    </x:row>
    <x:row r="358">
      <x:c r="A358" t="str">
        <x:v>Namisindwa</x:v>
      </x:c>
      <x:c r="B358" t="str">
        <x:v>B373</x:v>
      </x:c>
      <x:c r="C358" t="str">
        <x:v>C891_Link01</x:v>
      </x:c>
      <x:c r="D358" t="str">
        <x:v>C</x:v>
      </x:c>
      <x:c r="E358" t="str">
        <x:v>Eastern</x:v>
      </x:c>
      <x:c r="F358" t="str">
        <x:v>Mbale</x:v>
      </x:c>
      <x:c r="G358" t="n">
        <x:v>6784.28</x:v>
      </x:c>
      <x:c r="H358" t="n">
        <x:v>0.000928</x:v>
      </x:c>
      <x:c r="I358" t="n">
        <x:v>0.9312</x:v>
      </x:c>
      <x:c r="J358" t="n">
        <x:v>4349.47</x:v>
      </x:c>
      <x:c r="K358" t="n">
        <x:v>1381.1</x:v>
      </x:c>
      <x:c r="L358" t="n">
        <x:v>566.79</x:v>
      </x:c>
      <x:c r="M358" t="n">
        <x:v>486.92</x:v>
      </x:c>
      <x:c r="N358" t="n">
        <x:v>0</x:v>
      </x:c>
    </x:row>
    <x:row r="359">
      <x:c r="A359" t="str">
        <x:v>Atoot</x:v>
      </x:c>
      <x:c r="B359" t="str">
        <x:v>B378</x:v>
      </x:c>
      <x:c r="C359" t="str">
        <x:v>C930_Link02</x:v>
      </x:c>
      <x:c r="D359" t="str">
        <x:v>C</x:v>
      </x:c>
      <x:c r="E359" t="str">
        <x:v>North Eastern</x:v>
      </x:c>
      <x:c r="F359" t="str">
        <x:v>Soroti</x:v>
      </x:c>
      <x:c r="G359" t="n">
        <x:v>5088.8</x:v>
      </x:c>
      <x:c r="H359" t="n">
        <x:v>0.000928</x:v>
      </x:c>
      <x:c r="I359" t="n">
        <x:v>0.9376</x:v>
      </x:c>
      <x:c r="J359" t="n">
        <x:v>3223.87</x:v>
      </x:c>
      <x:c r="K359" t="n">
        <x:v>1139.25</x:v>
      </x:c>
      <x:c r="L359" t="n">
        <x:v>413.63</x:v>
      </x:c>
      <x:c r="M359" t="n">
        <x:v>312.04</x:v>
      </x:c>
      <x:c r="N359" t="n">
        <x:v>0</x:v>
      </x:c>
    </x:row>
    <x:row r="360">
      <x:c r="A360" t="str">
        <x:v>Opot</x:v>
      </x:c>
      <x:c r="B360" t="str">
        <x:v>B379</x:v>
      </x:c>
      <x:c r="C360" t="str">
        <x:v>C941_Link01</x:v>
      </x:c>
      <x:c r="D360" t="str">
        <x:v>C</x:v>
      </x:c>
      <x:c r="E360" t="str">
        <x:v>North Eastern</x:v>
      </x:c>
      <x:c r="F360" t="str">
        <x:v>Soroti</x:v>
      </x:c>
      <x:c r="G360" t="n">
        <x:v>6712.45</x:v>
      </x:c>
      <x:c r="H360" t="n">
        <x:v>0.000928</x:v>
      </x:c>
      <x:c r="I360" t="n">
        <x:v>0.9376</x:v>
      </x:c>
      <x:c r="J360" t="n">
        <x:v>4541.38</x:v>
      </x:c>
      <x:c r="K360" t="n">
        <x:v>1183.03</x:v>
      </x:c>
      <x:c r="L360" t="n">
        <x:v>536.77</x:v>
      </x:c>
      <x:c r="M360" t="n">
        <x:v>451.27</x:v>
      </x:c>
      <x:c r="N360" t="n">
        <x:v>0</x:v>
      </x:c>
    </x:row>
    <x:row r="361">
      <x:c r="A361" t="str">
        <x:v>Loro</x:v>
      </x:c>
      <x:c r="B361" t="str">
        <x:v>B380</x:v>
      </x:c>
      <x:c r="C361" t="str">
        <x:v>C963_Link02</x:v>
      </x:c>
      <x:c r="D361" t="str">
        <x:v>C</x:v>
      </x:c>
      <x:c r="E361" t="str">
        <x:v>North Eastern</x:v>
      </x:c>
      <x:c r="F361" t="str">
        <x:v>Moroto</x:v>
      </x:c>
      <x:c r="G361" t="n">
        <x:v>7394.84</x:v>
      </x:c>
      <x:c r="H361" t="n">
        <x:v>0.000928</x:v>
      </x:c>
      <x:c r="I361" t="n">
        <x:v>0.9376</x:v>
      </x:c>
      <x:c r="J361" t="n">
        <x:v>4975.22</x:v>
      </x:c>
      <x:c r="K361" t="n">
        <x:v>1313.88</x:v>
      </x:c>
      <x:c r="L361" t="n">
        <x:v>599.84</x:v>
      </x:c>
      <x:c r="M361" t="n">
        <x:v>505.9</x:v>
      </x:c>
      <x:c r="N361" t="n">
        <x:v>0</x:v>
      </x:c>
    </x:row>
    <x:row r="362">
      <x:c r="A362" t="str">
        <x:v>Kanyangaren</x:v>
      </x:c>
      <x:c r="B362" t="str">
        <x:v>B381</x:v>
      </x:c>
      <x:c r="C362" t="str">
        <x:v>C963_Link02</x:v>
      </x:c>
      <x:c r="D362" t="str">
        <x:v>C</x:v>
      </x:c>
      <x:c r="E362" t="str">
        <x:v>North Eastern</x:v>
      </x:c>
      <x:c r="F362" t="str">
        <x:v>Moroto</x:v>
      </x:c>
      <x:c r="G362" t="n">
        <x:v>7460.67</x:v>
      </x:c>
      <x:c r="H362" t="n">
        <x:v>0.000928</x:v>
      </x:c>
      <x:c r="I362" t="n">
        <x:v>0.9376</x:v>
      </x:c>
      <x:c r="J362" t="n">
        <x:v>5011.11</x:v>
      </x:c>
      <x:c r="K362" t="n">
        <x:v>1331.81</x:v>
      </x:c>
      <x:c r="L362" t="n">
        <x:v>606.25</x:v>
      </x:c>
      <x:c r="M362" t="n">
        <x:v>511.5</x:v>
      </x:c>
      <x:c r="N362" t="n">
        <x:v>0</x:v>
      </x:c>
    </x:row>
    <x:row r="363">
      <x:c r="A363" t="str">
        <x:v>Dingidinga</x:v>
      </x:c>
      <x:c r="B363" t="str">
        <x:v>B382</x:v>
      </x:c>
      <x:c r="C363" t="str">
        <x:v>C963_Link03</x:v>
      </x:c>
      <x:c r="D363" t="str">
        <x:v>C</x:v>
      </x:c>
      <x:c r="E363" t="str">
        <x:v>North Eastern</x:v>
      </x:c>
      <x:c r="F363" t="str">
        <x:v>Moroto</x:v>
      </x:c>
      <x:c r="G363" t="n">
        <x:v>7515.45</x:v>
      </x:c>
      <x:c r="H363" t="n">
        <x:v>0.000928</x:v>
      </x:c>
      <x:c r="I363" t="n">
        <x:v>0.9376</x:v>
      </x:c>
      <x:c r="J363" t="n">
        <x:v>5037.81</x:v>
      </x:c>
      <x:c r="K363" t="n">
        <x:v>1349.16</x:v>
      </x:c>
      <x:c r="L363" t="n">
        <x:v>611.98</x:v>
      </x:c>
      <x:c r="M363" t="n">
        <x:v>516.49</x:v>
      </x:c>
      <x:c r="N363" t="n">
        <x:v>0</x:v>
      </x:c>
    </x:row>
    <x:row r="364">
      <x:c r="A364" t="str">
        <x:v>Omongo</x:v>
      </x:c>
      <x:c r="B364" t="str">
        <x:v>B383</x:v>
      </x:c>
      <x:c r="C364" t="str">
        <x:v>C964_Link02</x:v>
      </x:c>
      <x:c r="D364" t="str">
        <x:v>C</x:v>
      </x:c>
      <x:c r="E364" t="str">
        <x:v>North Eastern</x:v>
      </x:c>
      <x:c r="F364" t="str">
        <x:v>Soroti</x:v>
      </x:c>
      <x:c r="G364" t="n">
        <x:v>6554.47</x:v>
      </x:c>
      <x:c r="H364" t="n">
        <x:v>0.000928</x:v>
      </x:c>
      <x:c r="I364" t="n">
        <x:v>0.9376</x:v>
      </x:c>
      <x:c r="J364" t="n">
        <x:v>4345.35</x:v>
      </x:c>
      <x:c r="K364" t="n">
        <x:v>1234.03</x:v>
      </x:c>
      <x:c r="L364" t="n">
        <x:v>532.98</x:v>
      </x:c>
      <x:c r="M364" t="n">
        <x:v>442.1</x:v>
      </x:c>
      <x:c r="N364" t="n">
        <x:v>0</x:v>
      </x:c>
    </x:row>
    <x:row r="365">
      <x:c r="A365" t="str">
        <x:v>Nakodongot</x:v>
      </x:c>
      <x:c r="B365" t="str">
        <x:v>B384</x:v>
      </x:c>
      <x:c r="C365" t="str">
        <x:v>C967_Link01</x:v>
      </x:c>
      <x:c r="D365" t="str">
        <x:v>C</x:v>
      </x:c>
      <x:c r="E365" t="str">
        <x:v>North Eastern</x:v>
      </x:c>
      <x:c r="F365" t="str">
        <x:v>Moroto</x:v>
      </x:c>
      <x:c r="G365" t="n">
        <x:v>7173.07</x:v>
      </x:c>
      <x:c r="H365" t="n">
        <x:v>0.000928</x:v>
      </x:c>
      <x:c r="I365" t="n">
        <x:v>0.9376</x:v>
      </x:c>
      <x:c r="J365" t="n">
        <x:v>4834.54</x:v>
      </x:c>
      <x:c r="K365" t="n">
        <x:v>1270.21</x:v>
      </x:c>
      <x:c r="L365" t="n">
        <x:v>579.8</x:v>
      </x:c>
      <x:c r="M365" t="n">
        <x:v>488.52</x:v>
      </x:c>
      <x:c r="N365" t="n">
        <x:v>0</x:v>
      </x:c>
    </x:row>
    <x:row r="366">
      <x:c r="A366" t="str">
        <x:v>Namboole Flyover</x:v>
      </x:c>
      <x:c r="B366" t="str">
        <x:v>B390</x:v>
      </x:c>
      <x:c r="C366" t="str">
        <x:v>A001_Link01</x:v>
      </x:c>
      <x:c r="D366" t="str">
        <x:v>A</x:v>
      </x:c>
      <x:c r="E366" t="str">
        <x:v>Central</x:v>
      </x:c>
      <x:c r="F366" t="str">
        <x:v>Kampala</x:v>
      </x:c>
      <x:c r="G366" t="n">
        <x:v>56641.47</x:v>
      </x:c>
      <x:c r="H366" t="n">
        <x:v>0.001304</x:v>
      </x:c>
      <x:c r="I366" t="n">
        <x:v>0.9781</x:v>
      </x:c>
      <x:c r="J366" t="n">
        <x:v>21692.27</x:v>
      </x:c>
      <x:c r="K366" t="n">
        <x:v>25534.71</x:v>
      </x:c>
      <x:c r="L366" t="n">
        <x:v>7383.95</x:v>
      </x:c>
      <x:c r="M366" t="n">
        <x:v>2030.54</x:v>
      </x:c>
      <x:c r="N366" t="n">
        <x:v>0</x:v>
      </x:c>
    </x:row>
    <x:row r="367">
      <x:c r="A367" t="str">
        <x:v>Namboole Flyover</x:v>
      </x:c>
      <x:c r="B367" t="str">
        <x:v>B391</x:v>
      </x:c>
      <x:c r="C367" t="str">
        <x:v>A001_Link01</x:v>
      </x:c>
      <x:c r="D367" t="str">
        <x:v>A</x:v>
      </x:c>
      <x:c r="E367" t="str">
        <x:v>Central</x:v>
      </x:c>
      <x:c r="F367" t="str">
        <x:v>Kampala</x:v>
      </x:c>
      <x:c r="G367" t="n">
        <x:v>56641.47</x:v>
      </x:c>
      <x:c r="H367" t="n">
        <x:v>0.001304</x:v>
      </x:c>
      <x:c r="I367" t="n">
        <x:v>0.9781</x:v>
      </x:c>
      <x:c r="J367" t="n">
        <x:v>21692.27</x:v>
      </x:c>
      <x:c r="K367" t="n">
        <x:v>25534.71</x:v>
      </x:c>
      <x:c r="L367" t="n">
        <x:v>7383.95</x:v>
      </x:c>
      <x:c r="M367" t="n">
        <x:v>2030.54</x:v>
      </x:c>
      <x:c r="N367" t="n">
        <x:v>0</x:v>
      </x:c>
    </x:row>
    <x:row r="368">
      <x:c r="A368" t="str">
        <x:v>Kyaliwajjala Bridge</x:v>
      </x:c>
      <x:c r="B368" t="str">
        <x:v>B392</x:v>
      </x:c>
      <x:c r="C368" t="str">
        <x:v>C152_Link01</x:v>
      </x:c>
      <x:c r="D368" t="str">
        <x:v>C</x:v>
      </x:c>
      <x:c r="E368" t="str">
        <x:v>Central</x:v>
      </x:c>
      <x:c r="F368" t="str">
        <x:v>Kampala</x:v>
      </x:c>
      <x:c r="G368" t="n">
        <x:v>28945.02</x:v>
      </x:c>
      <x:c r="H368" t="n">
        <x:v>0.000928</x:v>
      </x:c>
      <x:c r="I368" t="n">
        <x:v>0.9781</x:v>
      </x:c>
      <x:c r="J368" t="n">
        <x:v>14363.34</x:v>
      </x:c>
      <x:c r="K368" t="n">
        <x:v>10005.67</x:v>
      </x:c>
      <x:c r="L368" t="n">
        <x:v>3131</x:v>
      </x:c>
      <x:c r="M368" t="n">
        <x:v>1445</x:v>
      </x:c>
      <x:c r="N368" t="n">
        <x:v>0</x:v>
      </x:c>
    </x:row>
    <x:row r="369">
      <x:c r="A369" t="str">
        <x:v>Kiwatule Flyover</x:v>
      </x:c>
      <x:c r="B369" t="str">
        <x:v>B393</x:v>
      </x:c>
      <x:c r="C369" t="str">
        <x:v>M20</x:v>
      </x:c>
      <x:c r="D369" t="str">
        <x:v>M</x:v>
      </x:c>
      <x:c r="E369" t="str">
        <x:v>Central</x:v>
      </x:c>
      <x:c r="F369" t="str">
        <x:v>Kampala</x:v>
      </x:c>
      <x:c r="G369" t="n">
        <x:v>46450.56</x:v>
      </x:c>
      <x:c r="H369" t="n">
        <x:v>0.001594</x:v>
      </x:c>
      <x:c r="I369" t="n">
        <x:v>0.9781</x:v>
      </x:c>
      <x:c r="J369" t="n">
        <x:v>24235.48</x:v>
      </x:c>
      <x:c r="K369" t="n">
        <x:v>15189.26</x:v>
      </x:c>
      <x:c r="L369" t="n">
        <x:v>4674.39</x:v>
      </x:c>
      <x:c r="M369" t="n">
        <x:v>2351.43</x:v>
      </x:c>
      <x:c r="N369" t="n">
        <x:v>0</x:v>
      </x:c>
    </x:row>
    <x:row r="370">
      <x:c r="A370" t="str">
        <x:v>Najeera Flyover</x:v>
      </x:c>
      <x:c r="B370" t="str">
        <x:v>B394</x:v>
      </x:c>
      <x:c r="C370" t="str">
        <x:v>M20</x:v>
      </x:c>
      <x:c r="D370" t="str">
        <x:v>M</x:v>
      </x:c>
      <x:c r="E370" t="str">
        <x:v>Central</x:v>
      </x:c>
      <x:c r="F370" t="str">
        <x:v>Kampala</x:v>
      </x:c>
      <x:c r="G370" t="n">
        <x:v>46450.56</x:v>
      </x:c>
      <x:c r="H370" t="n">
        <x:v>0.001594</x:v>
      </x:c>
      <x:c r="I370" t="n">
        <x:v>0.9781</x:v>
      </x:c>
      <x:c r="J370" t="n">
        <x:v>22586.66</x:v>
      </x:c>
      <x:c r="K370" t="n">
        <x:v>16418.23</x:v>
      </x:c>
      <x:c r="L370" t="n">
        <x:v>5164.22</x:v>
      </x:c>
      <x:c r="M370" t="n">
        <x:v>2281.45</x:v>
      </x:c>
      <x:c r="N370" t="n">
        <x:v>0</x:v>
      </x:c>
    </x:row>
    <x:row r="371">
      <x:c r="A371" t="str">
        <x:v>Kisaasi Flyover</x:v>
      </x:c>
      <x:c r="B371" t="str">
        <x:v>B395</x:v>
      </x:c>
      <x:c r="C371" t="str">
        <x:v>M20</x:v>
      </x:c>
      <x:c r="D371" t="str">
        <x:v>M</x:v>
      </x:c>
      <x:c r="E371" t="str">
        <x:v>Central</x:v>
      </x:c>
      <x:c r="F371" t="str">
        <x:v>Kampala</x:v>
      </x:c>
      <x:c r="G371" t="n">
        <x:v>46450.56</x:v>
      </x:c>
      <x:c r="H371" t="n">
        <x:v>0.001594</x:v>
      </x:c>
      <x:c r="I371" t="n">
        <x:v>0.9781</x:v>
      </x:c>
      <x:c r="J371" t="n">
        <x:v>25810.53</x:v>
      </x:c>
      <x:c r="K371" t="n">
        <x:v>13767.47</x:v>
      </x:c>
      <x:c r="L371" t="n">
        <x:v>4443.59</x:v>
      </x:c>
      <x:c r="M371" t="n">
        <x:v>2428.98</x:v>
      </x:c>
      <x:c r="N371" t="n">
        <x:v>0</x:v>
      </x:c>
    </x:row>
    <x:row r="372">
      <x:c r="A372" t="str">
        <x:v>Kyebando Flyover</x:v>
      </x:c>
      <x:c r="B372" t="str">
        <x:v>B396</x:v>
      </x:c>
      <x:c r="C372" t="str">
        <x:v>M20</x:v>
      </x:c>
      <x:c r="D372" t="str">
        <x:v>M</x:v>
      </x:c>
      <x:c r="E372" t="str">
        <x:v>Central</x:v>
      </x:c>
      <x:c r="F372" t="str">
        <x:v>Kampala</x:v>
      </x:c>
      <x:c r="G372" t="n">
        <x:v>46450.56</x:v>
      </x:c>
      <x:c r="H372" t="n">
        <x:v>0.001594</x:v>
      </x:c>
      <x:c r="I372" t="n">
        <x:v>0.9781</x:v>
      </x:c>
      <x:c r="J372" t="n">
        <x:v>22586.66</x:v>
      </x:c>
      <x:c r="K372" t="n">
        <x:v>16418.23</x:v>
      </x:c>
      <x:c r="L372" t="n">
        <x:v>5164.22</x:v>
      </x:c>
      <x:c r="M372" t="n">
        <x:v>2281.45</x:v>
      </x:c>
      <x:c r="N372" t="n">
        <x:v>0</x:v>
      </x:c>
    </x:row>
    <x:row r="373">
      <x:c r="A373" t="str">
        <x:v>Pedestrian Bridge At Kalerwe</x:v>
      </x:c>
      <x:c r="B373" t="str">
        <x:v>B397</x:v>
      </x:c>
      <x:c r="C373" t="str">
        <x:v>M20</x:v>
      </x:c>
      <x:c r="D373" t="str">
        <x:v>M</x:v>
      </x:c>
      <x:c r="E373" t="str">
        <x:v>Central</x:v>
      </x:c>
      <x:c r="F373" t="str">
        <x:v>Kampala</x:v>
      </x:c>
      <x:c r="G373" t="n">
        <x:v>46450.56</x:v>
      </x:c>
      <x:c r="H373" t="n">
        <x:v>0.001594</x:v>
      </x:c>
      <x:c r="I373" t="n">
        <x:v>0.9781</x:v>
      </x:c>
      <x:c r="J373" t="n">
        <x:v>22586.66</x:v>
      </x:c>
      <x:c r="K373" t="n">
        <x:v>16418.23</x:v>
      </x:c>
      <x:c r="L373" t="n">
        <x:v>5164.22</x:v>
      </x:c>
      <x:c r="M373" t="n">
        <x:v>2281.45</x:v>
      </x:c>
      <x:c r="N373" t="n">
        <x:v>0</x:v>
      </x:c>
    </x:row>
    <x:row r="374">
      <x:c r="A374" t="str">
        <x:v>Olwal</x:v>
      </x:c>
      <x:c r="B374" t="str">
        <x:v>B406</x:v>
      </x:c>
      <x:c r="C374" t="str">
        <x:v>C686_Link01</x:v>
      </x:c>
      <x:c r="D374" t="str">
        <x:v>C</x:v>
      </x:c>
      <x:c r="E374" t="str">
        <x:v>Northern</x:v>
      </x:c>
      <x:c r="F374" t="str">
        <x:v>Gulu</x:v>
      </x:c>
      <x:c r="G374" t="n">
        <x:v>1835.66</x:v>
      </x:c>
      <x:c r="H374" t="n">
        <x:v>0.000928</x:v>
      </x:c>
      <x:c r="I374" t="n">
        <x:v>0.9376</x:v>
      </x:c>
      <x:c r="J374" t="n">
        <x:v>1071.87</x:v>
      </x:c>
      <x:c r="K374" t="n">
        <x:v>613.03</x:v>
      </x:c>
      <x:c r="L374" t="n">
        <x:v>134.81</x:v>
      </x:c>
      <x:c r="M374" t="n">
        <x:v>15.95</x:v>
      </x:c>
      <x:c r="N374" t="n">
        <x:v>0</x:v>
      </x:c>
    </x:row>
    <x:row r="375">
      <x:c r="A375" t="str">
        <x:v>Ashaw</x:v>
      </x:c>
      <x:c r="B375" t="str">
        <x:v>B407</x:v>
      </x:c>
      <x:c r="C375" t="str">
        <x:v>C686_Link01</x:v>
      </x:c>
      <x:c r="D375" t="str">
        <x:v>C</x:v>
      </x:c>
      <x:c r="E375" t="str">
        <x:v>Northern</x:v>
      </x:c>
      <x:c r="F375" t="str">
        <x:v>Gulu</x:v>
      </x:c>
      <x:c r="G375" t="n">
        <x:v>1835.66</x:v>
      </x:c>
      <x:c r="H375" t="n">
        <x:v>0.000928</x:v>
      </x:c>
      <x:c r="I375" t="n">
        <x:v>0.9376</x:v>
      </x:c>
      <x:c r="J375" t="n">
        <x:v>1071.87</x:v>
      </x:c>
      <x:c r="K375" t="n">
        <x:v>613.03</x:v>
      </x:c>
      <x:c r="L375" t="n">
        <x:v>134.81</x:v>
      </x:c>
      <x:c r="M375" t="n">
        <x:v>15.95</x:v>
      </x:c>
      <x:c r="N375" t="n">
        <x:v>0</x:v>
      </x:c>
    </x:row>
    <x:row r="376">
      <x:c r="A376" t="str">
        <x:v>Kufu</x:v>
      </x:c>
      <x:c r="B376" t="str">
        <x:v>B408</x:v>
      </x:c>
      <x:c r="C376" t="str">
        <x:v>C870_Link03</x:v>
      </x:c>
      <x:c r="D376" t="str">
        <x:v>C</x:v>
      </x:c>
      <x:c r="E376" t="str">
        <x:v>Eastern</x:v>
      </x:c>
      <x:c r="F376" t="str">
        <x:v>Tororo</x:v>
      </x:c>
      <x:c r="G376" t="n">
        <x:v>7723.49</x:v>
      </x:c>
      <x:c r="H376" t="n">
        <x:v>0.000928</x:v>
      </x:c>
      <x:c r="I376" t="n">
        <x:v>0.9312</x:v>
      </x:c>
      <x:c r="J376" t="n">
        <x:v>5022.29</x:v>
      </x:c>
      <x:c r="K376" t="n">
        <x:v>1500.73</x:v>
      </x:c>
      <x:c r="L376" t="n">
        <x:v>655.34</x:v>
      </x:c>
      <x:c r="M376" t="n">
        <x:v>545.14</x:v>
      </x:c>
      <x:c r="N376" t="n">
        <x:v>0</x:v>
      </x:c>
    </x:row>
    <x:row r="377">
      <x:c r="A377" t="str">
        <x:v>Nakaloke-Kabwangasi-Butebo</x:v>
      </x:c>
      <x:c r="B377" t="str">
        <x:v>B410</x:v>
      </x:c>
      <x:c r="C377" t="str">
        <x:v>C878_Link01</x:v>
      </x:c>
      <x:c r="D377" t="str">
        <x:v>C</x:v>
      </x:c>
      <x:c r="E377" t="str">
        <x:v>Eastern</x:v>
      </x:c>
      <x:c r="F377" t="str">
        <x:v>Mbale</x:v>
      </x:c>
      <x:c r="G377" t="n">
        <x:v>5466</x:v>
      </x:c>
      <x:c r="H377" t="n">
        <x:v>0.000928</x:v>
      </x:c>
      <x:c r="I377" t="n">
        <x:v>0.9312</x:v>
      </x:c>
      <x:c r="J377" t="n">
        <x:v>3334.78</x:v>
      </x:c>
      <x:c r="K377" t="n">
        <x:v>1335.35</x:v>
      </x:c>
      <x:c r="L377" t="n">
        <x:v>476.94</x:v>
      </x:c>
      <x:c r="M377" t="n">
        <x:v>318.94</x:v>
      </x:c>
      <x:c r="N377" t="n">
        <x:v>0</x:v>
      </x:c>
    </x:row>
    <x:row r="378">
      <x:c r="A378" t="str">
        <x:v>Shikoye</x:v>
      </x:c>
      <x:c r="B378" t="str">
        <x:v>B411</x:v>
      </x:c>
      <x:c r="C378" t="str">
        <x:v>C867_Link01</x:v>
      </x:c>
      <x:c r="D378" t="str">
        <x:v>C</x:v>
      </x:c>
      <x:c r="E378" t="str">
        <x:v>Eastern</x:v>
      </x:c>
      <x:c r="F378" t="str">
        <x:v>Mbale</x:v>
      </x:c>
      <x:c r="G378" t="n">
        <x:v>7493.23</x:v>
      </x:c>
      <x:c r="H378" t="n">
        <x:v>0.000928</x:v>
      </x:c>
      <x:c r="I378" t="n">
        <x:v>0.9312</x:v>
      </x:c>
      <x:c r="J378" t="n">
        <x:v>4813.98</x:v>
      </x:c>
      <x:c r="K378" t="n">
        <x:v>1513.33</x:v>
      </x:c>
      <x:c r="L378" t="n">
        <x:v>646.99</x:v>
      </x:c>
      <x:c r="M378" t="n">
        <x:v>518.94</x:v>
      </x:c>
      <x:c r="N378" t="n">
        <x:v>0</x:v>
      </x:c>
    </x:row>
    <x:row r="379">
      <x:c r="A379" t="str">
        <x:v>Aragi</x:v>
      </x:c>
      <x:c r="B379" t="str">
        <x:v>B413</x:v>
      </x:c>
      <x:c r="C379" t="str">
        <x:v>C689_Link01</x:v>
      </x:c>
      <x:c r="D379" t="str">
        <x:v>C</x:v>
      </x:c>
      <x:c r="E379" t="str">
        <x:v>Northern</x:v>
      </x:c>
      <x:c r="F379" t="str">
        <x:v>Moyo</x:v>
      </x:c>
      <x:c r="G379" t="n">
        <x:v>5460.45</x:v>
      </x:c>
      <x:c r="H379" t="n">
        <x:v>0.000928</x:v>
      </x:c>
      <x:c r="I379" t="n">
        <x:v>0.9376</x:v>
      </x:c>
      <x:c r="J379" t="n">
        <x:v>3703.76</x:v>
      </x:c>
      <x:c r="K379" t="n">
        <x:v>928.03</x:v>
      </x:c>
      <x:c r="L379" t="n">
        <x:v>448.18</x:v>
      </x:c>
      <x:c r="M379" t="n">
        <x:v>380.48</x:v>
      </x:c>
      <x:c r="N379" t="n">
        <x:v>0</x:v>
      </x:c>
    </x:row>
    <x:row r="380">
      <x:c r="A380" t="str">
        <x:v>Laimon</x:v>
      </x:c>
      <x:c r="B380" t="str">
        <x:v>B414</x:v>
      </x:c>
      <x:c r="C380" t="str">
        <x:v>C689_Link01</x:v>
      </x:c>
      <x:c r="D380" t="str">
        <x:v>C</x:v>
      </x:c>
      <x:c r="E380" t="str">
        <x:v>Northern</x:v>
      </x:c>
      <x:c r="F380" t="str">
        <x:v>Moyo</x:v>
      </x:c>
      <x:c r="G380" t="n">
        <x:v>4547.94</x:v>
      </x:c>
      <x:c r="H380" t="n">
        <x:v>0.000928</x:v>
      </x:c>
      <x:c r="I380" t="n">
        <x:v>0.9376</x:v>
      </x:c>
      <x:c r="J380" t="n">
        <x:v>3082.31</x:v>
      </x:c>
      <x:c r="K380" t="n">
        <x:v>796.38</x:v>
      </x:c>
      <x:c r="L380" t="n">
        <x:v>365.4</x:v>
      </x:c>
      <x:c r="M380" t="n">
        <x:v>303.85</x:v>
      </x:c>
      <x:c r="N380" t="n">
        <x:v>0</x:v>
      </x:c>
    </x:row>
    <x:row r="381">
      <x:c r="A381" t="str">
        <x:v>Asiya Bridge</x:v>
      </x:c>
      <x:c r="B381" t="str">
        <x:v>B415</x:v>
      </x:c>
      <x:c r="C381" t="str">
        <x:v>C688_Link02</x:v>
      </x:c>
      <x:c r="D381" t="str">
        <x:v>C</x:v>
      </x:c>
      <x:c r="E381" t="str">
        <x:v>Northern</x:v>
      </x:c>
      <x:c r="F381" t="str">
        <x:v>Moyo</x:v>
      </x:c>
      <x:c r="G381" t="n">
        <x:v>5183.34</x:v>
      </x:c>
      <x:c r="H381" t="n">
        <x:v>0.000928</x:v>
      </x:c>
      <x:c r="I381" t="n">
        <x:v>0.9376</x:v>
      </x:c>
      <x:c r="J381" t="n">
        <x:v>3509.25</x:v>
      </x:c>
      <x:c r="K381" t="n">
        <x:v>883.59</x:v>
      </x:c>
      <x:c r="L381" t="n">
        <x:v>427.36</x:v>
      </x:c>
      <x:c r="M381" t="n">
        <x:v>363.14</x:v>
      </x:c>
      <x:c r="N381" t="n">
        <x:v>0</x:v>
      </x:c>
    </x:row>
    <x:row r="382">
      <x:c r="A382" t="str">
        <x:v>Kafu</x:v>
      </x:c>
      <x:c r="B382" t="str">
        <x:v>B420</x:v>
      </x:c>
      <x:c r="C382" t="str">
        <x:v>A006_Link06</x:v>
      </x:c>
      <x:c r="D382" t="str">
        <x:v>A</x:v>
      </x:c>
      <x:c r="E382" t="str">
        <x:v>Central</x:v>
      </x:c>
      <x:c r="F382" t="str">
        <x:v>Luwero</x:v>
      </x:c>
      <x:c r="G382" t="n">
        <x:v>8413.48</x:v>
      </x:c>
      <x:c r="H382" t="n">
        <x:v>0.001304</x:v>
      </x:c>
      <x:c r="I382" t="n">
        <x:v>0.9781</x:v>
      </x:c>
      <x:c r="J382" t="n">
        <x:v>5882.12</x:v>
      </x:c>
      <x:c r="K382" t="n">
        <x:v>1304.79</x:v>
      </x:c>
      <x:c r="L382" t="n">
        <x:v>666.25</x:v>
      </x:c>
      <x:c r="M382" t="n">
        <x:v>560.32</x:v>
      </x:c>
      <x:c r="N382" t="n">
        <x:v>0</x:v>
      </x:c>
    </x:row>
    <x:row r="383">
      <x:c r="A383" t="str">
        <x:v>Mpalla 1</x:v>
      </x:c>
      <x:c r="B383" t="str">
        <x:v>B421</x:v>
      </x:c>
      <x:c r="C383" t="str">
        <x:v>M3Int4_S2</x:v>
      </x:c>
      <x:c r="D383" t="str">
        <x:v>M</x:v>
      </x:c>
      <x:c r="E383" t="str">
        <x:v>Central</x:v>
      </x:c>
      <x:c r="F383" t="str">
        <x:v>Kampala</x:v>
      </x:c>
      <x:c r="G383" t="n">
        <x:v>20711.35</x:v>
      </x:c>
      <x:c r="H383" t="n">
        <x:v>0.001594</x:v>
      </x:c>
      <x:c r="I383" t="n">
        <x:v>0.9781</x:v>
      </x:c>
      <x:c r="J383" t="n">
        <x:v>18635.9</x:v>
      </x:c>
      <x:c r="K383" t="n">
        <x:v>932.1</x:v>
      </x:c>
      <x:c r="L383" t="n">
        <x:v>739.31</x:v>
      </x:c>
      <x:c r="M383" t="n">
        <x:v>404.03</x:v>
      </x:c>
      <x:c r="N383" t="n">
        <x:v>0</x:v>
      </x:c>
    </x:row>
    <x:row r="384">
      <x:c r="A384" t="str">
        <x:v>Mpalla 2</x:v>
      </x:c>
      <x:c r="B384" t="str">
        <x:v>B422</x:v>
      </x:c>
      <x:c r="C384" t="str">
        <x:v>M3Int4_S1</x:v>
      </x:c>
      <x:c r="D384" t="str">
        <x:v>M</x:v>
      </x:c>
      <x:c r="E384" t="str">
        <x:v>Central</x:v>
      </x:c>
      <x:c r="F384" t="str">
        <x:v>Kampala</x:v>
      </x:c>
      <x:c r="G384" t="n">
        <x:v>20711.35</x:v>
      </x:c>
      <x:c r="H384" t="n">
        <x:v>0.001594</x:v>
      </x:c>
      <x:c r="I384" t="n">
        <x:v>0.9781</x:v>
      </x:c>
      <x:c r="J384" t="n">
        <x:v>18594.15</x:v>
      </x:c>
      <x:c r="K384" t="n">
        <x:v>957.89</x:v>
      </x:c>
      <x:c r="L384" t="n">
        <x:v>747.85</x:v>
      </x:c>
      <x:c r="M384" t="n">
        <x:v>411.46</x:v>
      </x:c>
      <x:c r="N384" t="n">
        <x:v>0</x:v>
      </x:c>
    </x:row>
    <x:row r="385">
      <x:c r="A385" t="str">
        <x:v>Murongo Bridge</x:v>
      </x:c>
      <x:c r="B385" t="str">
        <x:v>B430</x:v>
      </x:c>
      <x:c r="C385" t="str">
        <x:v>C354_Link01</x:v>
      </x:c>
      <x:c r="D385" t="str">
        <x:v>C</x:v>
      </x:c>
      <x:c r="E385" t="str">
        <x:v>Southern</x:v>
      </x:c>
      <x:c r="F385" t="str">
        <x:v>Mbarara</x:v>
      </x:c>
      <x:c r="G385" t="n">
        <x:v>7082.09</x:v>
      </x:c>
      <x:c r="H385" t="n">
        <x:v>0.000928</x:v>
      </x:c>
      <x:c r="I385" t="n">
        <x:v>0.9728</x:v>
      </x:c>
      <x:c r="J385" t="n">
        <x:v>5031.87</x:v>
      </x:c>
      <x:c r="K385" t="n">
        <x:v>1080.24</x:v>
      </x:c>
      <x:c r="L385" t="n">
        <x:v>539.42</x:v>
      </x:c>
      <x:c r="M385" t="n">
        <x:v>430.56</x:v>
      </x:c>
      <x:c r="N385" t="n">
        <x:v>0</x:v>
      </x:c>
    </x:row>
    <x:row r="386">
      <x:c r="A386" t="str">
        <x:v>Busunju Bridge</x:v>
      </x:c>
      <x:c r="B386" t="str">
        <x:v>B450</x:v>
      </x:c>
      <x:c r="C386" t="str">
        <x:v>A009_Link02</x:v>
      </x:c>
      <x:c r="D386" t="str">
        <x:v>A</x:v>
      </x:c>
      <x:c r="E386" t="str">
        <x:v>Central</x:v>
      </x:c>
      <x:c r="F386" t="str">
        <x:v>Kampala</x:v>
      </x:c>
      <x:c r="G386" t="n">
        <x:v>24836.78</x:v>
      </x:c>
      <x:c r="H386" t="n">
        <x:v>0.001304</x:v>
      </x:c>
      <x:c r="I386" t="n">
        <x:v>0.9781</x:v>
      </x:c>
      <x:c r="J386" t="n">
        <x:v>17584.15</x:v>
      </x:c>
      <x:c r="K386" t="n">
        <x:v>3797.96</x:v>
      </x:c>
      <x:c r="L386" t="n">
        <x:v>1984.09</x:v>
      </x:c>
      <x:c r="M386" t="n">
        <x:v>1470.58</x:v>
      </x:c>
      <x:c r="N386" t="n">
        <x:v>0</x:v>
      </x:c>
    </x:row>
    <x:row r="387">
      <x:c r="A387" t="str">
        <x:v>Mate Bridge</x:v>
      </x:c>
      <x:c r="B387" t="str">
        <x:v>B451</x:v>
      </x:c>
      <x:c r="C387" t="str">
        <x:v>A009_Link03</x:v>
      </x:c>
      <x:c r="D387" t="str">
        <x:v>A</x:v>
      </x:c>
      <x:c r="E387" t="str">
        <x:v>Central</x:v>
      </x:c>
      <x:c r="F387" t="str">
        <x:v>Kampala</x:v>
      </x:c>
      <x:c r="G387" t="n">
        <x:v>11037.32</x:v>
      </x:c>
      <x:c r="H387" t="n">
        <x:v>0.001304</x:v>
      </x:c>
      <x:c r="I387" t="n">
        <x:v>0.9781</x:v>
      </x:c>
      <x:c r="J387" t="n">
        <x:v>7891.5</x:v>
      </x:c>
      <x:c r="K387" t="n">
        <x:v>1601.93</x:v>
      </x:c>
      <x:c r="L387" t="n">
        <x:v>878.74</x:v>
      </x:c>
      <x:c r="M387" t="n">
        <x:v>665.14</x:v>
      </x:c>
      <x:c r="N387" t="n">
        <x:v>0</x:v>
      </x:c>
    </x:row>
    <x:row r="388">
      <x:c r="A388" t="str">
        <x:v>Nana Bridge</x:v>
      </x:c>
      <x:c r="B388" t="str">
        <x:v>B452</x:v>
      </x:c>
      <x:c r="C388" t="str">
        <x:v>A009_Link03</x:v>
      </x:c>
      <x:c r="D388" t="str">
        <x:v>A</x:v>
      </x:c>
      <x:c r="E388" t="str">
        <x:v>Central</x:v>
      </x:c>
      <x:c r="F388" t="str">
        <x:v>Kampala</x:v>
      </x:c>
      <x:c r="G388" t="n">
        <x:v>10939.66</x:v>
      </x:c>
      <x:c r="H388" t="n">
        <x:v>0.001304</x:v>
      </x:c>
      <x:c r="I388" t="n">
        <x:v>0.9781</x:v>
      </x:c>
      <x:c r="J388" t="n">
        <x:v>7817.72</x:v>
      </x:c>
      <x:c r="K388" t="n">
        <x:v>1588.45</x:v>
      </x:c>
      <x:c r="L388" t="n">
        <x:v>871.02</x:v>
      </x:c>
      <x:c r="M388" t="n">
        <x:v>662.46</x:v>
      </x:c>
      <x:c r="N388" t="n">
        <x:v>0</x:v>
      </x:c>
    </x:row>
    <x:row r="389">
      <x:c r="A389" t="str">
        <x:v>Wamika 2</x:v>
      </x:c>
      <x:c r="B389" t="str">
        <x:v>B453</x:v>
      </x:c>
      <x:c r="C389" t="str">
        <x:v>C305_Link01</x:v>
      </x:c>
      <x:c r="D389" t="str">
        <x:v>C</x:v>
      </x:c>
      <x:c r="E389" t="str">
        <x:v>Central</x:v>
      </x:c>
      <x:c r="F389" t="str">
        <x:v>Luwero</x:v>
      </x:c>
      <x:c r="G389" t="n">
        <x:v>11544.6</x:v>
      </x:c>
      <x:c r="H389" t="n">
        <x:v>0.000928</x:v>
      </x:c>
      <x:c r="I389" t="n">
        <x:v>0.9781</x:v>
      </x:c>
      <x:c r="J389" t="n">
        <x:v>8166.61</x:v>
      </x:c>
      <x:c r="K389" t="n">
        <x:v>1770.79</x:v>
      </x:c>
      <x:c r="L389" t="n">
        <x:v>920.74</x:v>
      </x:c>
      <x:c r="M389" t="n">
        <x:v>686.45</x:v>
      </x:c>
      <x:c r="N389" t="n">
        <x:v>0</x:v>
      </x:c>
    </x:row>
    <x:row r="390">
      <x:c r="A390" t="str">
        <x:v>Wamika 1</x:v>
      </x:c>
      <x:c r="B390" t="str">
        <x:v>B454</x:v>
      </x:c>
      <x:c r="C390" t="str">
        <x:v>C305_Link01</x:v>
      </x:c>
      <x:c r="D390" t="str">
        <x:v>C</x:v>
      </x:c>
      <x:c r="E390" t="str">
        <x:v>Central</x:v>
      </x:c>
      <x:c r="F390" t="str">
        <x:v>Luwero</x:v>
      </x:c>
      <x:c r="G390" t="n">
        <x:v>11538.07</x:v>
      </x:c>
      <x:c r="H390" t="n">
        <x:v>0.000928</x:v>
      </x:c>
      <x:c r="I390" t="n">
        <x:v>0.9781</x:v>
      </x:c>
      <x:c r="J390" t="n">
        <x:v>8163.9</x:v>
      </x:c>
      <x:c r="K390" t="n">
        <x:v>1767.85</x:v>
      </x:c>
      <x:c r="L390" t="n">
        <x:v>920.24</x:v>
      </x:c>
      <x:c r="M390" t="n">
        <x:v>686.08</x:v>
      </x:c>
      <x:c r="N390" t="n">
        <x:v>0</x:v>
      </x:c>
    </x:row>
    <x:row r="391">
      <x:c r="A391" t="str">
        <x:v>Lugazi</x:v>
      </x:c>
      <x:c r="B391" t="str">
        <x:v>B455</x:v>
      </x:c>
      <x:c r="C391" t="str">
        <x:v>A001_Link02</x:v>
      </x:c>
      <x:c r="D391" t="str">
        <x:v>A</x:v>
      </x:c>
      <x:c r="E391" t="str">
        <x:v>Central</x:v>
      </x:c>
      <x:c r="F391" t="str">
        <x:v>Kampala</x:v>
      </x:c>
      <x:c r="G391" t="n">
        <x:v>23875.72</x:v>
      </x:c>
      <x:c r="H391" t="n">
        <x:v>0.001304</x:v>
      </x:c>
      <x:c r="I391" t="n">
        <x:v>0.9781</x:v>
      </x:c>
      <x:c r="J391" t="n">
        <x:v>14049.62</x:v>
      </x:c>
      <x:c r="K391" t="n">
        <x:v>6160.44</x:v>
      </x:c>
      <x:c r="L391" t="n">
        <x:v>2253.2</x:v>
      </x:c>
      <x:c r="M391" t="n">
        <x:v>1412.46</x:v>
      </x:c>
      <x:c r="N391" t="n">
        <x:v>0</x:v>
      </x:c>
    </x:row>
    <x:row r="392">
      <x:c r="A392" t="str">
        <x:v>Kee Nakawuka</x:v>
      </x:c>
      <x:c r="B392" t="str">
        <x:v>B456</x:v>
      </x:c>
      <x:c r="C392" t="str">
        <x:v>C178_Link01</x:v>
      </x:c>
      <x:c r="D392" t="str">
        <x:v>C</x:v>
      </x:c>
      <x:c r="E392" t="str">
        <x:v>Central</x:v>
      </x:c>
      <x:c r="F392" t="str">
        <x:v>Kampala</x:v>
      </x:c>
      <x:c r="G392" t="n">
        <x:v>15532.37</x:v>
      </x:c>
      <x:c r="H392" t="n">
        <x:v>0.000928</x:v>
      </x:c>
      <x:c r="I392" t="n">
        <x:v>0.9781</x:v>
      </x:c>
      <x:c r="J392" t="n">
        <x:v>10303.99</x:v>
      </x:c>
      <x:c r="K392" t="n">
        <x:v>3173.27</x:v>
      </x:c>
      <x:c r="L392" t="n">
        <x:v>1250.43</x:v>
      </x:c>
      <x:c r="M392" t="n">
        <x:v>804.68</x:v>
      </x:c>
      <x:c r="N392" t="n">
        <x:v>0</x:v>
      </x:c>
    </x:row>
    <x:row r="393">
      <x:c r="A393" t="str">
        <x:v>Scoul Underpass</x:v>
      </x:c>
      <x:c r="B393" t="str">
        <x:v>B457</x:v>
      </x:c>
      <x:c r="C393" t="str">
        <x:v>A001_Link03</x:v>
      </x:c>
      <x:c r="D393" t="str">
        <x:v>A</x:v>
      </x:c>
      <x:c r="E393" t="str">
        <x:v>Central</x:v>
      </x:c>
      <x:c r="F393" t="str">
        <x:v>Kampala</x:v>
      </x:c>
      <x:c r="G393" t="n">
        <x:v>30477.36</x:v>
      </x:c>
      <x:c r="H393" t="n">
        <x:v>0.001304</x:v>
      </x:c>
      <x:c r="I393" t="n">
        <x:v>0.9781</x:v>
      </x:c>
      <x:c r="J393" t="n">
        <x:v>17995.02</x:v>
      </x:c>
      <x:c r="K393" t="n">
        <x:v>7831.08</x:v>
      </x:c>
      <x:c r="L393" t="n">
        <x:v>2859.88</x:v>
      </x:c>
      <x:c r="M393" t="n">
        <x:v>1791.38</x:v>
      </x:c>
      <x:c r="N393" t="n">
        <x:v>0</x:v>
      </x:c>
    </x:row>
    <x:row r="394">
      <x:c r="A394" t="str">
        <x:v>Matagi</x:v>
      </x:c>
      <x:c r="B394" t="str">
        <x:v>B458</x:v>
      </x:c>
      <x:c r="C394" t="str">
        <x:v>A009_Link03</x:v>
      </x:c>
      <x:c r="D394" t="str">
        <x:v>A</x:v>
      </x:c>
      <x:c r="E394" t="str">
        <x:v>Central</x:v>
      </x:c>
      <x:c r="F394" t="str">
        <x:v>Kampala</x:v>
      </x:c>
      <x:c r="G394" t="n">
        <x:v>10893.97</x:v>
      </x:c>
      <x:c r="H394" t="n">
        <x:v>0.001304</x:v>
      </x:c>
      <x:c r="I394" t="n">
        <x:v>0.9781</x:v>
      </x:c>
      <x:c r="J394" t="n">
        <x:v>7765.82</x:v>
      </x:c>
      <x:c r="K394" t="n">
        <x:v>1591.66</x:v>
      </x:c>
      <x:c r="L394" t="n">
        <x:v>868.24</x:v>
      </x:c>
      <x:c r="M394" t="n">
        <x:v>668.26</x:v>
      </x:c>
      <x:c r="N394" t="n">
        <x:v>0</x:v>
      </x:c>
    </x:row>
    <x:row r="395">
      <x:c r="A395" t="str">
        <x:v>Kabaale Bridge</x:v>
      </x:c>
      <x:c r="B395" t="str">
        <x:v>B459</x:v>
      </x:c>
      <x:c r="C395" t="str">
        <x:v>C315_Link01</x:v>
      </x:c>
      <x:c r="D395" t="str">
        <x:v>C</x:v>
      </x:c>
      <x:c r="E395" t="str">
        <x:v>Central</x:v>
      </x:c>
      <x:c r="F395" t="str">
        <x:v>Luwero</x:v>
      </x:c>
      <x:c r="G395" t="n">
        <x:v>9461.18</x:v>
      </x:c>
      <x:c r="H395" t="n">
        <x:v>0.000928</x:v>
      </x:c>
      <x:c r="I395" t="n">
        <x:v>0.9781</x:v>
      </x:c>
      <x:c r="J395" t="n">
        <x:v>6655.77</x:v>
      </x:c>
      <x:c r="K395" t="n">
        <x:v>1451.27</x:v>
      </x:c>
      <x:c r="L395" t="n">
        <x:v>750.05</x:v>
      </x:c>
      <x:c r="M395" t="n">
        <x:v>604.09</x:v>
      </x:c>
      <x:c r="N395" t="n">
        <x:v>0</x:v>
      </x:c>
    </x:row>
    <x:row r="396">
      <x:c r="A396" t="str">
        <x:v>Mityana-Naama-Myanzi</x:v>
      </x:c>
      <x:c r="B396" t="str">
        <x:v>B460</x:v>
      </x:c>
      <x:c r="C396" t="str">
        <x:v>A005_Link03</x:v>
      </x:c>
      <x:c r="D396" t="str">
        <x:v>A</x:v>
      </x:c>
      <x:c r="E396" t="str">
        <x:v>Central</x:v>
      </x:c>
      <x:c r="F396" t="str">
        <x:v>Mubende</x:v>
      </x:c>
      <x:c r="G396" t="n">
        <x:v>10006.02</x:v>
      </x:c>
      <x:c r="H396" t="n">
        <x:v>0.001304</x:v>
      </x:c>
      <x:c r="I396" t="n">
        <x:v>0.9781</x:v>
      </x:c>
      <x:c r="J396" t="n">
        <x:v>7303.03</x:v>
      </x:c>
      <x:c r="K396" t="n">
        <x:v>1267.56</x:v>
      </x:c>
      <x:c r="L396" t="n">
        <x:v>811.01</x:v>
      </x:c>
      <x:c r="M396" t="n">
        <x:v>624.42</x:v>
      </x:c>
      <x:c r="N396" t="n">
        <x:v>0</x:v>
      </x:c>
    </x:row>
    <x:row r="397">
      <x:c r="A397" t="str">
        <x:v>Bukoola</x:v>
      </x:c>
      <x:c r="B397" t="str">
        <x:v>B461</x:v>
      </x:c>
      <x:c r="C397" t="str">
        <x:v>C224_Link01</x:v>
      </x:c>
      <x:c r="D397" t="str">
        <x:v>C</x:v>
      </x:c>
      <x:c r="E397" t="str">
        <x:v>Central</x:v>
      </x:c>
      <x:c r="F397" t="str">
        <x:v>Masaka</x:v>
      </x:c>
      <x:c r="G397" t="n">
        <x:v>8448.47</x:v>
      </x:c>
      <x:c r="H397" t="n">
        <x:v>0.000928</x:v>
      </x:c>
      <x:c r="I397" t="n">
        <x:v>0.9781</x:v>
      </x:c>
      <x:c r="J397" t="n">
        <x:v>5878.79</x:v>
      </x:c>
      <x:c r="K397" t="n">
        <x:v>1329.01</x:v>
      </x:c>
      <x:c r="L397" t="n">
        <x:v>684.49</x:v>
      </x:c>
      <x:c r="M397" t="n">
        <x:v>556.18</x:v>
      </x:c>
      <x:c r="N397" t="n">
        <x:v>0</x:v>
      </x:c>
    </x:row>
    <x:row r="398">
      <x:c r="A398" t="str">
        <x:v>Katonga Bridge</x:v>
      </x:c>
      <x:c r="B398" t="str">
        <x:v>B462</x:v>
      </x:c>
      <x:c r="C398" t="str">
        <x:v>A002_Link04</x:v>
      </x:c>
      <x:c r="D398" t="str">
        <x:v>A</x:v>
      </x:c>
      <x:c r="E398" t="str">
        <x:v>Central</x:v>
      </x:c>
      <x:c r="F398" t="str">
        <x:v>Mpigi</x:v>
      </x:c>
      <x:c r="G398" t="n">
        <x:v>8993.24</x:v>
      </x:c>
      <x:c r="H398" t="n">
        <x:v>0.001304</x:v>
      </x:c>
      <x:c r="I398" t="n">
        <x:v>0.9781</x:v>
      </x:c>
      <x:c r="J398" t="n">
        <x:v>1660.72</x:v>
      </x:c>
      <x:c r="K398" t="n">
        <x:v>4106.53</x:v>
      </x:c>
      <x:c r="L398" t="n">
        <x:v>2240.75</x:v>
      </x:c>
      <x:c r="M398" t="n">
        <x:v>985.25</x:v>
      </x:c>
      <x:c r="N398" t="n">
        <x:v>0</x:v>
      </x:c>
    </x:row>
    <x:row r="399">
      <x:c r="A399" t="str">
        <x:v>Rwamuganga-02</x:v>
      </x:c>
      <x:c r="B399" t="str">
        <x:v>B540</x:v>
      </x:c>
      <x:c r="C399" t="str">
        <x:v>C447_Link01</x:v>
      </x:c>
      <x:c r="D399" t="str">
        <x:v>C</x:v>
      </x:c>
      <x:c r="E399" t="str">
        <x:v>Southern</x:v>
      </x:c>
      <x:c r="F399" t="str">
        <x:v>Mbarara</x:v>
      </x:c>
      <x:c r="G399" t="n">
        <x:v>6420.45</x:v>
      </x:c>
      <x:c r="H399" t="n">
        <x:v>0.000928</x:v>
      </x:c>
      <x:c r="I399" t="n">
        <x:v>0.9728</x:v>
      </x:c>
      <x:c r="J399" t="n">
        <x:v>5148.92</x:v>
      </x:c>
      <x:c r="K399" t="n">
        <x:v>632.21</x:v>
      </x:c>
      <x:c r="L399" t="n">
        <x:v>354.65</x:v>
      </x:c>
      <x:c r="M399" t="n">
        <x:v>284.66</x:v>
      </x:c>
      <x:c r="N399" t="n">
        <x:v>0</x:v>
      </x:c>
    </x:row>
    <x:row r="400">
      <x:c r="A400" t="str">
        <x:v>Murongo Bridge</x:v>
      </x:c>
      <x:c r="B400" t="str">
        <x:v>B541</x:v>
      </x:c>
      <x:c r="C400" t="str">
        <x:v>C354_Link01</x:v>
      </x:c>
      <x:c r="D400" t="str">
        <x:v>C</x:v>
      </x:c>
      <x:c r="E400" t="str">
        <x:v>Southern</x:v>
      </x:c>
      <x:c r="F400" t="str">
        <x:v>Mbarara</x:v>
      </x:c>
      <x:c r="G400" t="n">
        <x:v>7082.22</x:v>
      </x:c>
      <x:c r="H400" t="n">
        <x:v>0.000928</x:v>
      </x:c>
      <x:c r="I400" t="n">
        <x:v>0.9728</x:v>
      </x:c>
      <x:c r="J400" t="n">
        <x:v>5031.96</x:v>
      </x:c>
      <x:c r="K400" t="n">
        <x:v>1080.26</x:v>
      </x:c>
      <x:c r="L400" t="n">
        <x:v>539.43</x:v>
      </x:c>
      <x:c r="M400" t="n">
        <x:v>430.57</x:v>
      </x:c>
      <x:c r="N400" t="n">
        <x:v>0</x:v>
      </x:c>
    </x:row>
    <x:row r="401">
      <x:c r="A401" t="str">
        <x:v>Mirama Border 02</x:v>
      </x:c>
      <x:c r="B401" t="str">
        <x:v>B542</x:v>
      </x:c>
      <x:c r="C401" t="str">
        <x:v>C417_Link03</x:v>
      </x:c>
      <x:c r="D401" t="str">
        <x:v>C</x:v>
      </x:c>
      <x:c r="E401" t="str">
        <x:v>Southern</x:v>
      </x:c>
      <x:c r="F401" t="str">
        <x:v>Kabale</x:v>
      </x:c>
      <x:c r="G401" t="n">
        <x:v>6909.88</x:v>
      </x:c>
      <x:c r="H401" t="n">
        <x:v>0.000928</x:v>
      </x:c>
      <x:c r="I401" t="n">
        <x:v>0.9728</x:v>
      </x:c>
      <x:c r="J401" t="n">
        <x:v>4962.9</x:v>
      </x:c>
      <x:c r="K401" t="n">
        <x:v>1025.26</x:v>
      </x:c>
      <x:c r="L401" t="n">
        <x:v>513.15</x:v>
      </x:c>
      <x:c r="M401" t="n">
        <x:v>408.57</x:v>
      </x:c>
      <x:c r="N401" t="n">
        <x:v>0</x:v>
      </x:c>
    </x:row>
    <x:row r="402">
      <x:c r="A402" t="str">
        <x:v>Kyambu Bridge</x:v>
      </x:c>
      <x:c r="B402" t="str">
        <x:v>B543</x:v>
      </x:c>
      <x:c r="C402" t="str">
        <x:v>C356_Link01</x:v>
      </x:c>
      <x:c r="D402" t="str">
        <x:v>C</x:v>
      </x:c>
      <x:c r="E402" t="str">
        <x:v>Southern</x:v>
      </x:c>
      <x:c r="F402" t="str">
        <x:v>Ibanda</x:v>
      </x:c>
      <x:c r="G402" t="n">
        <x:v>5331.8</x:v>
      </x:c>
      <x:c r="H402" t="n">
        <x:v>0.000928</x:v>
      </x:c>
      <x:c r="I402" t="n">
        <x:v>0.9728</x:v>
      </x:c>
      <x:c r="J402" t="n">
        <x:v>3682.33</x:v>
      </x:c>
      <x:c r="K402" t="n">
        <x:v>904.5</x:v>
      </x:c>
      <x:c r="L402" t="n">
        <x:v>423.14</x:v>
      </x:c>
      <x:c r="M402" t="n">
        <x:v>321.83</x:v>
      </x:c>
      <x:c r="N402" t="n">
        <x:v>0</x:v>
      </x:c>
    </x:row>
    <x:row r="403">
      <x:c r="A403" t="str">
        <x:v>Nyamashekye Bridge</x:v>
      </x:c>
      <x:c r="B403" t="str">
        <x:v>B558</x:v>
      </x:c>
      <x:c r="C403" t="str">
        <x:v>C356_Link01</x:v>
      </x:c>
      <x:c r="D403" t="str">
        <x:v>C</x:v>
      </x:c>
      <x:c r="E403" t="str">
        <x:v>Southern</x:v>
      </x:c>
      <x:c r="F403" t="str">
        <x:v>Ibanda</x:v>
      </x:c>
      <x:c r="G403" t="n">
        <x:v>5335.49</x:v>
      </x:c>
      <x:c r="H403" t="n">
        <x:v>0.000928</x:v>
      </x:c>
      <x:c r="I403" t="n">
        <x:v>0.9728</x:v>
      </x:c>
      <x:c r="J403" t="n">
        <x:v>3684.32</x:v>
      </x:c>
      <x:c r="K403" t="n">
        <x:v>905.37</x:v>
      </x:c>
      <x:c r="L403" t="n">
        <x:v>423.6</x:v>
      </x:c>
      <x:c r="M403" t="n">
        <x:v>322.2</x:v>
      </x:c>
      <x:c r="N403" t="n">
        <x:v>0</x:v>
      </x:c>
    </x:row>
    <x:row r="404">
      <x:c r="A404" t="str">
        <x:v>Nyamashekye Bridge</x:v>
      </x:c>
      <x:c r="B404" t="str">
        <x:v>B545</x:v>
      </x:c>
      <x:c r="C404" t="str">
        <x:v>C356_Link01</x:v>
      </x:c>
      <x:c r="D404" t="str">
        <x:v>C</x:v>
      </x:c>
      <x:c r="E404" t="str">
        <x:v>Southern</x:v>
      </x:c>
      <x:c r="F404" t="str">
        <x:v>Ibanda</x:v>
      </x:c>
      <x:c r="G404" t="n">
        <x:v>5335.49</x:v>
      </x:c>
      <x:c r="H404" t="n">
        <x:v>0.000928</x:v>
      </x:c>
      <x:c r="I404" t="n">
        <x:v>0.9728</x:v>
      </x:c>
      <x:c r="J404" t="n">
        <x:v>3684.32</x:v>
      </x:c>
      <x:c r="K404" t="n">
        <x:v>905.37</x:v>
      </x:c>
      <x:c r="L404" t="n">
        <x:v>423.6</x:v>
      </x:c>
      <x:c r="M404" t="n">
        <x:v>322.2</x:v>
      </x:c>
      <x:c r="N404" t="n">
        <x:v>0</x:v>
      </x:c>
    </x:row>
    <x:row r="405">
      <x:c r="A405" t="str">
        <x:v>Mpanga Bridge</x:v>
      </x:c>
      <x:c r="B405" t="str">
        <x:v>B546</x:v>
      </x:c>
      <x:c r="C405" t="str">
        <x:v>B150_Link03</x:v>
      </x:c>
      <x:c r="D405" t="str">
        <x:v>B</x:v>
      </x:c>
      <x:c r="E405" t="str">
        <x:v>Southern</x:v>
      </x:c>
      <x:c r="F405" t="str">
        <x:v>Ibanda</x:v>
      </x:c>
      <x:c r="G405" t="n">
        <x:v>3474.98</x:v>
      </x:c>
      <x:c r="H405" t="n">
        <x:v>0.001101</x:v>
      </x:c>
      <x:c r="I405" t="n">
        <x:v>0.9728</x:v>
      </x:c>
      <x:c r="J405" t="n">
        <x:v>1789.11</x:v>
      </x:c>
      <x:c r="K405" t="n">
        <x:v>1428.48</x:v>
      </x:c>
      <x:c r="L405" t="n">
        <x:v>234.12</x:v>
      </x:c>
      <x:c r="M405" t="n">
        <x:v>23.27</x:v>
      </x:c>
      <x:c r="N405" t="n">
        <x:v>0</x:v>
      </x:c>
    </x:row>
    <x:row r="406">
      <x:c r="A406" t="str">
        <x:v>Ibanda</x:v>
      </x:c>
      <x:c r="B406" t="str">
        <x:v>B547</x:v>
      </x:c>
      <x:c r="C406" t="str">
        <x:v>B150_Link02</x:v>
      </x:c>
      <x:c r="D406" t="str">
        <x:v>B</x:v>
      </x:c>
      <x:c r="E406" t="str">
        <x:v>Southern</x:v>
      </x:c>
      <x:c r="F406" t="str">
        <x:v>Ibanda</x:v>
      </x:c>
      <x:c r="G406" t="n">
        <x:v>4308.84</x:v>
      </x:c>
      <x:c r="H406" t="n">
        <x:v>0.001101</x:v>
      </x:c>
      <x:c r="I406" t="n">
        <x:v>0.9728</x:v>
      </x:c>
      <x:c r="J406" t="n">
        <x:v>3011.58</x:v>
      </x:c>
      <x:c r="K406" t="n">
        <x:v>732.16</x:v>
      </x:c>
      <x:c r="L406" t="n">
        <x:v>325.25</x:v>
      </x:c>
      <x:c r="M406" t="n">
        <x:v>239.86</x:v>
      </x:c>
      <x:c r="N406" t="n">
        <x:v>0</x:v>
      </x:c>
    </x:row>
    <x:row r="407">
      <x:c r="A407" t="str">
        <x:v>Rwembyo Bridge</x:v>
      </x:c>
      <x:c r="B407" t="str">
        <x:v>B549</x:v>
      </x:c>
      <x:c r="C407" t="str">
        <x:v>C513_Link01</x:v>
      </x:c>
      <x:c r="D407" t="str">
        <x:v>C</x:v>
      </x:c>
      <x:c r="E407" t="str">
        <x:v>Southern</x:v>
      </x:c>
      <x:c r="F407" t="str">
        <x:v>Kasese</x:v>
      </x:c>
      <x:c r="G407" t="n">
        <x:v>5779.71</x:v>
      </x:c>
      <x:c r="H407" t="n">
        <x:v>0.000928</x:v>
      </x:c>
      <x:c r="I407" t="n">
        <x:v>0.9728</x:v>
      </x:c>
      <x:c r="J407" t="n">
        <x:v>4057.69</x:v>
      </x:c>
      <x:c r="K407" t="n">
        <x:v>939.88</x:v>
      </x:c>
      <x:c r="L407" t="n">
        <x:v>445.04</x:v>
      </x:c>
      <x:c r="M407" t="n">
        <x:v>337.09</x:v>
      </x:c>
      <x:c r="N407" t="n">
        <x:v>0</x:v>
      </x:c>
    </x:row>
    <x:row r="408">
      <x:c r="A408" t="str">
        <x:v>Kajwenge Bridge</x:v>
      </x:c>
      <x:c r="B408" t="str">
        <x:v>B550</x:v>
      </x:c>
      <x:c r="C408" t="str">
        <x:v>C513_Link01</x:v>
      </x:c>
      <x:c r="D408" t="str">
        <x:v>C</x:v>
      </x:c>
      <x:c r="E408" t="str">
        <x:v>Southern</x:v>
      </x:c>
      <x:c r="F408" t="str">
        <x:v>Kasese</x:v>
      </x:c>
      <x:c r="G408" t="n">
        <x:v>5811.95</x:v>
      </x:c>
      <x:c r="H408" t="n">
        <x:v>0.000928</x:v>
      </x:c>
      <x:c r="I408" t="n">
        <x:v>0.9728</x:v>
      </x:c>
      <x:c r="J408" t="n">
        <x:v>4084.8</x:v>
      </x:c>
      <x:c r="K408" t="n">
        <x:v>941.56</x:v>
      </x:c>
      <x:c r="L408" t="n">
        <x:v>446.67</x:v>
      </x:c>
      <x:c r="M408" t="n">
        <x:v>338.92</x:v>
      </x:c>
      <x:c r="N408" t="n">
        <x:v>0</x:v>
      </x:c>
    </x:row>
    <x:row r="409">
      <x:c r="A409" t="str">
        <x:v>Kyanjuki</x:v>
      </x:c>
      <x:c r="B409" t="str">
        <x:v>B551</x:v>
      </x:c>
      <x:c r="C409" t="str">
        <x:v>C511_Link01</x:v>
      </x:c>
      <x:c r="D409" t="str">
        <x:v>C</x:v>
      </x:c>
      <x:c r="E409" t="str">
        <x:v>Southern</x:v>
      </x:c>
      <x:c r="F409" t="str">
        <x:v>Kasese</x:v>
      </x:c>
      <x:c r="G409" t="n">
        <x:v>5691.43</x:v>
      </x:c>
      <x:c r="H409" t="n">
        <x:v>0.000928</x:v>
      </x:c>
      <x:c r="I409" t="n">
        <x:v>0.9728</x:v>
      </x:c>
      <x:c r="J409" t="n">
        <x:v>3942.48</x:v>
      </x:c>
      <x:c r="K409" t="n">
        <x:v>961.35</x:v>
      </x:c>
      <x:c r="L409" t="n">
        <x:v>449.9</x:v>
      </x:c>
      <x:c r="M409" t="n">
        <x:v>337.7</x:v>
      </x:c>
      <x:c r="N409" t="n">
        <x:v>0</x:v>
      </x:c>
    </x:row>
    <x:row r="410">
      <x:c r="A410" t="str">
        <x:v>Delta Bridge</x:v>
      </x:c>
      <x:c r="B410" t="str">
        <x:v>B552</x:v>
      </x:c>
      <x:c r="C410" t="str">
        <x:v>A005_Link13</x:v>
      </x:c>
      <x:c r="D410" t="str">
        <x:v>A</x:v>
      </x:c>
      <x:c r="E410" t="str">
        <x:v>Southern</x:v>
      </x:c>
      <x:c r="F410" t="str">
        <x:v>Kasese</x:v>
      </x:c>
      <x:c r="G410" t="n">
        <x:v>5246.59</x:v>
      </x:c>
      <x:c r="H410" t="n">
        <x:v>0.001304</x:v>
      </x:c>
      <x:c r="I410" t="n">
        <x:v>0.9728</x:v>
      </x:c>
      <x:c r="J410" t="n">
        <x:v>3522.59</x:v>
      </x:c>
      <x:c r="K410" t="n">
        <x:v>984.48</x:v>
      </x:c>
      <x:c r="L410" t="n">
        <x:v>435.91</x:v>
      </x:c>
      <x:c r="M410" t="n">
        <x:v>303.61</x:v>
      </x:c>
      <x:c r="N410" t="n">
        <x:v>0</x:v>
      </x:c>
    </x:row>
    <x:row r="411">
      <x:c r="A411" t="str">
        <x:v>Omukabare Bridge</x:v>
      </x:c>
      <x:c r="B411" t="str">
        <x:v>B553</x:v>
      </x:c>
      <x:c r="C411" t="str">
        <x:v>C424_Link01</x:v>
      </x:c>
      <x:c r="D411" t="str">
        <x:v>C</x:v>
      </x:c>
      <x:c r="E411" t="str">
        <x:v>Southern</x:v>
      </x:c>
      <x:c r="F411" t="str">
        <x:v>Kabale</x:v>
      </x:c>
      <x:c r="G411" t="n">
        <x:v>7017.18</x:v>
      </x:c>
      <x:c r="H411" t="n">
        <x:v>0.000928</x:v>
      </x:c>
      <x:c r="I411" t="n">
        <x:v>0.9728</x:v>
      </x:c>
      <x:c r="J411" t="n">
        <x:v>5024.85</x:v>
      </x:c>
      <x:c r="K411" t="n">
        <x:v>1050.06</x:v>
      </x:c>
      <x:c r="L411" t="n">
        <x:v>523.59</x:v>
      </x:c>
      <x:c r="M411" t="n">
        <x:v>418.68</x:v>
      </x:c>
      <x:c r="N411" t="n">
        <x:v>0</x:v>
      </x:c>
    </x:row>
    <x:row r="412">
      <x:c r="A412" t="str">
        <x:v>Rukiri Bridge</x:v>
      </x:c>
      <x:c r="B412" t="str">
        <x:v>B554</x:v>
      </x:c>
      <x:c r="C412" t="str">
        <x:v>A002_Link10</x:v>
      </x:c>
      <x:c r="D412" t="str">
        <x:v>A</x:v>
      </x:c>
      <x:c r="E412" t="str">
        <x:v>Southern</x:v>
      </x:c>
      <x:c r="F412" t="str">
        <x:v>Kabale</x:v>
      </x:c>
      <x:c r="G412" t="n">
        <x:v>6556.44</x:v>
      </x:c>
      <x:c r="H412" t="n">
        <x:v>0.001304</x:v>
      </x:c>
      <x:c r="I412" t="n">
        <x:v>0.9728</x:v>
      </x:c>
      <x:c r="J412" t="n">
        <x:v>4723.85</x:v>
      </x:c>
      <x:c r="K412" t="n">
        <x:v>965.63</x:v>
      </x:c>
      <x:c r="L412" t="n">
        <x:v>489</x:v>
      </x:c>
      <x:c r="M412" t="n">
        <x:v>377.96</x:v>
      </x:c>
      <x:c r="N412" t="n">
        <x:v>0</x:v>
      </x:c>
    </x:row>
    <x:row r="413">
      <x:c r="A413" t="str">
        <x:v>Kizinga Bridge</x:v>
      </x:c>
      <x:c r="B413" t="str">
        <x:v>B555</x:v>
      </x:c>
      <x:c r="C413" t="str">
        <x:v>C422_Link01</x:v>
      </x:c>
      <x:c r="D413" t="str">
        <x:v>C</x:v>
      </x:c>
      <x:c r="E413" t="str">
        <x:v>Southern</x:v>
      </x:c>
      <x:c r="F413" t="str">
        <x:v>Kabale</x:v>
      </x:c>
      <x:c r="G413" t="n">
        <x:v>8031.23</x:v>
      </x:c>
      <x:c r="H413" t="n">
        <x:v>0.000928</x:v>
      </x:c>
      <x:c r="I413" t="n">
        <x:v>0.9728</x:v>
      </x:c>
      <x:c r="J413" t="n">
        <x:v>5777.63</x:v>
      </x:c>
      <x:c r="K413" t="n">
        <x:v>1186.28</x:v>
      </x:c>
      <x:c r="L413" t="n">
        <x:v>593.8</x:v>
      </x:c>
      <x:c r="M413" t="n">
        <x:v>473.52</x:v>
      </x:c>
      <x:c r="N413" t="n">
        <x:v>0</x:v>
      </x:c>
    </x:row>
    <x:row r="414">
      <x:c r="A414" t="str">
        <x:v>Munyanga Bridge</x:v>
      </x:c>
      <x:c r="B414" t="str">
        <x:v>B556</x:v>
      </x:c>
      <x:c r="C414" t="str">
        <x:v>C456_Link01</x:v>
      </x:c>
      <x:c r="D414" t="str">
        <x:v>C</x:v>
      </x:c>
      <x:c r="E414" t="str">
        <x:v>Southern</x:v>
      </x:c>
      <x:c r="F414" t="str">
        <x:v>Kabale</x:v>
      </x:c>
      <x:c r="G414" t="n">
        <x:v>6666.72</x:v>
      </x:c>
      <x:c r="H414" t="n">
        <x:v>0.000928</x:v>
      </x:c>
      <x:c r="I414" t="n">
        <x:v>0.9728</x:v>
      </x:c>
      <x:c r="J414" t="n">
        <x:v>4821.91</x:v>
      </x:c>
      <x:c r="K414" t="n">
        <x:v>974.89</x:v>
      </x:c>
      <x:c r="L414" t="n">
        <x:v>485.27</x:v>
      </x:c>
      <x:c r="M414" t="n">
        <x:v>384.65</x:v>
      </x:c>
      <x:c r="N414" t="n">
        <x:v>0</x:v>
      </x:c>
    </x:row>
    <x:row r="415">
      <x:c r="A415" t="str">
        <x:v>Old Railway Bridge</x:v>
      </x:c>
      <x:c r="B415" t="str">
        <x:v>B559</x:v>
      </x:c>
      <x:c r="C415" t="str">
        <x:v>C023_Link01</x:v>
      </x:c>
      <x:c r="D415" t="str">
        <x:v>C</x:v>
      </x:c>
      <x:c r="E415" t="str">
        <x:v>Central</x:v>
      </x:c>
      <x:c r="F415" t="str">
        <x:v>Kampala</x:v>
      </x:c>
      <x:c r="G415" t="n">
        <x:v>10783.37</x:v>
      </x:c>
      <x:c r="H415" t="n">
        <x:v>0.000928</x:v>
      </x:c>
      <x:c r="I415" t="n">
        <x:v>0.9781</x:v>
      </x:c>
      <x:c r="J415" t="n">
        <x:v>7176.77</x:v>
      </x:c>
      <x:c r="K415" t="n">
        <x:v>1981.34</x:v>
      </x:c>
      <x:c r="L415" t="n">
        <x:v>860.3</x:v>
      </x:c>
      <x:c r="M415" t="n">
        <x:v>764.96</x:v>
      </x:c>
      <x:c r="N415" t="n">
        <x:v>0</x:v>
      </x:c>
    </x:row>
    <x:row r="416">
      <x:c r="A416" t="str">
        <x:v>Kisinga-Kyarumba-Kibirizi</x:v>
      </x:c>
      <x:c r="B416" t="str">
        <x:v>B560</x:v>
      </x:c>
      <x:c r="C416" t="str">
        <x:v>C513_Link02</x:v>
      </x:c>
      <x:c r="D416" t="str">
        <x:v>C</x:v>
      </x:c>
      <x:c r="E416" t="str">
        <x:v>Southern</x:v>
      </x:c>
      <x:c r="F416" t="str">
        <x:v>Kasese</x:v>
      </x:c>
      <x:c r="G416" t="n">
        <x:v>5728.63</x:v>
      </x:c>
      <x:c r="H416" t="n">
        <x:v>0.000928</x:v>
      </x:c>
      <x:c r="I416" t="n">
        <x:v>0.9728</x:v>
      </x:c>
      <x:c r="J416" t="n">
        <x:v>4002.08</x:v>
      </x:c>
      <x:c r="K416" t="n">
        <x:v>945.12</x:v>
      </x:c>
      <x:c r="L416" t="n">
        <x:v>445.33</x:v>
      </x:c>
      <x:c r="M416" t="n">
        <x:v>336.09</x:v>
      </x:c>
      <x:c r="N416" t="n">
        <x:v>0</x:v>
      </x:c>
    </x:row>
    <x:row r="417">
      <x:c r="A417" t="str">
        <x:v>Birara Bridge</x:v>
      </x:c>
      <x:c r="B417" t="str">
        <x:v>B561</x:v>
      </x:c>
      <x:c r="C417" t="str">
        <x:v>C459_Link01</x:v>
      </x:c>
      <x:c r="D417" t="str">
        <x:v>C</x:v>
      </x:c>
      <x:c r="E417" t="str">
        <x:v>Southern</x:v>
      </x:c>
      <x:c r="F417" t="str">
        <x:v>Kabale</x:v>
      </x:c>
      <x:c r="G417" t="n">
        <x:v>6569.34</x:v>
      </x:c>
      <x:c r="H417" t="n">
        <x:v>0.000928</x:v>
      </x:c>
      <x:c r="I417" t="n">
        <x:v>0.9728</x:v>
      </x:c>
      <x:c r="J417" t="n">
        <x:v>4829.53</x:v>
      </x:c>
      <x:c r="K417" t="n">
        <x:v>914.63</x:v>
      </x:c>
      <x:c r="L417" t="n">
        <x:v>460.7</x:v>
      </x:c>
      <x:c r="M417" t="n">
        <x:v>364.48</x:v>
      </x:c>
      <x:c r="N417" t="n">
        <x:v>0</x:v>
      </x:c>
    </x:row>
    <x:row r="418">
      <x:c r="A418" t="str">
        <x:v>Nyamashekye Bridge</x:v>
      </x:c>
      <x:c r="B418" t="str">
        <x:v>B562</x:v>
      </x:c>
      <x:c r="C418" t="str">
        <x:v>C357_Link01</x:v>
      </x:c>
      <x:c r="D418" t="str">
        <x:v>C</x:v>
      </x:c>
      <x:c r="E418" t="str">
        <x:v>Southern</x:v>
      </x:c>
      <x:c r="F418" t="str">
        <x:v>Ibanda</x:v>
      </x:c>
      <x:c r="G418" t="n">
        <x:v>4832.45</x:v>
      </x:c>
      <x:c r="H418" t="n">
        <x:v>0.000928</x:v>
      </x:c>
      <x:c r="I418" t="n">
        <x:v>0.9728</x:v>
      </x:c>
      <x:c r="J418" t="n">
        <x:v>3304.29</x:v>
      </x:c>
      <x:c r="K418" t="n">
        <x:v>852.76</x:v>
      </x:c>
      <x:c r="L418" t="n">
        <x:v>387.27</x:v>
      </x:c>
      <x:c r="M418" t="n">
        <x:v>288.13</x:v>
      </x:c>
      <x:c r="N418" t="n">
        <x:v>0</x:v>
      </x:c>
    </x:row>
    <x:row r="419">
      <x:c r="A419" t="str">
        <x:v>Kidoko - Kachonga</x:v>
      </x:c>
      <x:c r="B419" t="str">
        <x:v>B600</x:v>
      </x:c>
      <x:c r="C419" t="str">
        <x:v>C838_Link02</x:v>
      </x:c>
      <x:c r="D419" t="str">
        <x:v>C</x:v>
      </x:c>
      <x:c r="E419" t="str">
        <x:v>Eastern</x:v>
      </x:c>
      <x:c r="F419" t="str">
        <x:v>Tororo</x:v>
      </x:c>
      <x:c r="G419" t="n">
        <x:v>7408.39</x:v>
      </x:c>
      <x:c r="H419" t="n">
        <x:v>0.000928</x:v>
      </x:c>
      <x:c r="I419" t="n">
        <x:v>0.9312</x:v>
      </x:c>
      <x:c r="J419" t="n">
        <x:v>4648.34</x:v>
      </x:c>
      <x:c r="K419" t="n">
        <x:v>1589.05</x:v>
      </x:c>
      <x:c r="L419" t="n">
        <x:v>664.44</x:v>
      </x:c>
      <x:c r="M419" t="n">
        <x:v>506.57</x:v>
      </x:c>
      <x:c r="N419" t="n">
        <x:v>0</x:v>
      </x:c>
    </x:row>
    <x:row r="420">
      <x:c r="A420" t="str">
        <x:v>Kapir - Ngora</x:v>
      </x:c>
      <x:c r="B420" t="str">
        <x:v>B601</x:v>
      </x:c>
      <x:c r="C420" t="str">
        <x:v>C930_Link01</x:v>
      </x:c>
      <x:c r="D420" t="str">
        <x:v>C</x:v>
      </x:c>
      <x:c r="E420" t="str">
        <x:v>North Eastern</x:v>
      </x:c>
      <x:c r="F420" t="str">
        <x:v>Soroti</x:v>
      </x:c>
      <x:c r="G420" t="n">
        <x:v>3855.92</x:v>
      </x:c>
      <x:c r="H420" t="n">
        <x:v>0.000928</x:v>
      </x:c>
      <x:c r="I420" t="n">
        <x:v>0.9376</x:v>
      </x:c>
      <x:c r="J420" t="n">
        <x:v>2481.75</x:v>
      </x:c>
      <x:c r="K420" t="n">
        <x:v>851.85</x:v>
      </x:c>
      <x:c r="L420" t="n">
        <x:v>295.64</x:v>
      </x:c>
      <x:c r="M420" t="n">
        <x:v>226.67</x:v>
      </x:c>
      <x:c r="N420" t="n">
        <x:v>0</x:v>
      </x:c>
    </x:row>
    <x:row r="421">
      <x:c r="A421" t="str">
        <x:v>Mulanda - Nagongera</x:v>
      </x:c>
      <x:c r="B421" t="str">
        <x:v>B602</x:v>
      </x:c>
      <x:c r="C421" t="str">
        <x:v>C836_Link02</x:v>
      </x:c>
      <x:c r="D421" t="str">
        <x:v>C</x:v>
      </x:c>
      <x:c r="E421" t="str">
        <x:v>Eastern</x:v>
      </x:c>
      <x:c r="F421" t="str">
        <x:v>Tororo</x:v>
      </x:c>
      <x:c r="G421" t="n">
        <x:v>8328.51</x:v>
      </x:c>
      <x:c r="H421" t="n">
        <x:v>0.000928</x:v>
      </x:c>
      <x:c r="I421" t="n">
        <x:v>0.9312</x:v>
      </x:c>
      <x:c r="J421" t="n">
        <x:v>5431.75</x:v>
      </x:c>
      <x:c r="K421" t="n">
        <x:v>1538.74</x:v>
      </x:c>
      <x:c r="L421" t="n">
        <x:v>703.1</x:v>
      </x:c>
      <x:c r="M421" t="n">
        <x:v>654.92</x:v>
      </x:c>
      <x:c r="N421" t="n">
        <x:v>0</x:v>
      </x:c>
    </x:row>
    <x:row r="422">
      <x:c r="A422" t="str">
        <x:v>Kaserem-Kapchorwa-Suam</x:v>
      </x:c>
      <x:c r="B422" t="str">
        <x:v>B603</x:v>
      </x:c>
      <x:c r="C422" t="str">
        <x:v>B304_Link02</x:v>
      </x:c>
      <x:c r="D422" t="str">
        <x:v>B</x:v>
      </x:c>
      <x:c r="E422" t="str">
        <x:v>Eastern</x:v>
      </x:c>
      <x:c r="F422" t="str">
        <x:v>Mbale</x:v>
      </x:c>
      <x:c r="G422" t="n">
        <x:v>7413.86</x:v>
      </x:c>
      <x:c r="H422" t="n">
        <x:v>0.001101</x:v>
      </x:c>
      <x:c r="I422" t="n">
        <x:v>0.9312</x:v>
      </x:c>
      <x:c r="J422" t="n">
        <x:v>4902.09</x:v>
      </x:c>
      <x:c r="K422" t="n">
        <x:v>1388.62</x:v>
      </x:c>
      <x:c r="L422" t="n">
        <x:v>612.48</x:v>
      </x:c>
      <x:c r="M422" t="n">
        <x:v>510.67</x:v>
      </x:c>
      <x:c r="N422" t="n">
        <x:v>0</x:v>
      </x:c>
    </x:row>
    <x:row r="423">
      <x:c r="A423" t="str">
        <x:v>Rubongi - Mulanda</x:v>
      </x:c>
      <x:c r="B423" t="str">
        <x:v>B605</x:v>
      </x:c>
      <x:c r="C423" t="str">
        <x:v>C844_Link01</x:v>
      </x:c>
      <x:c r="D423" t="str">
        <x:v>C</x:v>
      </x:c>
      <x:c r="E423" t="str">
        <x:v>Eastern</x:v>
      </x:c>
      <x:c r="F423" t="str">
        <x:v>Tororo</x:v>
      </x:c>
      <x:c r="G423" t="n">
        <x:v>8332.17</x:v>
      </x:c>
      <x:c r="H423" t="n">
        <x:v>0.000928</x:v>
      </x:c>
      <x:c r="I423" t="n">
        <x:v>0.9312</x:v>
      </x:c>
      <x:c r="J423" t="n">
        <x:v>5434.98</x:v>
      </x:c>
      <x:c r="K423" t="n">
        <x:v>1538.58</x:v>
      </x:c>
      <x:c r="L423" t="n">
        <x:v>703.24</x:v>
      </x:c>
      <x:c r="M423" t="n">
        <x:v>655.37</x:v>
      </x:c>
      <x:c r="N423" t="n">
        <x:v>0</x:v>
      </x:c>
    </x:row>
    <x:row r="424">
      <x:c r="A424" t="str">
        <x:v>Kaserem-Kapchorwa-Suam</x:v>
      </x:c>
      <x:c r="B424" t="str">
        <x:v>B606</x:v>
      </x:c>
      <x:c r="C424" t="str">
        <x:v>B304_Link02</x:v>
      </x:c>
      <x:c r="D424" t="str">
        <x:v>B</x:v>
      </x:c>
      <x:c r="E424" t="str">
        <x:v>Eastern</x:v>
      </x:c>
      <x:c r="F424" t="str">
        <x:v>Mbale</x:v>
      </x:c>
      <x:c r="G424" t="n">
        <x:v>7386.87</x:v>
      </x:c>
      <x:c r="H424" t="n">
        <x:v>0.001101</x:v>
      </x:c>
      <x:c r="I424" t="n">
        <x:v>0.9312</x:v>
      </x:c>
      <x:c r="J424" t="n">
        <x:v>4881.6</x:v>
      </x:c>
      <x:c r="K424" t="n">
        <x:v>1386.39</x:v>
      </x:c>
      <x:c r="L424" t="n">
        <x:v>610.5</x:v>
      </x:c>
      <x:c r="M424" t="n">
        <x:v>508.38</x:v>
      </x:c>
      <x:c r="N424" t="n">
        <x:v>0</x:v>
      </x:c>
    </x:row>
    <x:row r="425">
      <x:c r="A425" t="str">
        <x:v>Mbale-Bufumbo</x:v>
      </x:c>
      <x:c r="B425" t="str">
        <x:v>B608</x:v>
      </x:c>
      <x:c r="C425" t="str">
        <x:v>C880_Link01</x:v>
      </x:c>
      <x:c r="D425" t="str">
        <x:v>C</x:v>
      </x:c>
      <x:c r="E425" t="str">
        <x:v>Eastern</x:v>
      </x:c>
      <x:c r="F425" t="str">
        <x:v>Mbale</x:v>
      </x:c>
      <x:c r="G425" t="n">
        <x:v>7158.94</x:v>
      </x:c>
      <x:c r="H425" t="n">
        <x:v>0.000928</x:v>
      </x:c>
      <x:c r="I425" t="n">
        <x:v>0.9312</x:v>
      </x:c>
      <x:c r="J425" t="n">
        <x:v>4594.74</x:v>
      </x:c>
      <x:c r="K425" t="n">
        <x:v>1464.13</x:v>
      </x:c>
      <x:c r="L425" t="n">
        <x:v>616.25</x:v>
      </x:c>
      <x:c r="M425" t="n">
        <x:v>483.82</x:v>
      </x:c>
      <x:c r="N425" t="n">
        <x:v>0</x:v>
      </x:c>
    </x:row>
    <x:row r="426">
      <x:c r="A426" t="str">
        <x:v>Kapchorwa- Suam</x:v>
      </x:c>
      <x:c r="B426" t="str">
        <x:v>B609</x:v>
      </x:c>
      <x:c r="C426" t="str">
        <x:v>B304_Link02</x:v>
      </x:c>
      <x:c r="D426" t="str">
        <x:v>B</x:v>
      </x:c>
      <x:c r="E426" t="str">
        <x:v>Eastern</x:v>
      </x:c>
      <x:c r="F426" t="str">
        <x:v>Mbale</x:v>
      </x:c>
      <x:c r="G426" t="n">
        <x:v>7386.78</x:v>
      </x:c>
      <x:c r="H426" t="n">
        <x:v>0.001101</x:v>
      </x:c>
      <x:c r="I426" t="n">
        <x:v>0.9312</x:v>
      </x:c>
      <x:c r="J426" t="n">
        <x:v>4881.53</x:v>
      </x:c>
      <x:c r="K426" t="n">
        <x:v>1386.4</x:v>
      </x:c>
      <x:c r="L426" t="n">
        <x:v>610.49</x:v>
      </x:c>
      <x:c r="M426" t="n">
        <x:v>508.37</x:v>
      </x:c>
      <x:c r="N426" t="n">
        <x:v>0</x:v>
      </x:c>
    </x:row>
    <x:row r="427">
      <x:c r="A427" t="str">
        <x:v>Kanyango Bridge - Kumi</x:v>
      </x:c>
      <x:c r="B427" t="str">
        <x:v>B610</x:v>
      </x:c>
      <x:c r="C427" t="str">
        <x:v>B305_Link03</x:v>
      </x:c>
      <x:c r="D427" t="str">
        <x:v>B</x:v>
      </x:c>
      <x:c r="E427" t="str">
        <x:v>North Eastern</x:v>
      </x:c>
      <x:c r="F427" t="str">
        <x:v>Soroti</x:v>
      </x:c>
      <x:c r="G427" t="n">
        <x:v>4617.01</x:v>
      </x:c>
      <x:c r="H427" t="n">
        <x:v>0.001101</x:v>
      </x:c>
      <x:c r="I427" t="n">
        <x:v>0.9376</x:v>
      </x:c>
      <x:c r="J427" t="n">
        <x:v>2931.22</x:v>
      </x:c>
      <x:c r="K427" t="n">
        <x:v>1053.27</x:v>
      </x:c>
      <x:c r="L427" t="n">
        <x:v>360.37</x:v>
      </x:c>
      <x:c r="M427" t="n">
        <x:v>272.15</x:v>
      </x:c>
      <x:c r="N427" t="n">
        <x:v>0</x:v>
      </x:c>
    </x:row>
    <x:row r="428">
      <x:c r="A428" t="str">
        <x:v>Kaserem-Kapchorwa-Suam</x:v>
      </x:c>
      <x:c r="B428" t="str">
        <x:v>B611</x:v>
      </x:c>
      <x:c r="C428" t="str">
        <x:v>B304_Link02</x:v>
      </x:c>
      <x:c r="D428" t="str">
        <x:v>B</x:v>
      </x:c>
      <x:c r="E428" t="str">
        <x:v>Eastern</x:v>
      </x:c>
      <x:c r="F428" t="str">
        <x:v>Mbale</x:v>
      </x:c>
      <x:c r="G428" t="n">
        <x:v>7623.23</x:v>
      </x:c>
      <x:c r="H428" t="n">
        <x:v>0.001101</x:v>
      </x:c>
      <x:c r="I428" t="n">
        <x:v>0.9312</x:v>
      </x:c>
      <x:c r="J428" t="n">
        <x:v>5050.07</x:v>
      </x:c>
      <x:c r="K428" t="n">
        <x:v>1414.68</x:v>
      </x:c>
      <x:c r="L428" t="n">
        <x:v>629.44</x:v>
      </x:c>
      <x:c r="M428" t="n">
        <x:v>529.03</x:v>
      </x:c>
      <x:c r="N428" t="n">
        <x:v>0</x:v>
      </x:c>
    </x:row>
    <x:row r="429">
      <x:c r="A429" t="str">
        <x:v>Kaserem-Kapchorwa-Suam</x:v>
      </x:c>
      <x:c r="B429" t="str">
        <x:v>B612</x:v>
      </x:c>
      <x:c r="C429" t="str">
        <x:v>B304_Link02</x:v>
      </x:c>
      <x:c r="D429" t="str">
        <x:v>B</x:v>
      </x:c>
      <x:c r="E429" t="str">
        <x:v>Eastern</x:v>
      </x:c>
      <x:c r="F429" t="str">
        <x:v>Mbale</x:v>
      </x:c>
      <x:c r="G429" t="n">
        <x:v>7466.89</x:v>
      </x:c>
      <x:c r="H429" t="n">
        <x:v>0.001101</x:v>
      </x:c>
      <x:c r="I429" t="n">
        <x:v>0.9312</x:v>
      </x:c>
      <x:c r="J429" t="n">
        <x:v>4933.79</x:v>
      </x:c>
      <x:c r="K429" t="n">
        <x:v>1399.9</x:v>
      </x:c>
      <x:c r="L429" t="n">
        <x:v>617.73</x:v>
      </x:c>
      <x:c r="M429" t="n">
        <x:v>515.47</x:v>
      </x:c>
      <x:c r="N429" t="n">
        <x:v>0</x:v>
      </x:c>
    </x:row>
    <x:row r="430">
      <x:c r="A430" t="str">
        <x:v>Mayanja</x:v>
      </x:c>
      <x:c r="B430" t="str">
        <x:v>B630</x:v>
      </x:c>
      <x:c r="C430" t="str">
        <x:v>C608_Link01</x:v>
      </x:c>
      <x:c r="D430" t="str">
        <x:v>C</x:v>
      </x:c>
      <x:c r="E430" t="str">
        <x:v>Western</x:v>
      </x:c>
      <x:c r="F430" t="str">
        <x:v>Hoima</x:v>
      </x:c>
      <x:c r="G430" t="n">
        <x:v>9018.15</x:v>
      </x:c>
      <x:c r="H430" t="n">
        <x:v>0.000928</x:v>
      </x:c>
      <x:c r="I430" t="n">
        <x:v>0.9388</x:v>
      </x:c>
      <x:c r="J430" t="n">
        <x:v>6293.05</x:v>
      </x:c>
      <x:c r="K430" t="n">
        <x:v>1424.95</x:v>
      </x:c>
      <x:c r="L430" t="n">
        <x:v>725.81</x:v>
      </x:c>
      <x:c r="M430" t="n">
        <x:v>574.34</x:v>
      </x:c>
      <x:c r="N430" t="n">
        <x:v>0</x:v>
      </x:c>
    </x:row>
    <x:row r="431">
      <x:c r="A431" t="str">
        <x:v>Rutoha Bridge</x:v>
      </x:c>
      <x:c r="B431" t="str">
        <x:v>B631</x:v>
      </x:c>
      <x:c r="C431" t="str">
        <x:v>C596_Link01</x:v>
      </x:c>
      <x:c r="D431" t="str">
        <x:v>C</x:v>
      </x:c>
      <x:c r="E431" t="str">
        <x:v>Western</x:v>
      </x:c>
      <x:c r="F431" t="str">
        <x:v>Hoima</x:v>
      </x:c>
      <x:c r="G431" t="n">
        <x:v>7291.99</x:v>
      </x:c>
      <x:c r="H431" t="n">
        <x:v>0.000928</x:v>
      </x:c>
      <x:c r="I431" t="n">
        <x:v>0.9388</x:v>
      </x:c>
      <x:c r="J431" t="n">
        <x:v>5004.23</x:v>
      </x:c>
      <x:c r="K431" t="n">
        <x:v>1203.87</x:v>
      </x:c>
      <x:c r="L431" t="n">
        <x:v>599.69</x:v>
      </x:c>
      <x:c r="M431" t="n">
        <x:v>484.2</x:v>
      </x:c>
      <x:c r="N431" t="n">
        <x:v>0</x:v>
      </x:c>
    </x:row>
    <x:row r="432">
      <x:c r="A432" t="str">
        <x:v>Kingfisher</x:v>
      </x:c>
      <x:c r="B432" t="str">
        <x:v>B632</x:v>
      </x:c>
      <x:c r="C432" t="str">
        <x:v>C591_Link01</x:v>
      </x:c>
      <x:c r="D432" t="str">
        <x:v>C</x:v>
      </x:c>
      <x:c r="E432" t="str">
        <x:v>Western</x:v>
      </x:c>
      <x:c r="F432" t="str">
        <x:v>Hoima</x:v>
      </x:c>
      <x:c r="G432" t="n">
        <x:v>6691.61</x:v>
      </x:c>
      <x:c r="H432" t="n">
        <x:v>0.000928</x:v>
      </x:c>
      <x:c r="I432" t="n">
        <x:v>0.9388</x:v>
      </x:c>
      <x:c r="J432" t="n">
        <x:v>4535.86</x:v>
      </x:c>
      <x:c r="K432" t="n">
        <x:v>1158.82</x:v>
      </x:c>
      <x:c r="L432" t="n">
        <x:v>559.9</x:v>
      </x:c>
      <x:c r="M432" t="n">
        <x:v>437.03</x:v>
      </x:c>
      <x:c r="N432" t="n">
        <x:v>0</x:v>
      </x:c>
    </x:row>
    <x:row r="433">
      <x:c r="A433" t="str">
        <x:v>Mpanga</x:v>
      </x:c>
      <x:c r="B433" t="str">
        <x:v>B634</x:v>
      </x:c>
      <x:c r="C433" t="str">
        <x:v>C571_Link01</x:v>
      </x:c>
      <x:c r="D433" t="str">
        <x:v>C</x:v>
      </x:c>
      <x:c r="E433" t="str">
        <x:v>Western</x:v>
      </x:c>
      <x:c r="F433" t="str">
        <x:v>Fort Portal</x:v>
      </x:c>
      <x:c r="G433" t="n">
        <x:v>3992.08</x:v>
      </x:c>
      <x:c r="H433" t="n">
        <x:v>0.000928</x:v>
      </x:c>
      <x:c r="I433" t="n">
        <x:v>0.9388</x:v>
      </x:c>
      <x:c r="J433" t="n">
        <x:v>2687.78</x:v>
      </x:c>
      <x:c r="K433" t="n">
        <x:v>755.8</x:v>
      </x:c>
      <x:c r="L433" t="n">
        <x:v>321.24</x:v>
      </x:c>
      <x:c r="M433" t="n">
        <x:v>227.26</x:v>
      </x:c>
      <x:c r="N433" t="n">
        <x:v>0</x:v>
      </x:c>
    </x:row>
    <x:row r="434">
      <x:c r="A434" t="str">
        <x:v>Waaki Bridge</x:v>
      </x:c>
      <x:c r="B434" t="str">
        <x:v>B635</x:v>
      </x:c>
      <x:c r="C434" t="str">
        <x:v>C590_Link01</x:v>
      </x:c>
      <x:c r="D434" t="str">
        <x:v>C</x:v>
      </x:c>
      <x:c r="E434" t="str">
        <x:v>Western</x:v>
      </x:c>
      <x:c r="F434" t="str">
        <x:v>Hoima</x:v>
      </x:c>
      <x:c r="G434" t="n">
        <x:v>6960.44</x:v>
      </x:c>
      <x:c r="H434" t="n">
        <x:v>0.000928</x:v>
      </x:c>
      <x:c r="I434" t="n">
        <x:v>0.9388</x:v>
      </x:c>
      <x:c r="J434" t="n">
        <x:v>4780.09</x:v>
      </x:c>
      <x:c r="K434" t="n">
        <x:v>1128.66</x:v>
      </x:c>
      <x:c r="L434" t="n">
        <x:v>571.42</x:v>
      </x:c>
      <x:c r="M434" t="n">
        <x:v>480.27</x:v>
      </x:c>
      <x:c r="N434" t="n">
        <x:v>0</x:v>
      </x:c>
    </x:row>
    <x:row r="435">
      <x:c r="A435" t="str">
        <x:v>Kafu</x:v>
      </x:c>
      <x:c r="B435" t="str">
        <x:v>B637</x:v>
      </x:c>
      <x:c r="C435" t="str">
        <x:v>A006_Link06</x:v>
      </x:c>
      <x:c r="D435" t="str">
        <x:v>A</x:v>
      </x:c>
      <x:c r="E435" t="str">
        <x:v>Central</x:v>
      </x:c>
      <x:c r="F435" t="str">
        <x:v>Luwero</x:v>
      </x:c>
      <x:c r="G435" t="n">
        <x:v>8414.89</x:v>
      </x:c>
      <x:c r="H435" t="n">
        <x:v>0.001304</x:v>
      </x:c>
      <x:c r="I435" t="n">
        <x:v>0.9781</x:v>
      </x:c>
      <x:c r="J435" t="n">
        <x:v>5883.14</x:v>
      </x:c>
      <x:c r="K435" t="n">
        <x:v>1305.01</x:v>
      </x:c>
      <x:c r="L435" t="n">
        <x:v>666.36</x:v>
      </x:c>
      <x:c r="M435" t="n">
        <x:v>560.38</x:v>
      </x:c>
      <x:c r="N435" t="n">
        <x:v>0</x:v>
      </x:c>
    </x:row>
    <x:row r="436">
      <x:c r="A436" t="str">
        <x:v>Sonja</x:v>
      </x:c>
      <x:c r="B436" t="str">
        <x:v>B638</x:v>
      </x:c>
      <x:c r="C436" t="str">
        <x:v>C557_Link01</x:v>
      </x:c>
      <x:c r="D436" t="str">
        <x:v>C</x:v>
      </x:c>
      <x:c r="E436" t="str">
        <x:v>Western</x:v>
      </x:c>
      <x:c r="F436" t="str">
        <x:v>Fort Portal</x:v>
      </x:c>
      <x:c r="G436" t="n">
        <x:v>5223.47</x:v>
      </x:c>
      <x:c r="H436" t="n">
        <x:v>0.000928</x:v>
      </x:c>
      <x:c r="I436" t="n">
        <x:v>0.9388</x:v>
      </x:c>
      <x:c r="J436" t="n">
        <x:v>3460.99</x:v>
      </x:c>
      <x:c r="K436" t="n">
        <x:v>1005.09</x:v>
      </x:c>
      <x:c r="L436" t="n">
        <x:v>445.19</x:v>
      </x:c>
      <x:c r="M436" t="n">
        <x:v>312.2</x:v>
      </x:c>
      <x:c r="N436" t="n">
        <x:v>0</x:v>
      </x:c>
    </x:row>
    <x:row r="437">
      <x:c r="A437" t="str">
        <x:v>Buryambwa</x:v>
      </x:c>
      <x:c r="B437" t="str">
        <x:v>B639</x:v>
      </x:c>
      <x:c r="C437" t="str">
        <x:v>C545_Link01</x:v>
      </x:c>
      <x:c r="D437" t="str">
        <x:v>C</x:v>
      </x:c>
      <x:c r="E437" t="str">
        <x:v>Western</x:v>
      </x:c>
      <x:c r="F437" t="str">
        <x:v>Fort Portal</x:v>
      </x:c>
      <x:c r="G437" t="n">
        <x:v>5738.04</x:v>
      </x:c>
      <x:c r="H437" t="n">
        <x:v>0.000928</x:v>
      </x:c>
      <x:c r="I437" t="n">
        <x:v>0.9388</x:v>
      </x:c>
      <x:c r="J437" t="n">
        <x:v>3834.67</x:v>
      </x:c>
      <x:c r="K437" t="n">
        <x:v>1065.06</x:v>
      </x:c>
      <x:c r="L437" t="n">
        <x:v>485.01</x:v>
      </x:c>
      <x:c r="M437" t="n">
        <x:v>353.3</x:v>
      </x:c>
      <x:c r="N437" t="n">
        <x:v>0</x:v>
      </x:c>
    </x:row>
    <x:row r="438">
      <x:c r="A438" t="str">
        <x:v>Lakupe Bridge</x:v>
      </x:c>
      <x:c r="B438" t="str">
        <x:v>B720</x:v>
      </x:c>
      <x:c r="C438" t="str">
        <x:v>C706_Link02</x:v>
      </x:c>
      <x:c r="D438" t="str">
        <x:v>C</x:v>
      </x:c>
      <x:c r="E438" t="str">
        <x:v>Northern</x:v>
      </x:c>
      <x:c r="F438" t="str">
        <x:v>Kitgum</x:v>
      </x:c>
      <x:c r="G438" t="n">
        <x:v>6473.84</x:v>
      </x:c>
      <x:c r="H438" t="n">
        <x:v>0.000928</x:v>
      </x:c>
      <x:c r="I438" t="n">
        <x:v>0.9376</x:v>
      </x:c>
      <x:c r="J438" t="n">
        <x:v>4406.92</x:v>
      </x:c>
      <x:c r="K438" t="n">
        <x:v>1102.24</x:v>
      </x:c>
      <x:c r="L438" t="n">
        <x:v>522.59</x:v>
      </x:c>
      <x:c r="M438" t="n">
        <x:v>442.09</x:v>
      </x:c>
      <x:c r="N438" t="n">
        <x:v>0</x:v>
      </x:c>
    </x:row>
    <x:row r="439">
      <x:c r="A439" t="str">
        <x:v>Agago Irish Crossing</x:v>
      </x:c>
      <x:c r="B439" t="str">
        <x:v>B728</x:v>
      </x:c>
      <x:c r="C439" t="str">
        <x:v>B302_Link02</x:v>
      </x:c>
      <x:c r="D439" t="str">
        <x:v>B</x:v>
      </x:c>
      <x:c r="E439" t="str">
        <x:v>Northern</x:v>
      </x:c>
      <x:c r="F439" t="str">
        <x:v>Kitgum</x:v>
      </x:c>
      <x:c r="G439" t="n">
        <x:v>6602.88</x:v>
      </x:c>
      <x:c r="H439" t="n">
        <x:v>0.001101</x:v>
      </x:c>
      <x:c r="I439" t="n">
        <x:v>0.9376</x:v>
      </x:c>
      <x:c r="J439" t="n">
        <x:v>4479.53</x:v>
      </x:c>
      <x:c r="K439" t="n">
        <x:v>1151.29</x:v>
      </x:c>
      <x:c r="L439" t="n">
        <x:v>528.14</x:v>
      </x:c>
      <x:c r="M439" t="n">
        <x:v>443.92</x:v>
      </x:c>
      <x:c r="N439" t="n">
        <x:v>0</x:v>
      </x:c>
    </x:row>
    <x:row r="440">
      <x:c r="A440" t="str">
        <x:v>Odro Bridge</x:v>
      </x:c>
      <x:c r="B440" t="str">
        <x:v>B731</x:v>
      </x:c>
      <x:c r="C440" t="str">
        <x:v>C762_Link02</x:v>
      </x:c>
      <x:c r="D440" t="str">
        <x:v>C</x:v>
      </x:c>
      <x:c r="E440" t="str">
        <x:v>Northern</x:v>
      </x:c>
      <x:c r="F440" t="str">
        <x:v>Arua</x:v>
      </x:c>
      <x:c r="G440" t="n">
        <x:v>5186.38</x:v>
      </x:c>
      <x:c r="H440" t="n">
        <x:v>0.000928</x:v>
      </x:c>
      <x:c r="I440" t="n">
        <x:v>0.9376</x:v>
      </x:c>
      <x:c r="J440" t="n">
        <x:v>3449.83</x:v>
      </x:c>
      <x:c r="K440" t="n">
        <x:v>897.76</x:v>
      </x:c>
      <x:c r="L440" t="n">
        <x:v>456.22</x:v>
      </x:c>
      <x:c r="M440" t="n">
        <x:v>382.57</x:v>
      </x:c>
      <x:c r="N440" t="n">
        <x:v>0</x:v>
      </x:c>
    </x:row>
    <x:row r="441">
      <x:c r="A441" t="str">
        <x:v>Isa Bridge</x:v>
      </x:c>
      <x:c r="B441" t="str">
        <x:v>B732</x:v>
      </x:c>
      <x:c r="C441" t="str">
        <x:v>C762_Link02</x:v>
      </x:c>
      <x:c r="D441" t="str">
        <x:v>C</x:v>
      </x:c>
      <x:c r="E441" t="str">
        <x:v>Northern</x:v>
      </x:c>
      <x:c r="F441" t="str">
        <x:v>Arua</x:v>
      </x:c>
      <x:c r="G441" t="n">
        <x:v>5086.84</x:v>
      </x:c>
      <x:c r="H441" t="n">
        <x:v>0.000928</x:v>
      </x:c>
      <x:c r="I441" t="n">
        <x:v>0.9376</x:v>
      </x:c>
      <x:c r="J441" t="n">
        <x:v>3374.1</x:v>
      </x:c>
      <x:c r="K441" t="n">
        <x:v>884.22</x:v>
      </x:c>
      <x:c r="L441" t="n">
        <x:v>450.96</x:v>
      </x:c>
      <x:c r="M441" t="n">
        <x:v>377.57</x:v>
      </x:c>
      <x:c r="N441" t="n">
        <x:v>0</x:v>
      </x:c>
    </x:row>
    <x:row r="442">
      <x:c r="A442" t="str">
        <x:v>Naara</x:v>
      </x:c>
      <x:c r="B442" t="str">
        <x:v>B733</x:v>
      </x:c>
      <x:c r="C442" t="str">
        <x:v>C762_Link02</x:v>
      </x:c>
      <x:c r="D442" t="str">
        <x:v>C</x:v>
      </x:c>
      <x:c r="E442" t="str">
        <x:v>Northern</x:v>
      </x:c>
      <x:c r="F442" t="str">
        <x:v>Arua</x:v>
      </x:c>
      <x:c r="G442" t="n">
        <x:v>5129.79</x:v>
      </x:c>
      <x:c r="H442" t="n">
        <x:v>0.000928</x:v>
      </x:c>
      <x:c r="I442" t="n">
        <x:v>0.9376</x:v>
      </x:c>
      <x:c r="J442" t="n">
        <x:v>3406.9</x:v>
      </x:c>
      <x:c r="K442" t="n">
        <x:v>889.97</x:v>
      </x:c>
      <x:c r="L442" t="n">
        <x:v>453.18</x:v>
      </x:c>
      <x:c r="M442" t="n">
        <x:v>379.74</x:v>
      </x:c>
      <x:c r="N442" t="n">
        <x:v>0</x:v>
      </x:c>
    </x:row>
    <x:row r="443">
      <x:c r="A443" t="str">
        <x:v>Gazi (Alla)</x:v>
      </x:c>
      <x:c r="B443" t="str">
        <x:v>B735</x:v>
      </x:c>
      <x:c r="C443" t="str">
        <x:v>C742_Link01</x:v>
      </x:c>
      <x:c r="D443" t="str">
        <x:v>C</x:v>
      </x:c>
      <x:c r="E443" t="str">
        <x:v>Northern</x:v>
      </x:c>
      <x:c r="F443" t="str">
        <x:v>Arua</x:v>
      </x:c>
      <x:c r="G443" t="n">
        <x:v>4404.32</x:v>
      </x:c>
      <x:c r="H443" t="n">
        <x:v>0.000928</x:v>
      </x:c>
      <x:c r="I443" t="n">
        <x:v>0.9376</x:v>
      </x:c>
      <x:c r="J443" t="n">
        <x:v>2861.32</x:v>
      </x:c>
      <x:c r="K443" t="n">
        <x:v>785.23</x:v>
      </x:c>
      <x:c r="L443" t="n">
        <x:v>412.68</x:v>
      </x:c>
      <x:c r="M443" t="n">
        <x:v>345.09</x:v>
      </x:c>
      <x:c r="N443" t="n">
        <x:v>0</x:v>
      </x:c>
    </x:row>
    <x:row r="444">
      <x:c r="A444" t="str">
        <x:v>Ayuala Bridge</x:v>
      </x:c>
      <x:c r="B444" t="str">
        <x:v>B736</x:v>
      </x:c>
      <x:c r="C444" t="str">
        <x:v>C763_Link01</x:v>
      </x:c>
      <x:c r="D444" t="str">
        <x:v>C</x:v>
      </x:c>
      <x:c r="E444" t="str">
        <x:v>Northern</x:v>
      </x:c>
      <x:c r="F444" t="str">
        <x:v>Arua</x:v>
      </x:c>
      <x:c r="G444" t="n">
        <x:v>4638.75</x:v>
      </x:c>
      <x:c r="H444" t="n">
        <x:v>0.000928</x:v>
      </x:c>
      <x:c r="I444" t="n">
        <x:v>0.9376</x:v>
      </x:c>
      <x:c r="J444" t="n">
        <x:v>3074.21</x:v>
      </x:c>
      <x:c r="K444" t="n">
        <x:v>756.16</x:v>
      </x:c>
      <x:c r="L444" t="n">
        <x:v>420.84</x:v>
      </x:c>
      <x:c r="M444" t="n">
        <x:v>387.53</x:v>
      </x:c>
      <x:c r="N444" t="n">
        <x:v>0</x:v>
      </x:c>
    </x:row>
    <x:row r="445">
      <x:c r="A445" t="str">
        <x:v>Nyagak Bridge</x:v>
      </x:c>
      <x:c r="B445" t="str">
        <x:v>B737</x:v>
      </x:c>
      <x:c r="C445" t="str">
        <x:v>C763_Link01</x:v>
      </x:c>
      <x:c r="D445" t="str">
        <x:v>C</x:v>
      </x:c>
      <x:c r="E445" t="str">
        <x:v>Northern</x:v>
      </x:c>
      <x:c r="F445" t="str">
        <x:v>Arua</x:v>
      </x:c>
      <x:c r="G445" t="n">
        <x:v>4611.54</x:v>
      </x:c>
      <x:c r="H445" t="n">
        <x:v>0.000928</x:v>
      </x:c>
      <x:c r="I445" t="n">
        <x:v>0.9376</x:v>
      </x:c>
      <x:c r="J445" t="n">
        <x:v>3050.31</x:v>
      </x:c>
      <x:c r="K445" t="n">
        <x:v>756.89</x:v>
      </x:c>
      <x:c r="L445" t="n">
        <x:v>420.08</x:v>
      </x:c>
      <x:c r="M445" t="n">
        <x:v>384.27</x:v>
      </x:c>
      <x:c r="N445" t="n">
        <x:v>0</x:v>
      </x:c>
    </x:row>
    <x:row r="446">
      <x:c r="A446" t="str">
        <x:v>Ora Bridge</x:v>
      </x:c>
      <x:c r="B446" t="str">
        <x:v>B738</x:v>
      </x:c>
      <x:c r="C446" t="str">
        <x:v>C763_Link02</x:v>
      </x:c>
      <x:c r="D446" t="str">
        <x:v>C</x:v>
      </x:c>
      <x:c r="E446" t="str">
        <x:v>Northern</x:v>
      </x:c>
      <x:c r="F446" t="str">
        <x:v>Arua</x:v>
      </x:c>
      <x:c r="G446" t="n">
        <x:v>4504.71</x:v>
      </x:c>
      <x:c r="H446" t="n">
        <x:v>0.000928</x:v>
      </x:c>
      <x:c r="I446" t="n">
        <x:v>0.9376</x:v>
      </x:c>
      <x:c r="J446" t="n">
        <x:v>2926.32</x:v>
      </x:c>
      <x:c r="K446" t="n">
        <x:v>800.61</x:v>
      </x:c>
      <x:c r="L446" t="n">
        <x:v>423.97</x:v>
      </x:c>
      <x:c r="M446" t="n">
        <x:v>353.82</x:v>
      </x:c>
      <x:c r="N446" t="n">
        <x:v>0</x:v>
      </x:c>
    </x:row>
    <x:row r="447">
      <x:c r="A447" t="str">
        <x:v>Aniza Bridge</x:v>
      </x:c>
      <x:c r="B447" t="str">
        <x:v>B739</x:v>
      </x:c>
      <x:c r="C447" t="str">
        <x:v>C763_Link02</x:v>
      </x:c>
      <x:c r="D447" t="str">
        <x:v>C</x:v>
      </x:c>
      <x:c r="E447" t="str">
        <x:v>Northern</x:v>
      </x:c>
      <x:c r="F447" t="str">
        <x:v>Arua</x:v>
      </x:c>
      <x:c r="G447" t="n">
        <x:v>4400.85</x:v>
      </x:c>
      <x:c r="H447" t="n">
        <x:v>0.000928</x:v>
      </x:c>
      <x:c r="I447" t="n">
        <x:v>0.9376</x:v>
      </x:c>
      <x:c r="J447" t="n">
        <x:v>2843.71</x:v>
      </x:c>
      <x:c r="K447" t="n">
        <x:v>791.54</x:v>
      </x:c>
      <x:c r="L447" t="n">
        <x:v>419.11</x:v>
      </x:c>
      <x:c r="M447" t="n">
        <x:v>346.48</x:v>
      </x:c>
      <x:c r="N447" t="n">
        <x:v>0</x:v>
      </x:c>
    </x:row>
    <x:row r="448">
      <x:c r="A448" t="str">
        <x:v>Omolo Bridge</x:v>
      </x:c>
      <x:c r="B448" t="str">
        <x:v>B740</x:v>
      </x:c>
      <x:c r="C448" t="str">
        <x:v>C763_Link02</x:v>
      </x:c>
      <x:c r="D448" t="str">
        <x:v>C</x:v>
      </x:c>
      <x:c r="E448" t="str">
        <x:v>Northern</x:v>
      </x:c>
      <x:c r="F448" t="str">
        <x:v>Arua</x:v>
      </x:c>
      <x:c r="G448" t="n">
        <x:v>4439.51</x:v>
      </x:c>
      <x:c r="H448" t="n">
        <x:v>0.000928</x:v>
      </x:c>
      <x:c r="I448" t="n">
        <x:v>0.9376</x:v>
      </x:c>
      <x:c r="J448" t="n">
        <x:v>2871.09</x:v>
      </x:c>
      <x:c r="K448" t="n">
        <x:v>799.77</x:v>
      </x:c>
      <x:c r="L448" t="n">
        <x:v>421.58</x:v>
      </x:c>
      <x:c r="M448" t="n">
        <x:v>347.07</x:v>
      </x:c>
      <x:c r="N448" t="n">
        <x:v>0</x:v>
      </x:c>
    </x:row>
    <x:row r="449">
      <x:c r="A449" t="str">
        <x:v>Odrua River</x:v>
      </x:c>
      <x:c r="B449" t="str">
        <x:v>B741</x:v>
      </x:c>
      <x:c r="C449" t="str">
        <x:v>C763_Link02</x:v>
      </x:c>
      <x:c r="D449" t="str">
        <x:v>C</x:v>
      </x:c>
      <x:c r="E449" t="str">
        <x:v>Northern</x:v>
      </x:c>
      <x:c r="F449" t="str">
        <x:v>Arua</x:v>
      </x:c>
      <x:c r="G449" t="n">
        <x:v>4403.26</x:v>
      </x:c>
      <x:c r="H449" t="n">
        <x:v>0.000928</x:v>
      </x:c>
      <x:c r="I449" t="n">
        <x:v>0.9376</x:v>
      </x:c>
      <x:c r="J449" t="n">
        <x:v>2839.1</x:v>
      </x:c>
      <x:c r="K449" t="n">
        <x:v>801.67</x:v>
      </x:c>
      <x:c r="L449" t="n">
        <x:v>420.35</x:v>
      </x:c>
      <x:c r="M449" t="n">
        <x:v>342.14</x:v>
      </x:c>
      <x:c r="N449" t="n">
        <x:v>0</x:v>
      </x:c>
    </x:row>
    <x:row r="450">
      <x:c r="A450" t="str">
        <x:v>Alla</x:v>
      </x:c>
      <x:c r="B450" t="str">
        <x:v>B743</x:v>
      </x:c>
      <x:c r="C450" t="str">
        <x:v>C749_Link01</x:v>
      </x:c>
      <x:c r="D450" t="str">
        <x:v>C</x:v>
      </x:c>
      <x:c r="E450" t="str">
        <x:v>Northern</x:v>
      </x:c>
      <x:c r="F450" t="str">
        <x:v>Arua</x:v>
      </x:c>
      <x:c r="G450" t="n">
        <x:v>4647.98</x:v>
      </x:c>
      <x:c r="H450" t="n">
        <x:v>0.000928</x:v>
      </x:c>
      <x:c r="I450" t="n">
        <x:v>0.9376</x:v>
      </x:c>
      <x:c r="J450" t="n">
        <x:v>3028.2</x:v>
      </x:c>
      <x:c r="K450" t="n">
        <x:v>833.53</x:v>
      </x:c>
      <x:c r="L450" t="n">
        <x:v>432.08</x:v>
      </x:c>
      <x:c r="M450" t="n">
        <x:v>354.17</x:v>
      </x:c>
      <x:c r="N450" t="n">
        <x:v>0</x:v>
      </x:c>
    </x:row>
    <x:row r="451">
      <x:c r="A451" t="str">
        <x:v>Tochi 2 Bridge</x:v>
      </x:c>
      <x:c r="B451" t="str">
        <x:v>B750</x:v>
      </x:c>
      <x:c r="C451" t="str">
        <x:v>C665_Link02</x:v>
      </x:c>
      <x:c r="D451" t="str">
        <x:v>C</x:v>
      </x:c>
      <x:c r="E451" t="str">
        <x:v>Northern</x:v>
      </x:c>
      <x:c r="F451" t="str">
        <x:v>Gulu</x:v>
      </x:c>
      <x:c r="G451" t="n">
        <x:v>5617.02</x:v>
      </x:c>
      <x:c r="H451" t="n">
        <x:v>0.000928</x:v>
      </x:c>
      <x:c r="I451" t="n">
        <x:v>0.9376</x:v>
      </x:c>
      <x:c r="J451" t="n">
        <x:v>4006.99</x:v>
      </x:c>
      <x:c r="K451" t="n">
        <x:v>740.86</x:v>
      </x:c>
      <x:c r="L451" t="n">
        <x:v>420.68</x:v>
      </x:c>
      <x:c r="M451" t="n">
        <x:v>448.49</x:v>
      </x:c>
      <x:c r="N451" t="n">
        <x:v>0</x:v>
      </x:c>
    </x:row>
    <x:row r="452">
      <x:c r="A452" t="str">
        <x:v>Okole Bridge 2</x:v>
      </x:c>
      <x:c r="B452" t="str">
        <x:v>B751</x:v>
      </x:c>
      <x:c r="C452" t="str">
        <x:v>C662_Link01</x:v>
      </x:c>
      <x:c r="D452" t="str">
        <x:v>C</x:v>
      </x:c>
      <x:c r="E452" t="str">
        <x:v>Northern</x:v>
      </x:c>
      <x:c r="F452" t="str">
        <x:v>Lira</x:v>
      </x:c>
      <x:c r="G452" t="n">
        <x:v>6604.09</x:v>
      </x:c>
      <x:c r="H452" t="n">
        <x:v>0.000928</x:v>
      </x:c>
      <x:c r="I452" t="n">
        <x:v>0.9376</x:v>
      </x:c>
      <x:c r="J452" t="n">
        <x:v>4579.17</x:v>
      </x:c>
      <x:c r="K452" t="n">
        <x:v>1048.89</x:v>
      </x:c>
      <x:c r="L452" t="n">
        <x:v>514.85</x:v>
      </x:c>
      <x:c r="M452" t="n">
        <x:v>461.18</x:v>
      </x:c>
      <x:c r="N452" t="n">
        <x:v>0</x:v>
      </x:c>
    </x:row>
    <x:row r="453">
      <x:c r="A453" t="str">
        <x:v>Tochi Bridge</x:v>
      </x:c>
      <x:c r="B453" t="str">
        <x:v>B752</x:v>
      </x:c>
      <x:c r="C453" t="str">
        <x:v>C693_Link01</x:v>
      </x:c>
      <x:c r="D453" t="str">
        <x:v>C</x:v>
      </x:c>
      <x:c r="E453" t="str">
        <x:v>Northern</x:v>
      </x:c>
      <x:c r="F453" t="str">
        <x:v>Lira</x:v>
      </x:c>
      <x:c r="G453" t="n">
        <x:v>6381.31</x:v>
      </x:c>
      <x:c r="H453" t="n">
        <x:v>0.000928</x:v>
      </x:c>
      <x:c r="I453" t="n">
        <x:v>0.9376</x:v>
      </x:c>
      <x:c r="J453" t="n">
        <x:v>4526.29</x:v>
      </x:c>
      <x:c r="K453" t="n">
        <x:v>878.79</x:v>
      </x:c>
      <x:c r="L453" t="n">
        <x:v>485.34</x:v>
      </x:c>
      <x:c r="M453" t="n">
        <x:v>490.89</x:v>
      </x:c>
      <x:c r="N453" t="n">
        <x:v>0</x:v>
      </x:c>
    </x:row>
    <x:row r="454">
      <x:c r="A454" t="str">
        <x:v>Itirikwa</x:v>
      </x:c>
      <x:c r="B454" t="str">
        <x:v>B760</x:v>
      </x:c>
      <x:c r="C454" t="str">
        <x:v>C726_Link01</x:v>
      </x:c>
      <x:c r="D454" t="str">
        <x:v>C</x:v>
      </x:c>
      <x:c r="E454" t="str">
        <x:v>Northern</x:v>
      </x:c>
      <x:c r="F454" t="str">
        <x:v>Moyo</x:v>
      </x:c>
      <x:c r="G454" t="n">
        <x:v>5445.42</x:v>
      </x:c>
      <x:c r="H454" t="n">
        <x:v>0.000928</x:v>
      </x:c>
      <x:c r="I454" t="n">
        <x:v>0.9376</x:v>
      </x:c>
      <x:c r="J454" t="n">
        <x:v>3681.57</x:v>
      </x:c>
      <x:c r="K454" t="n">
        <x:v>923.81</x:v>
      </x:c>
      <x:c r="L454" t="n">
        <x:v>453.75</x:v>
      </x:c>
      <x:c r="M454" t="n">
        <x:v>386.3</x:v>
      </x:c>
      <x:c r="N454" t="n">
        <x:v>0</x:v>
      </x:c>
    </x:row>
    <x:row r="455">
      <x:c r="A455" t="str">
        <x:v>Aloi Bridge</x:v>
      </x:c>
      <x:c r="B455" t="str">
        <x:v>B761</x:v>
      </x:c>
      <x:c r="C455" t="str">
        <x:v>C650_Link01</x:v>
      </x:c>
      <x:c r="D455" t="str">
        <x:v>C</x:v>
      </x:c>
      <x:c r="E455" t="str">
        <x:v>Northern</x:v>
      </x:c>
      <x:c r="F455" t="str">
        <x:v>Lira</x:v>
      </x:c>
      <x:c r="G455" t="n">
        <x:v>6594.13</x:v>
      </x:c>
      <x:c r="H455" t="n">
        <x:v>0.000928</x:v>
      </x:c>
      <x:c r="I455" t="n">
        <x:v>0.9376</x:v>
      </x:c>
      <x:c r="J455" t="n">
        <x:v>4468.73</x:v>
      </x:c>
      <x:c r="K455" t="n">
        <x:v>1157.08</x:v>
      </x:c>
      <x:c r="L455" t="n">
        <x:v>526.46</x:v>
      </x:c>
      <x:c r="M455" t="n">
        <x:v>441.86</x:v>
      </x:c>
      <x:c r="N455" t="n">
        <x:v>0</x:v>
      </x:c>
    </x:row>
    <x:row r="456">
      <x:c r="A456" t="str">
        <x:v>Namukora</x:v>
      </x:c>
      <x:c r="B456" t="str">
        <x:v>B762</x:v>
      </x:c>
      <x:c r="C456" t="str">
        <x:v>C678_Link01</x:v>
      </x:c>
      <x:c r="D456" t="str">
        <x:v>C</x:v>
      </x:c>
      <x:c r="E456" t="str">
        <x:v>Northern</x:v>
      </x:c>
      <x:c r="F456" t="str">
        <x:v>Kitgum</x:v>
      </x:c>
      <x:c r="G456" t="n">
        <x:v>6552.05</x:v>
      </x:c>
      <x:c r="H456" t="n">
        <x:v>0.000928</x:v>
      </x:c>
      <x:c r="I456" t="n">
        <x:v>0.9376</x:v>
      </x:c>
      <x:c r="J456" t="n">
        <x:v>4449.75</x:v>
      </x:c>
      <x:c r="K456" t="n">
        <x:v>1137.24</x:v>
      </x:c>
      <x:c r="L456" t="n">
        <x:v>524.14</x:v>
      </x:c>
      <x:c r="M456" t="n">
        <x:v>440.92</x:v>
      </x:c>
      <x:c r="N456" t="n">
        <x:v>0</x:v>
      </x:c>
    </x:row>
    <x:row r="457">
      <x:c r="A457" t="str">
        <x:v>Enyau</x:v>
      </x:c>
      <x:c r="B457" t="str">
        <x:v>B763</x:v>
      </x:c>
      <x:c r="C457" t="str">
        <x:v>C751_Link01</x:v>
      </x:c>
      <x:c r="D457" t="str">
        <x:v>C</x:v>
      </x:c>
      <x:c r="E457" t="str">
        <x:v>Northern</x:v>
      </x:c>
      <x:c r="F457" t="str">
        <x:v>Arua</x:v>
      </x:c>
      <x:c r="G457" t="n">
        <x:v>4932.38</x:v>
      </x:c>
      <x:c r="H457" t="n">
        <x:v>0.000928</x:v>
      </x:c>
      <x:c r="I457" t="n">
        <x:v>0.9376</x:v>
      </x:c>
      <x:c r="J457" t="n">
        <x:v>3247.95</x:v>
      </x:c>
      <x:c r="K457" t="n">
        <x:v>868.58</x:v>
      </x:c>
      <x:c r="L457" t="n">
        <x:v>446.26</x:v>
      </x:c>
      <x:c r="M457" t="n">
        <x:v>369.59</x:v>
      </x:c>
      <x:c r="N457" t="n">
        <x:v>0</x:v>
      </x:c>
    </x:row>
    <x:row r="458">
      <x:c r="A458" t="str">
        <x:v>Amuru Junction - Awee</x:v>
      </x:c>
      <x:c r="B458" t="str">
        <x:v>B764</x:v>
      </x:c>
      <x:c r="C458" t="str">
        <x:v>C686_Link02</x:v>
      </x:c>
      <x:c r="D458" t="str">
        <x:v>C</x:v>
      </x:c>
      <x:c r="E458" t="str">
        <x:v>Northern</x:v>
      </x:c>
      <x:c r="F458" t="str">
        <x:v>Gulu</x:v>
      </x:c>
      <x:c r="G458" t="n">
        <x:v>4065.11</x:v>
      </x:c>
      <x:c r="H458" t="n">
        <x:v>0.000928</x:v>
      </x:c>
      <x:c r="I458" t="n">
        <x:v>0.9376</x:v>
      </x:c>
      <x:c r="J458" t="n">
        <x:v>2726.58</x:v>
      </x:c>
      <x:c r="K458" t="n">
        <x:v>725.83</x:v>
      </x:c>
      <x:c r="L458" t="n">
        <x:v>335.66</x:v>
      </x:c>
      <x:c r="M458" t="n">
        <x:v>277.04</x:v>
      </x:c>
      <x:c r="N458" t="n">
        <x:v>0</x:v>
      </x:c>
    </x:row>
    <x:row r="459">
      <x:c r="A459" t="str">
        <x:v>Amuru Junction - Awee</x:v>
      </x:c>
      <x:c r="B459" t="str">
        <x:v>B765</x:v>
      </x:c>
      <x:c r="C459" t="str">
        <x:v>C686_Link02</x:v>
      </x:c>
      <x:c r="D459" t="str">
        <x:v>C</x:v>
      </x:c>
      <x:c r="E459" t="str">
        <x:v>Northern</x:v>
      </x:c>
      <x:c r="F459" t="str">
        <x:v>Gulu</x:v>
      </x:c>
      <x:c r="G459" t="n">
        <x:v>4065.11</x:v>
      </x:c>
      <x:c r="H459" t="n">
        <x:v>0.000928</x:v>
      </x:c>
      <x:c r="I459" t="n">
        <x:v>0.9376</x:v>
      </x:c>
      <x:c r="J459" t="n">
        <x:v>2726.58</x:v>
      </x:c>
      <x:c r="K459" t="n">
        <x:v>725.83</x:v>
      </x:c>
      <x:c r="L459" t="n">
        <x:v>335.66</x:v>
      </x:c>
      <x:c r="M459" t="n">
        <x:v>277.04</x:v>
      </x:c>
      <x:c r="N459" t="n">
        <x:v>0</x:v>
      </x:c>
    </x:row>
    <x:row r="460">
      <x:c r="A460" t="str">
        <x:v>Amuru Junction - Awee</x:v>
      </x:c>
      <x:c r="B460" t="str">
        <x:v>B766</x:v>
      </x:c>
      <x:c r="C460" t="str">
        <x:v>C686_Link02</x:v>
      </x:c>
      <x:c r="D460" t="str">
        <x:v>C</x:v>
      </x:c>
      <x:c r="E460" t="str">
        <x:v>Northern</x:v>
      </x:c>
      <x:c r="F460" t="str">
        <x:v>Gulu</x:v>
      </x:c>
      <x:c r="G460" t="n">
        <x:v>4110.21</x:v>
      </x:c>
      <x:c r="H460" t="n">
        <x:v>0.000928</x:v>
      </x:c>
      <x:c r="I460" t="n">
        <x:v>0.9376</x:v>
      </x:c>
      <x:c r="J460" t="n">
        <x:v>2756.76</x:v>
      </x:c>
      <x:c r="K460" t="n">
        <x:v>731.8</x:v>
      </x:c>
      <x:c r="L460" t="n">
        <x:v>340.14</x:v>
      </x:c>
      <x:c r="M460" t="n">
        <x:v>281.5</x:v>
      </x:c>
      <x:c r="N460" t="n">
        <x:v>0</x:v>
      </x:c>
    </x:row>
    <x:row r="461">
      <x:c r="A461" t="str">
        <x:v>Nalubaale Dam / Owen Falls</x:v>
      </x:c>
      <x:c r="B461" t="str">
        <x:v>B771</x:v>
      </x:c>
      <x:c r="C461" t="str">
        <x:v>B302_Link01</x:v>
      </x:c>
      <x:c r="D461" t="str">
        <x:v>B</x:v>
      </x:c>
      <x:c r="E461" t="str">
        <x:v>North Eastern</x:v>
      </x:c>
      <x:c r="F461" t="str">
        <x:v>Kotido</x:v>
      </x:c>
      <x:c r="G461" t="n">
        <x:v>7013.49</x:v>
      </x:c>
      <x:c r="H461" t="n">
        <x:v>0.001101</x:v>
      </x:c>
      <x:c r="I461" t="n">
        <x:v>0.9376</x:v>
      </x:c>
      <x:c r="J461" t="n">
        <x:v>4748.61</x:v>
      </x:c>
      <x:c r="K461" t="n">
        <x:v>1223.44</x:v>
      </x:c>
      <x:c r="L461" t="n">
        <x:v>565.12</x:v>
      </x:c>
      <x:c r="M461" t="n">
        <x:v>476.32</x:v>
      </x:c>
      <x:c r="N461" t="n">
        <x:v>0</x:v>
      </x:c>
    </x:row>
    <x:row r="462">
      <x:c r="A462" t="str">
        <x:v>Nabilatuk Irish Crossing</x:v>
      </x:c>
      <x:c r="B462" t="str">
        <x:v>B772</x:v>
      </x:c>
      <x:c r="C462" t="str">
        <x:v>C960_Link01</x:v>
      </x:c>
      <x:c r="D462" t="str">
        <x:v>C</x:v>
      </x:c>
      <x:c r="E462" t="str">
        <x:v>North Eastern</x:v>
      </x:c>
      <x:c r="F462" t="str">
        <x:v>Moroto</x:v>
      </x:c>
      <x:c r="G462" t="n">
        <x:v>7293.91</x:v>
      </x:c>
      <x:c r="H462" t="n">
        <x:v>0.000928</x:v>
      </x:c>
      <x:c r="I462" t="n">
        <x:v>0.9376</x:v>
      </x:c>
      <x:c r="J462" t="n">
        <x:v>4867.85</x:v>
      </x:c>
      <x:c r="K462" t="n">
        <x:v>1331.26</x:v>
      </x:c>
      <x:c r="L462" t="n">
        <x:v>595.15</x:v>
      </x:c>
      <x:c r="M462" t="n">
        <x:v>499.65</x:v>
      </x:c>
      <x:c r="N462" t="n">
        <x:v>0</x:v>
      </x:c>
    </x:row>
    <x:row r="463">
      <x:c r="A463" t="str">
        <x:v>Road Over Sugarcane Plantation</x:v>
      </x:c>
      <x:c r="B463" t="str">
        <x:v>B861</x:v>
      </x:c>
      <x:c r="C463" t="str">
        <x:v>A001_Link06</x:v>
      </x:c>
      <x:c r="D463" t="str">
        <x:v>A</x:v>
      </x:c>
      <x:c r="E463" t="str">
        <x:v>Eastern</x:v>
      </x:c>
      <x:c r="F463" t="str">
        <x:v>Jinja</x:v>
      </x:c>
      <x:c r="G463" t="n">
        <x:v>12039.86</x:v>
      </x:c>
      <x:c r="H463" t="n">
        <x:v>0.001304</x:v>
      </x:c>
      <x:c r="I463" t="n">
        <x:v>0.9312</x:v>
      </x:c>
      <x:c r="J463" t="n">
        <x:v>7463.8</x:v>
      </x:c>
      <x:c r="K463" t="n">
        <x:v>2630.06</x:v>
      </x:c>
      <x:c r="L463" t="n">
        <x:v>1061.14</x:v>
      </x:c>
      <x:c r="M463" t="n">
        <x:v>884.86</x:v>
      </x:c>
      <x:c r="N463" t="n">
        <x:v>0</x:v>
      </x:c>
    </x:row>
    <x:row r="464">
      <x:c r="A464" t="str">
        <x:v>Road Over Sugarcane Plantation</x:v>
      </x:c>
      <x:c r="B464" t="str">
        <x:v>B862</x:v>
      </x:c>
      <x:c r="C464" t="str">
        <x:v>A001_Link06</x:v>
      </x:c>
      <x:c r="D464" t="str">
        <x:v>A</x:v>
      </x:c>
      <x:c r="E464" t="str">
        <x:v>Eastern</x:v>
      </x:c>
      <x:c r="F464" t="str">
        <x:v>Jinja</x:v>
      </x:c>
      <x:c r="G464" t="n">
        <x:v>12039.86</x:v>
      </x:c>
      <x:c r="H464" t="n">
        <x:v>0.001304</x:v>
      </x:c>
      <x:c r="I464" t="n">
        <x:v>0.9312</x:v>
      </x:c>
      <x:c r="J464" t="n">
        <x:v>7463.8</x:v>
      </x:c>
      <x:c r="K464" t="n">
        <x:v>2630.06</x:v>
      </x:c>
      <x:c r="L464" t="n">
        <x:v>1061.14</x:v>
      </x:c>
      <x:c r="M464" t="n">
        <x:v>884.86</x:v>
      </x:c>
      <x:c r="N464" t="n">
        <x:v>0</x:v>
      </x:c>
    </x:row>
    <x:row r="465">
      <x:c r="A465" t="str">
        <x:v>Malawa</x:v>
      </x:c>
      <x:c r="B465" t="str">
        <x:v>B863</x:v>
      </x:c>
      <x:c r="C465" t="str">
        <x:v>B308_Link01</x:v>
      </x:c>
      <x:c r="D465" t="str">
        <x:v>B</x:v>
      </x:c>
      <x:c r="E465" t="str">
        <x:v>Eastern</x:v>
      </x:c>
      <x:c r="F465" t="str">
        <x:v>Tororo</x:v>
      </x:c>
      <x:c r="G465" t="n">
        <x:v>8894.55</x:v>
      </x:c>
      <x:c r="H465" t="n">
        <x:v>0.001101</x:v>
      </x:c>
      <x:c r="I465" t="n">
        <x:v>0.9312</x:v>
      </x:c>
      <x:c r="J465" t="n">
        <x:v>5918.43</x:v>
      </x:c>
      <x:c r="K465" t="n">
        <x:v>1544.95</x:v>
      </x:c>
      <x:c r="L465" t="n">
        <x:v>728.41</x:v>
      </x:c>
      <x:c r="M465" t="n">
        <x:v>702.76</x:v>
      </x:c>
      <x:c r="N465" t="n">
        <x:v>0</x:v>
      </x:c>
    </x:row>
    <x:row r="466">
      <x:c r="A466" t="str">
        <x:v>Kiguli Bridge</x:v>
      </x:c>
      <x:c r="B466" t="str">
        <x:v>B864</x:v>
      </x:c>
      <x:c r="C466" t="str">
        <x:v>C862_Link01</x:v>
      </x:c>
      <x:c r="D466" t="str">
        <x:v>C</x:v>
      </x:c>
      <x:c r="E466" t="str">
        <x:v>Eastern</x:v>
      </x:c>
      <x:c r="F466" t="str">
        <x:v>Mbale</x:v>
      </x:c>
      <x:c r="G466" t="n">
        <x:v>7196.77</x:v>
      </x:c>
      <x:c r="H466" t="n">
        <x:v>0.000928</x:v>
      </x:c>
      <x:c r="I466" t="n">
        <x:v>0.9312</x:v>
      </x:c>
      <x:c r="J466" t="n">
        <x:v>4656.31</x:v>
      </x:c>
      <x:c r="K466" t="n">
        <x:v>1438.88</x:v>
      </x:c>
      <x:c r="L466" t="n">
        <x:v>611.9</x:v>
      </x:c>
      <x:c r="M466" t="n">
        <x:v>489.69</x:v>
      </x:c>
      <x:c r="N466" t="n">
        <x:v>0</x:v>
      </x:c>
    </x:row>
    <x:row r="467">
      <x:c r="A467" t="str">
        <x:v>Leresi</x:v>
      </x:c>
      <x:c r="B467" t="str">
        <x:v>B865</x:v>
      </x:c>
      <x:c r="C467" t="str">
        <x:v>C833_Link01</x:v>
      </x:c>
      <x:c r="D467" t="str">
        <x:v>C</x:v>
      </x:c>
      <x:c r="E467" t="str">
        <x:v>Eastern</x:v>
      </x:c>
      <x:c r="F467" t="str">
        <x:v>Tororo</x:v>
      </x:c>
      <x:c r="G467" t="n">
        <x:v>7480.82</x:v>
      </x:c>
      <x:c r="H467" t="n">
        <x:v>0.000928</x:v>
      </x:c>
      <x:c r="I467" t="n">
        <x:v>0.9312</x:v>
      </x:c>
      <x:c r="J467" t="n">
        <x:v>4645.31</x:v>
      </x:c>
      <x:c r="K467" t="n">
        <x:v>1623.53</x:v>
      </x:c>
      <x:c r="L467" t="n">
        <x:v>681.54</x:v>
      </x:c>
      <x:c r="M467" t="n">
        <x:v>530.44</x:v>
      </x:c>
      <x:c r="N467" t="n">
        <x:v>0</x:v>
      </x:c>
    </x:row>
    <x:row r="468">
      <x:c r="A468" t="str">
        <x:v>Manafa</x:v>
      </x:c>
      <x:c r="B468" t="str">
        <x:v>B866</x:v>
      </x:c>
      <x:c r="C468" t="str">
        <x:v>A007_Link02</x:v>
      </x:c>
      <x:c r="D468" t="str">
        <x:v>A</x:v>
      </x:c>
      <x:c r="E468" t="str">
        <x:v>Eastern</x:v>
      </x:c>
      <x:c r="F468" t="str">
        <x:v>Tororo</x:v>
      </x:c>
      <x:c r="G468" t="n">
        <x:v>23460.74</x:v>
      </x:c>
      <x:c r="H468" t="n">
        <x:v>0.001304</x:v>
      </x:c>
      <x:c r="I468" t="n">
        <x:v>0.9312</x:v>
      </x:c>
      <x:c r="J468" t="n">
        <x:v>15321.51</x:v>
      </x:c>
      <x:c r="K468" t="n">
        <x:v>4407.65</x:v>
      </x:c>
      <x:c r="L468" t="n">
        <x:v>1979.02</x:v>
      </x:c>
      <x:c r="M468" t="n">
        <x:v>1752.56</x:v>
      </x:c>
      <x:c r="N468" t="n">
        <x:v>0</x:v>
      </x:c>
    </x:row>
    <x:row r="469">
      <x:c r="A469" t="str">
        <x:v>Buwangani</x:v>
      </x:c>
      <x:c r="B469" t="str">
        <x:v>B867</x:v>
      </x:c>
      <x:c r="C469" t="str">
        <x:v>C867_Link02</x:v>
      </x:c>
      <x:c r="D469" t="str">
        <x:v>C</x:v>
      </x:c>
      <x:c r="E469" t="str">
        <x:v>Eastern</x:v>
      </x:c>
      <x:c r="F469" t="str">
        <x:v>Mbale</x:v>
      </x:c>
      <x:c r="G469" t="n">
        <x:v>7399.62</x:v>
      </x:c>
      <x:c r="H469" t="n">
        <x:v>0.000928</x:v>
      </x:c>
      <x:c r="I469" t="n">
        <x:v>0.9312</x:v>
      </x:c>
      <x:c r="J469" t="n">
        <x:v>4774.12</x:v>
      </x:c>
      <x:c r="K469" t="n">
        <x:v>1482.68</x:v>
      </x:c>
      <x:c r="L469" t="n">
        <x:v>633.82</x:v>
      </x:c>
      <x:c r="M469" t="n">
        <x:v>509</x:v>
      </x:c>
      <x:c r="N469" t="n">
        <x:v>0</x:v>
      </x:c>
    </x:row>
    <x:row r="470">
      <x:c r="A470" t="str">
        <x:v>Dopeth</x:v>
      </x:c>
      <x:c r="B470" t="str">
        <x:v>B868</x:v>
      </x:c>
      <x:c r="C470" t="str">
        <x:v>B302_Link01</x:v>
      </x:c>
      <x:c r="D470" t="str">
        <x:v>B</x:v>
      </x:c>
      <x:c r="E470" t="str">
        <x:v>North Eastern</x:v>
      </x:c>
      <x:c r="F470" t="str">
        <x:v>Kotido</x:v>
      </x:c>
      <x:c r="G470" t="n">
        <x:v>6723.49</x:v>
      </x:c>
      <x:c r="H470" t="n">
        <x:v>0.001101</x:v>
      </x:c>
      <x:c r="I470" t="n">
        <x:v>0.9376</x:v>
      </x:c>
      <x:c r="J470" t="n">
        <x:v>4556.81</x:v>
      </x:c>
      <x:c r="K470" t="n">
        <x:v>1174.49</x:v>
      </x:c>
      <x:c r="L470" t="n">
        <x:v>538.82</x:v>
      </x:c>
      <x:c r="M470" t="n">
        <x:v>453.37</x:v>
      </x:c>
      <x:c r="N470" t="n">
        <x:v>0</x:v>
      </x:c>
    </x:row>
    <x:row r="471">
      <x:c r="A471" t="str">
        <x:v>Ameta Bridge</x:v>
      </x:c>
      <x:c r="B471" t="str">
        <x:v>B869</x:v>
      </x:c>
      <x:c r="C471" t="str">
        <x:v>B302_Link02</x:v>
      </x:c>
      <x:c r="D471" t="str">
        <x:v>B</x:v>
      </x:c>
      <x:c r="E471" t="str">
        <x:v>Northern</x:v>
      </x:c>
      <x:c r="F471" t="str">
        <x:v>Kitgum</x:v>
      </x:c>
      <x:c r="G471" t="n">
        <x:v>6527.59</x:v>
      </x:c>
      <x:c r="H471" t="n">
        <x:v>0.001101</x:v>
      </x:c>
      <x:c r="I471" t="n">
        <x:v>0.9376</x:v>
      </x:c>
      <x:c r="J471" t="n">
        <x:v>4431.09</x:v>
      </x:c>
      <x:c r="K471" t="n">
        <x:v>1136.83</x:v>
      </x:c>
      <x:c r="L471" t="n">
        <x:v>521.57</x:v>
      </x:c>
      <x:c r="M471" t="n">
        <x:v>438.1</x:v>
      </x:c>
      <x:c r="N471" t="n">
        <x:v>0</x:v>
      </x:c>
    </x:row>
    <x:row r="472">
      <x:c r="A472" t="str">
        <x:v>Wasita</x:v>
      </x:c>
      <x:c r="B472" t="str">
        <x:v>B870</x:v>
      </x:c>
      <x:c r="C472" t="str">
        <x:v>C862_Link01</x:v>
      </x:c>
      <x:c r="D472" t="str">
        <x:v>C</x:v>
      </x:c>
      <x:c r="E472" t="str">
        <x:v>Eastern</x:v>
      </x:c>
      <x:c r="F472" t="str">
        <x:v>Mbale</x:v>
      </x:c>
      <x:c r="G472" t="n">
        <x:v>7196.21</x:v>
      </x:c>
      <x:c r="H472" t="n">
        <x:v>0.000928</x:v>
      </x:c>
      <x:c r="I472" t="n">
        <x:v>0.9312</x:v>
      </x:c>
      <x:c r="J472" t="n">
        <x:v>4655.86</x:v>
      </x:c>
      <x:c r="K472" t="n">
        <x:v>1438.86</x:v>
      </x:c>
      <x:c r="L472" t="n">
        <x:v>611.86</x:v>
      </x:c>
      <x:c r="M472" t="n">
        <x:v>489.63</x:v>
      </x:c>
      <x:c r="N472" t="n">
        <x:v>0</x:v>
      </x:c>
    </x:row>
    <x:row r="473">
      <x:c r="A473" t="str">
        <x:v>Road Over River</x:v>
      </x:c>
      <x:c r="B473" t="str">
        <x:v>B871</x:v>
      </x:c>
      <x:c r="C473" t="str">
        <x:v>B304_Link02</x:v>
      </x:c>
      <x:c r="D473" t="str">
        <x:v>B</x:v>
      </x:c>
      <x:c r="E473" t="str">
        <x:v>Eastern</x:v>
      </x:c>
      <x:c r="F473" t="str">
        <x:v>Mbale</x:v>
      </x:c>
      <x:c r="G473" t="n">
        <x:v>7343.71</x:v>
      </x:c>
      <x:c r="H473" t="n">
        <x:v>0.001101</x:v>
      </x:c>
      <x:c r="I473" t="n">
        <x:v>0.9312</x:v>
      </x:c>
      <x:c r="J473" t="n">
        <x:v>4846.12</x:v>
      </x:c>
      <x:c r="K473" t="n">
        <x:v>1385.07</x:v>
      </x:c>
      <x:c r="L473" t="n">
        <x:v>607.77</x:v>
      </x:c>
      <x:c r="M473" t="n">
        <x:v>504.76</x:v>
      </x:c>
      <x:c r="N473" t="n">
        <x:v>0</x:v>
      </x:c>
    </x:row>
    <x:row r="474">
      <x:c r="A474" t="str">
        <x:v>Siti</x:v>
      </x:c>
      <x:c r="B474" t="str">
        <x:v>B872</x:v>
      </x:c>
      <x:c r="C474" t="str">
        <x:v>B304_Link02</x:v>
      </x:c>
      <x:c r="D474" t="str">
        <x:v>B</x:v>
      </x:c>
      <x:c r="E474" t="str">
        <x:v>Eastern</x:v>
      </x:c>
      <x:c r="F474" t="str">
        <x:v>Mbale</x:v>
      </x:c>
      <x:c r="G474" t="n">
        <x:v>7504.02</x:v>
      </x:c>
      <x:c r="H474" t="n">
        <x:v>0.001101</x:v>
      </x:c>
      <x:c r="I474" t="n">
        <x:v>0.9312</x:v>
      </x:c>
      <x:c r="J474" t="n">
        <x:v>4962.23</x:v>
      </x:c>
      <x:c r="K474" t="n">
        <x:v>1402.75</x:v>
      </x:c>
      <x:c r="L474" t="n">
        <x:v>620.39</x:v>
      </x:c>
      <x:c r="M474" t="n">
        <x:v>518.66</x:v>
      </x:c>
      <x:c r="N474" t="n">
        <x:v>0</x:v>
      </x:c>
    </x:row>
    <x:row r="475">
      <x:c r="A475" t="str">
        <x:v>Girik</x:v>
      </x:c>
      <x:c r="B475" t="str">
        <x:v>B873</x:v>
      </x:c>
      <x:c r="C475" t="str">
        <x:v>C889_Link01</x:v>
      </x:c>
      <x:c r="D475" t="str">
        <x:v>C</x:v>
      </x:c>
      <x:c r="E475" t="str">
        <x:v>Eastern</x:v>
      </x:c>
      <x:c r="F475" t="str">
        <x:v>Mbale</x:v>
      </x:c>
      <x:c r="G475" t="n">
        <x:v>7488.92</x:v>
      </x:c>
      <x:c r="H475" t="n">
        <x:v>0.000928</x:v>
      </x:c>
      <x:c r="I475" t="n">
        <x:v>0.9312</x:v>
      </x:c>
      <x:c r="J475" t="n">
        <x:v>4967.28</x:v>
      </x:c>
      <x:c r="K475" t="n">
        <x:v>1388.27</x:v>
      </x:c>
      <x:c r="L475" t="n">
        <x:v>616.73</x:v>
      </x:c>
      <x:c r="M475" t="n">
        <x:v>516.64</x:v>
      </x:c>
      <x:c r="N475" t="n">
        <x:v>0</x:v>
      </x:c>
    </x:row>
    <x:row r="476">
      <x:c r="A476" t="str">
        <x:v>Bukwo</x:v>
      </x:c>
      <x:c r="B476" t="str">
        <x:v>B874</x:v>
      </x:c>
      <x:c r="C476" t="str">
        <x:v>B304_Link02</x:v>
      </x:c>
      <x:c r="D476" t="str">
        <x:v>B</x:v>
      </x:c>
      <x:c r="E476" t="str">
        <x:v>Eastern</x:v>
      </x:c>
      <x:c r="F476" t="str">
        <x:v>Mbale</x:v>
      </x:c>
      <x:c r="G476" t="n">
        <x:v>7624.94</x:v>
      </x:c>
      <x:c r="H476" t="n">
        <x:v>0.001101</x:v>
      </x:c>
      <x:c r="I476" t="n">
        <x:v>0.9312</x:v>
      </x:c>
      <x:c r="J476" t="n">
        <x:v>5051.06</x:v>
      </x:c>
      <x:c r="K476" t="n">
        <x:v>1415.07</x:v>
      </x:c>
      <x:c r="L476" t="n">
        <x:v>629.61</x:v>
      </x:c>
      <x:c r="M476" t="n">
        <x:v>529.2</x:v>
      </x:c>
      <x:c r="N476" t="n">
        <x:v>0</x:v>
      </x:c>
    </x:row>
    <x:row r="477">
      <x:c r="A477" t="str">
        <x:v>Lukha</x:v>
      </x:c>
      <x:c r="B477" t="str">
        <x:v>B876</x:v>
      </x:c>
      <x:c r="C477" t="str">
        <x:v>C837_Link02</x:v>
      </x:c>
      <x:c r="D477" t="str">
        <x:v>C</x:v>
      </x:c>
      <x:c r="E477" t="str">
        <x:v>Eastern</x:v>
      </x:c>
      <x:c r="F477" t="str">
        <x:v>Tororo</x:v>
      </x:c>
      <x:c r="G477" t="n">
        <x:v>7372.6</x:v>
      </x:c>
      <x:c r="H477" t="n">
        <x:v>0.000928</x:v>
      </x:c>
      <x:c r="I477" t="n">
        <x:v>0.9312</x:v>
      </x:c>
      <x:c r="J477" t="n">
        <x:v>4620.25</x:v>
      </x:c>
      <x:c r="K477" t="n">
        <x:v>1588.74</x:v>
      </x:c>
      <x:c r="L477" t="n">
        <x:v>662.33</x:v>
      </x:c>
      <x:c r="M477" t="n">
        <x:v>501.28</x:v>
      </x:c>
      <x:c r="N477" t="n">
        <x:v>0</x:v>
      </x:c>
    </x:row>
    <x:row r="478">
      <x:c r="A478" t="str">
        <x:v>Suam Bridge</x:v>
      </x:c>
      <x:c r="B478" t="str">
        <x:v>B877</x:v>
      </x:c>
      <x:c r="C478" t="str">
        <x:v>B304_Link02</x:v>
      </x:c>
      <x:c r="D478" t="str">
        <x:v>B</x:v>
      </x:c>
      <x:c r="E478" t="str">
        <x:v>Eastern</x:v>
      </x:c>
      <x:c r="F478" t="str">
        <x:v>Mbale</x:v>
      </x:c>
      <x:c r="G478" t="n">
        <x:v>7624.97</x:v>
      </x:c>
      <x:c r="H478" t="n">
        <x:v>0.001101</x:v>
      </x:c>
      <x:c r="I478" t="n">
        <x:v>0.9312</x:v>
      </x:c>
      <x:c r="J478" t="n">
        <x:v>5051.07</x:v>
      </x:c>
      <x:c r="K478" t="n">
        <x:v>1415.08</x:v>
      </x:c>
      <x:c r="L478" t="n">
        <x:v>629.61</x:v>
      </x:c>
      <x:c r="M478" t="n">
        <x:v>529.2</x:v>
      </x:c>
      <x:c r="N478" t="n">
        <x:v>0</x:v>
      </x:c>
    </x:row>
    <x:row r="479">
      <x:c r="A479" t="str">
        <x:v>Amudat - Loroo</x:v>
      </x:c>
      <x:c r="B479" t="str">
        <x:v>B878</x:v>
      </x:c>
      <x:c r="C479" t="str">
        <x:v>C963_Link02</x:v>
      </x:c>
      <x:c r="D479" t="str">
        <x:v>C</x:v>
      </x:c>
      <x:c r="E479" t="str">
        <x:v>North Eastern</x:v>
      </x:c>
      <x:c r="F479" t="str">
        <x:v>Moroto</x:v>
      </x:c>
      <x:c r="G479" t="n">
        <x:v>7394.84</x:v>
      </x:c>
      <x:c r="H479" t="n">
        <x:v>0.000928</x:v>
      </x:c>
      <x:c r="I479" t="n">
        <x:v>0.9376</x:v>
      </x:c>
      <x:c r="J479" t="n">
        <x:v>4975.22</x:v>
      </x:c>
      <x:c r="K479" t="n">
        <x:v>1313.88</x:v>
      </x:c>
      <x:c r="L479" t="n">
        <x:v>599.84</x:v>
      </x:c>
      <x:c r="M479" t="n">
        <x:v>505.9</x:v>
      </x:c>
      <x:c r="N479" t="n">
        <x:v>0</x:v>
      </x:c>
    </x:row>
    <x:row r="480">
      <x:c r="A480" t="str">
        <x:v>Kotido-Kailong</x:v>
      </x:c>
      <x:c r="B480" t="str">
        <x:v>B880</x:v>
      </x:c>
      <x:c r="C480" t="str">
        <x:v>B302_Link01</x:v>
      </x:c>
      <x:c r="D480" t="str">
        <x:v>B</x:v>
      </x:c>
      <x:c r="E480" t="str">
        <x:v>North Eastern</x:v>
      </x:c>
      <x:c r="F480" t="str">
        <x:v>Kotido</x:v>
      </x:c>
      <x:c r="G480" t="n">
        <x:v>6996.69</x:v>
      </x:c>
      <x:c r="H480" t="n">
        <x:v>0.001101</x:v>
      </x:c>
      <x:c r="I480" t="n">
        <x:v>0.9376</x:v>
      </x:c>
      <x:c r="J480" t="n">
        <x:v>4738.07</x:v>
      </x:c>
      <x:c r="K480" t="n">
        <x:v>1219.91</x:v>
      </x:c>
      <x:c r="L480" t="n">
        <x:v>563.64</x:v>
      </x:c>
      <x:c r="M480" t="n">
        <x:v>475.07</x:v>
      </x:c>
      <x:c r="N480" t="n">
        <x:v>0</x:v>
      </x:c>
    </x:row>
    <x:row r="481">
      <x:c r="A481" t="str">
        <x:v>Musukule</x:v>
      </x:c>
      <x:c r="B481" t="str">
        <x:v>B881</x:v>
      </x:c>
      <x:c r="C481" t="str">
        <x:v>C844_Link01</x:v>
      </x:c>
      <x:c r="D481" t="str">
        <x:v>C</x:v>
      </x:c>
      <x:c r="E481" t="str">
        <x:v>Eastern</x:v>
      </x:c>
      <x:c r="F481" t="str">
        <x:v>Tororo</x:v>
      </x:c>
      <x:c r="G481" t="n">
        <x:v>8320.76</x:v>
      </x:c>
      <x:c r="H481" t="n">
        <x:v>0.000928</x:v>
      </x:c>
      <x:c r="I481" t="n">
        <x:v>0.9312</x:v>
      </x:c>
      <x:c r="J481" t="n">
        <x:v>5426.83</x:v>
      </x:c>
      <x:c r="K481" t="n">
        <x:v>1539.38</x:v>
      </x:c>
      <x:c r="L481" t="n">
        <x:v>702.49</x:v>
      </x:c>
      <x:c r="M481" t="n">
        <x:v>652.05</x:v>
      </x:c>
      <x:c r="N481" t="n">
        <x:v>0</x:v>
      </x:c>
    </x:row>
    <x:row r="482">
      <x:c r="A482" t="str">
        <x:v>Adeyo</x:v>
      </x:c>
      <x:c r="B482" t="str">
        <x:v>B882</x:v>
      </x:c>
      <x:c r="C482" t="str">
        <x:v>C836_Link02</x:v>
      </x:c>
      <x:c r="D482" t="str">
        <x:v>C</x:v>
      </x:c>
      <x:c r="E482" t="str">
        <x:v>Eastern</x:v>
      </x:c>
      <x:c r="F482" t="str">
        <x:v>Tororo</x:v>
      </x:c>
      <x:c r="G482" t="n">
        <x:v>8014.57</x:v>
      </x:c>
      <x:c r="H482" t="n">
        <x:v>0.000928</x:v>
      </x:c>
      <x:c r="I482" t="n">
        <x:v>0.9312</x:v>
      </x:c>
      <x:c r="J482" t="n">
        <x:v>5159.28</x:v>
      </x:c>
      <x:c r="K482" t="n">
        <x:v>1558.31</x:v>
      </x:c>
      <x:c r="L482" t="n">
        <x:v>690.94</x:v>
      </x:c>
      <x:c r="M482" t="n">
        <x:v>606.04</x:v>
      </x:c>
      <x:c r="N482" t="n">
        <x:v>0</x:v>
      </x:c>
    </x:row>
    <x:row r="483">
      <x:c r="A483" t="str">
        <x:v>Okame</x:v>
      </x:c>
      <x:c r="B483" t="str">
        <x:v>B883</x:v>
      </x:c>
      <x:c r="C483" t="str">
        <x:v>B306_Link01</x:v>
      </x:c>
      <x:c r="D483" t="str">
        <x:v>B</x:v>
      </x:c>
      <x:c r="E483" t="str">
        <x:v>Eastern</x:v>
      </x:c>
      <x:c r="F483" t="str">
        <x:v>Tororo</x:v>
      </x:c>
      <x:c r="G483" t="n">
        <x:v>8873.67</x:v>
      </x:c>
      <x:c r="H483" t="n">
        <x:v>0.001101</x:v>
      </x:c>
      <x:c r="I483" t="n">
        <x:v>0.9312</x:v>
      </x:c>
      <x:c r="J483" t="n">
        <x:v>5901.36</x:v>
      </x:c>
      <x:c r="K483" t="n">
        <x:v>1543.67</x:v>
      </x:c>
      <x:c r="L483" t="n">
        <x:v>727.26</x:v>
      </x:c>
      <x:c r="M483" t="n">
        <x:v>701.37</x:v>
      </x:c>
      <x:c r="N483" t="n">
        <x:v>0</x:v>
      </x:c>
    </x:row>
    <x:row r="484">
      <x:c r="A484" t="str">
        <x:v>Akatenyani</x:v>
      </x:c>
      <x:c r="B484" t="str">
        <x:v>B884</x:v>
      </x:c>
      <x:c r="C484" t="str">
        <x:v>B306_Link01</x:v>
      </x:c>
      <x:c r="D484" t="str">
        <x:v>B</x:v>
      </x:c>
      <x:c r="E484" t="str">
        <x:v>Eastern</x:v>
      </x:c>
      <x:c r="F484" t="str">
        <x:v>Tororo</x:v>
      </x:c>
      <x:c r="G484" t="n">
        <x:v>8873.67</x:v>
      </x:c>
      <x:c r="H484" t="n">
        <x:v>0.001101</x:v>
      </x:c>
      <x:c r="I484" t="n">
        <x:v>0.9312</x:v>
      </x:c>
      <x:c r="J484" t="n">
        <x:v>5901.36</x:v>
      </x:c>
      <x:c r="K484" t="n">
        <x:v>1543.67</x:v>
      </x:c>
      <x:c r="L484" t="n">
        <x:v>727.26</x:v>
      </x:c>
      <x:c r="M484" t="n">
        <x:v>701.37</x:v>
      </x:c>
      <x:c r="N484" t="n">
        <x:v>0</x:v>
      </x:c>
    </x:row>
    <x:row r="485">
      <x:c r="A485" t="str">
        <x:v>Angolo</x:v>
      </x:c>
      <x:c r="B485" t="str">
        <x:v>B885</x:v>
      </x:c>
      <x:c r="C485" t="str">
        <x:v>B306_Link01</x:v>
      </x:c>
      <x:c r="D485" t="str">
        <x:v>B</x:v>
      </x:c>
      <x:c r="E485" t="str">
        <x:v>Eastern</x:v>
      </x:c>
      <x:c r="F485" t="str">
        <x:v>Tororo</x:v>
      </x:c>
      <x:c r="G485" t="n">
        <x:v>8897.77</x:v>
      </x:c>
      <x:c r="H485" t="n">
        <x:v>0.001101</x:v>
      </x:c>
      <x:c r="I485" t="n">
        <x:v>0.9312</x:v>
      </x:c>
      <x:c r="J485" t="n">
        <x:v>5920.36</x:v>
      </x:c>
      <x:c r="K485" t="n">
        <x:v>1544.54</x:v>
      </x:c>
      <x:c r="L485" t="n">
        <x:v>728.65</x:v>
      </x:c>
      <x:c r="M485" t="n">
        <x:v>704.22</x:v>
      </x:c>
      <x:c r="N485" t="n">
        <x:v>0</x:v>
      </x:c>
    </x:row>
    <x:row r="486">
      <x:c r="A486" t="str">
        <x:v>Kwakiteza</x:v>
      </x:c>
      <x:c r="B486" t="str">
        <x:v>B886</x:v>
      </x:c>
      <x:c r="C486" t="str">
        <x:v>C306_Link01</x:v>
      </x:c>
      <x:c r="D486" t="str">
        <x:v>C</x:v>
      </x:c>
      <x:c r="E486" t="str">
        <x:v>Central</x:v>
      </x:c>
      <x:c r="F486" t="str">
        <x:v>Luwero</x:v>
      </x:c>
      <x:c r="G486" t="n">
        <x:v>11296.72</x:v>
      </x:c>
      <x:c r="H486" t="n">
        <x:v>0.000928</x:v>
      </x:c>
      <x:c r="I486" t="n">
        <x:v>0.9781</x:v>
      </x:c>
      <x:c r="J486" t="n">
        <x:v>8104.88</x:v>
      </x:c>
      <x:c r="K486" t="n">
        <x:v>1632.72</x:v>
      </x:c>
      <x:c r="L486" t="n">
        <x:v>880.15</x:v>
      </x:c>
      <x:c r="M486" t="n">
        <x:v>678.97</x:v>
      </x:c>
      <x:c r="N486" t="n">
        <x:v>0</x:v>
      </x:c>
    </x:row>
    <x:row r="487">
      <x:c r="A487" t="str">
        <x:v>Nataracha Bridge</x:v>
      </x:c>
      <x:c r="B487" t="str">
        <x:v>B887</x:v>
      </x:c>
      <x:c r="C487" t="str">
        <x:v>C992_Link01</x:v>
      </x:c>
      <x:c r="D487" t="str">
        <x:v>C</x:v>
      </x:c>
      <x:c r="E487" t="str">
        <x:v>North Eastern</x:v>
      </x:c>
      <x:c r="F487" t="str">
        <x:v>Kotido</x:v>
      </x:c>
      <x:c r="G487" t="n">
        <x:v>7051.09</x:v>
      </x:c>
      <x:c r="H487" t="n">
        <x:v>0.000928</x:v>
      </x:c>
      <x:c r="I487" t="n">
        <x:v>0.9376</x:v>
      </x:c>
      <x:c r="J487" t="n">
        <x:v>4778.98</x:v>
      </x:c>
      <x:c r="K487" t="n">
        <x:v>1223.97</x:v>
      </x:c>
      <x:c r="L487" t="n">
        <x:v>568.74</x:v>
      </x:c>
      <x:c r="M487" t="n">
        <x:v>479.4</x:v>
      </x:c>
      <x:c r="N487" t="n">
        <x:v>0</x:v>
      </x:c>
    </x:row>
    <x:row r="488">
      <x:c r="A488" t="str">
        <x:v>Paraa Bridge 2</x:v>
      </x:c>
      <x:c r="B488" t="str">
        <x:v>B889</x:v>
      </x:c>
      <x:c r="C488" t="str">
        <x:v>C626_Link02</x:v>
      </x:c>
      <x:c r="D488" t="str">
        <x:v>C</x:v>
      </x:c>
      <x:c r="E488" t="str">
        <x:v>Western</x:v>
      </x:c>
      <x:c r="F488" t="str">
        <x:v>Masindi</x:v>
      </x:c>
      <x:c r="G488" t="n">
        <x:v>5514.92</x:v>
      </x:c>
      <x:c r="H488" t="n">
        <x:v>0.000928</x:v>
      </x:c>
      <x:c r="I488" t="n">
        <x:v>0.9388</x:v>
      </x:c>
      <x:c r="J488" t="n">
        <x:v>3761.9</x:v>
      </x:c>
      <x:c r="K488" t="n">
        <x:v>861.87</x:v>
      </x:c>
      <x:c r="L488" t="n">
        <x:v>462.08</x:v>
      </x:c>
      <x:c r="M488" t="n">
        <x:v>429.07</x:v>
      </x:c>
      <x:c r="N488" t="n">
        <x:v>0</x:v>
      </x:c>
    </x:row>
    <x:row r="489">
      <x:c r="A489" t="str">
        <x:v>Namboole B1</x:v>
      </x:c>
      <x:c r="B489" t="str">
        <x:v>B376</x:v>
      </x:c>
      <x:c r="C489" t="str">
        <x:v>M20</x:v>
      </x:c>
      <x:c r="D489" t="str">
        <x:v>M</x:v>
      </x:c>
      <x:c r="E489" t="str">
        <x:v>Central</x:v>
      </x:c>
      <x:c r="F489" t="str">
        <x:v>Kampala</x:v>
      </x:c>
      <x:c r="G489" t="n">
        <x:v>722829.43</x:v>
      </x:c>
      <x:c r="H489" t="n">
        <x:v>0.001746</x:v>
      </x:c>
      <x:c r="I489" t="n">
        <x:v>1</x:v>
      </x:c>
      <x:c r="J489" t="n">
        <x:v>446601.93</x:v>
      </x:c>
      <x:c r="K489" t="n">
        <x:v>214326.38</x:v>
      </x:c>
      <x:c r="L489" t="n">
        <x:v>46016.06</x:v>
      </x:c>
      <x:c r="M489" t="n">
        <x:v>15414.78</x:v>
      </x:c>
      <x:c r="N489" t="n">
        <x:v>470.28</x:v>
      </x:c>
    </x:row>
    <x:row r="490">
      <x:c r="A490" t="str">
        <x:v>Old Kira Road Over Bridge</x:v>
      </x:c>
      <x:c r="B490" t="str">
        <x:v>B385</x:v>
      </x:c>
      <x:c r="C490" t="str">
        <x:v>M20</x:v>
      </x:c>
      <x:c r="D490" t="str">
        <x:v>M</x:v>
      </x:c>
      <x:c r="E490" t="str">
        <x:v>Central</x:v>
      </x:c>
      <x:c r="F490" t="str">
        <x:v>Kampala</x:v>
      </x:c>
      <x:c r="G490" t="n">
        <x:v>722829.43</x:v>
      </x:c>
      <x:c r="H490" t="n">
        <x:v>0.001746</x:v>
      </x:c>
      <x:c r="I490" t="n">
        <x:v>1</x:v>
      </x:c>
      <x:c r="J490" t="n">
        <x:v>446601.93</x:v>
      </x:c>
      <x:c r="K490" t="n">
        <x:v>214326.38</x:v>
      </x:c>
      <x:c r="L490" t="n">
        <x:v>46016.06</x:v>
      </x:c>
      <x:c r="M490" t="n">
        <x:v>15414.78</x:v>
      </x:c>
      <x:c r="N490" t="n">
        <x:v>470.28</x:v>
      </x:c>
    </x:row>
    <x:row r="491">
      <x:c r="A491" t="str">
        <x:v>Ntinda Foot Bridge</x:v>
      </x:c>
      <x:c r="B491" t="str">
        <x:v>B386</x:v>
      </x:c>
      <x:c r="C491" t="str">
        <x:v>M20</x:v>
      </x:c>
      <x:c r="D491" t="str">
        <x:v>M</x:v>
      </x:c>
      <x:c r="E491" t="str">
        <x:v>Central</x:v>
      </x:c>
      <x:c r="F491" t="str">
        <x:v>Kampala</x:v>
      </x:c>
      <x:c r="G491" t="n">
        <x:v>722829.43</x:v>
      </x:c>
      <x:c r="H491" t="n">
        <x:v>0.001746</x:v>
      </x:c>
      <x:c r="I491" t="n">
        <x:v>1</x:v>
      </x:c>
      <x:c r="J491" t="n">
        <x:v>446601.93</x:v>
      </x:c>
      <x:c r="K491" t="n">
        <x:v>214326.38</x:v>
      </x:c>
      <x:c r="L491" t="n">
        <x:v>46016.06</x:v>
      </x:c>
      <x:c r="M491" t="n">
        <x:v>15414.78</x:v>
      </x:c>
      <x:c r="N491" t="n">
        <x:v>470.28</x:v>
      </x:c>
    </x:row>
    <x:row r="492">
      <x:c r="A492" t="str">
        <x:v>Ntinda B1</x:v>
      </x:c>
      <x:c r="B492" t="str">
        <x:v>B398</x:v>
      </x:c>
      <x:c r="C492" t="str">
        <x:v>M20</x:v>
      </x:c>
      <x:c r="D492" t="str">
        <x:v>M</x:v>
      </x:c>
      <x:c r="E492" t="str">
        <x:v>Central</x:v>
      </x:c>
      <x:c r="F492" t="str">
        <x:v>Kampala</x:v>
      </x:c>
      <x:c r="G492" t="n">
        <x:v>722829.43</x:v>
      </x:c>
      <x:c r="H492" t="n">
        <x:v>0.001746</x:v>
      </x:c>
      <x:c r="I492" t="n">
        <x:v>1</x:v>
      </x:c>
      <x:c r="J492" t="n">
        <x:v>446601.93</x:v>
      </x:c>
      <x:c r="K492" t="n">
        <x:v>214326.38</x:v>
      </x:c>
      <x:c r="L492" t="n">
        <x:v>46016.06</x:v>
      </x:c>
      <x:c r="M492" t="n">
        <x:v>15414.78</x:v>
      </x:c>
      <x:c r="N492" t="n">
        <x:v>470.28</x:v>
      </x:c>
    </x:row>
    <x:row r="493">
      <x:c r="A493" t="str">
        <x:v>Ntinda B2</x:v>
      </x:c>
      <x:c r="B493" t="str">
        <x:v>B400</x:v>
      </x:c>
      <x:c r="C493" t="str">
        <x:v>M20</x:v>
      </x:c>
      <x:c r="D493" t="str">
        <x:v>M</x:v>
      </x:c>
      <x:c r="E493" t="str">
        <x:v>Central</x:v>
      </x:c>
      <x:c r="F493" t="str">
        <x:v>Kampala</x:v>
      </x:c>
      <x:c r="G493" t="n">
        <x:v>722829.43</x:v>
      </x:c>
      <x:c r="H493" t="n">
        <x:v>0.001746</x:v>
      </x:c>
      <x:c r="I493" t="n">
        <x:v>1</x:v>
      </x:c>
      <x:c r="J493" t="n">
        <x:v>446601.93</x:v>
      </x:c>
      <x:c r="K493" t="n">
        <x:v>214326.38</x:v>
      </x:c>
      <x:c r="L493" t="n">
        <x:v>46016.06</x:v>
      </x:c>
      <x:c r="M493" t="n">
        <x:v>15414.78</x:v>
      </x:c>
      <x:c r="N493" t="n">
        <x:v>470.28</x:v>
      </x:c>
    </x:row>
    <x:row r="494">
      <x:c r="A494" t="str">
        <x:v>Bukoto-Kisasi Over Bridge</x:v>
      </x:c>
      <x:c r="B494" t="str">
        <x:v>B403</x:v>
      </x:c>
      <x:c r="C494" t="str">
        <x:v>M20</x:v>
      </x:c>
      <x:c r="D494" t="str">
        <x:v>M</x:v>
      </x:c>
      <x:c r="E494" t="str">
        <x:v>Central</x:v>
      </x:c>
      <x:c r="F494" t="str">
        <x:v>Kampala</x:v>
      </x:c>
      <x:c r="G494" t="n">
        <x:v>722829.43</x:v>
      </x:c>
      <x:c r="H494" t="n">
        <x:v>0.001746</x:v>
      </x:c>
      <x:c r="I494" t="n">
        <x:v>1</x:v>
      </x:c>
      <x:c r="J494" t="n">
        <x:v>446601.93</x:v>
      </x:c>
      <x:c r="K494" t="n">
        <x:v>214326.38</x:v>
      </x:c>
      <x:c r="L494" t="n">
        <x:v>46016.06</x:v>
      </x:c>
      <x:c r="M494" t="n">
        <x:v>15414.78</x:v>
      </x:c>
      <x:c r="N494" t="n">
        <x:v>470.28</x:v>
      </x:c>
    </x:row>
    <x:row r="495">
      <x:c r="A495" t="str">
        <x:v>Bukoto-Kyebando B1 Rhs</x:v>
      </x:c>
      <x:c r="B495" t="str">
        <x:v>B404</x:v>
      </x:c>
      <x:c r="C495" t="str">
        <x:v>M20</x:v>
      </x:c>
      <x:c r="D495" t="str">
        <x:v>M</x:v>
      </x:c>
      <x:c r="E495" t="str">
        <x:v>Central</x:v>
      </x:c>
      <x:c r="F495" t="str">
        <x:v>Kampala</x:v>
      </x:c>
      <x:c r="G495" t="n">
        <x:v>722829.43</x:v>
      </x:c>
      <x:c r="H495" t="n">
        <x:v>0.001746</x:v>
      </x:c>
      <x:c r="I495" t="n">
        <x:v>1</x:v>
      </x:c>
      <x:c r="J495" t="n">
        <x:v>446601.93</x:v>
      </x:c>
      <x:c r="K495" t="n">
        <x:v>214326.38</x:v>
      </x:c>
      <x:c r="L495" t="n">
        <x:v>46016.06</x:v>
      </x:c>
      <x:c r="M495" t="n">
        <x:v>15414.78</x:v>
      </x:c>
      <x:c r="N495" t="n">
        <x:v>470.28</x:v>
      </x:c>
    </x:row>
    <x:row r="496">
      <x:c r="A496" t="str">
        <x:v>Bukoto-Kyebando B1 Lhs</x:v>
      </x:c>
      <x:c r="B496" t="str">
        <x:v>B405</x:v>
      </x:c>
      <x:c r="C496" t="str">
        <x:v>M20</x:v>
      </x:c>
      <x:c r="D496" t="str">
        <x:v>M</x:v>
      </x:c>
      <x:c r="E496" t="str">
        <x:v>Central</x:v>
      </x:c>
      <x:c r="F496" t="str">
        <x:v>Kampala</x:v>
      </x:c>
      <x:c r="G496" t="n">
        <x:v>722829.43</x:v>
      </x:c>
      <x:c r="H496" t="n">
        <x:v>0.001746</x:v>
      </x:c>
      <x:c r="I496" t="n">
        <x:v>1</x:v>
      </x:c>
      <x:c r="J496" t="n">
        <x:v>446601.93</x:v>
      </x:c>
      <x:c r="K496" t="n">
        <x:v>214326.38</x:v>
      </x:c>
      <x:c r="L496" t="n">
        <x:v>46016.06</x:v>
      </x:c>
      <x:c r="M496" t="n">
        <x:v>15414.78</x:v>
      </x:c>
      <x:c r="N496" t="n">
        <x:v>470.28</x:v>
      </x:c>
    </x:row>
    <x:row r="497">
      <x:c r="A497" t="str">
        <x:v>Bukoto-Kyebando B2 Lhs</x:v>
      </x:c>
      <x:c r="B497" t="str">
        <x:v>B409</x:v>
      </x:c>
      <x:c r="C497" t="str">
        <x:v>M20</x:v>
      </x:c>
      <x:c r="D497" t="str">
        <x:v>M</x:v>
      </x:c>
      <x:c r="E497" t="str">
        <x:v>Central</x:v>
      </x:c>
      <x:c r="F497" t="str">
        <x:v>Kampala</x:v>
      </x:c>
      <x:c r="G497" t="n">
        <x:v>722829.43</x:v>
      </x:c>
      <x:c r="H497" t="n">
        <x:v>0.001746</x:v>
      </x:c>
      <x:c r="I497" t="n">
        <x:v>1</x:v>
      </x:c>
      <x:c r="J497" t="n">
        <x:v>446601.93</x:v>
      </x:c>
      <x:c r="K497" t="n">
        <x:v>214326.38</x:v>
      </x:c>
      <x:c r="L497" t="n">
        <x:v>46016.06</x:v>
      </x:c>
      <x:c r="M497" t="n">
        <x:v>15414.78</x:v>
      </x:c>
      <x:c r="N497" t="n">
        <x:v>470.28</x:v>
      </x:c>
    </x:row>
    <x:row r="498">
      <x:c r="A498" t="str">
        <x:v>Bukoto-Kyebando B2 Rhs</x:v>
      </x:c>
      <x:c r="B498" t="str">
        <x:v>B412</x:v>
      </x:c>
      <x:c r="C498" t="str">
        <x:v>M20</x:v>
      </x:c>
      <x:c r="D498" t="str">
        <x:v>M</x:v>
      </x:c>
      <x:c r="E498" t="str">
        <x:v>Central</x:v>
      </x:c>
      <x:c r="F498" t="str">
        <x:v>Kampala</x:v>
      </x:c>
      <x:c r="G498" t="n">
        <x:v>722829.43</x:v>
      </x:c>
      <x:c r="H498" t="n">
        <x:v>0.001746</x:v>
      </x:c>
      <x:c r="I498" t="n">
        <x:v>1</x:v>
      </x:c>
      <x:c r="J498" t="n">
        <x:v>446601.93</x:v>
      </x:c>
      <x:c r="K498" t="n">
        <x:v>214326.38</x:v>
      </x:c>
      <x:c r="L498" t="n">
        <x:v>46016.06</x:v>
      </x:c>
      <x:c r="M498" t="n">
        <x:v>15414.78</x:v>
      </x:c>
      <x:c r="N498" t="n">
        <x:v>470.28</x:v>
      </x:c>
    </x:row>
    <x:row r="499">
      <x:c r="A499" t="str">
        <x:v>Kyebando Foot Bridge</x:v>
      </x:c>
      <x:c r="B499" t="str">
        <x:v>B242</x:v>
      </x:c>
      <x:c r="C499" t="str">
        <x:v>M20</x:v>
      </x:c>
      <x:c r="D499" t="str">
        <x:v>M</x:v>
      </x:c>
      <x:c r="E499" t="str">
        <x:v>Central</x:v>
      </x:c>
      <x:c r="F499" t="str">
        <x:v>Kampala</x:v>
      </x:c>
      <x:c r="G499" t="n">
        <x:v>722829.43</x:v>
      </x:c>
      <x:c r="H499" t="n">
        <x:v>0.001746</x:v>
      </x:c>
      <x:c r="I499" t="n">
        <x:v>1</x:v>
      </x:c>
      <x:c r="J499" t="n">
        <x:v>446601.93</x:v>
      </x:c>
      <x:c r="K499" t="n">
        <x:v>214326.38</x:v>
      </x:c>
      <x:c r="L499" t="n">
        <x:v>46016.06</x:v>
      </x:c>
      <x:c r="M499" t="n">
        <x:v>15414.78</x:v>
      </x:c>
      <x:c r="N499" t="n">
        <x:v>470.28</x:v>
      </x:c>
    </x:row>
    <x:row r="500">
      <x:c r="A500" t="str">
        <x:v>Namboole B2</x:v>
      </x:c>
      <x:c r="B500" t="str">
        <x:v>B416</x:v>
      </x:c>
      <x:c r="C500" t="str">
        <x:v>M20</x:v>
      </x:c>
      <x:c r="D500" t="str">
        <x:v>M</x:v>
      </x:c>
      <x:c r="E500" t="str">
        <x:v>Central</x:v>
      </x:c>
      <x:c r="F500" t="str">
        <x:v>Kampala</x:v>
      </x:c>
      <x:c r="G500" t="n">
        <x:v>722829.43</x:v>
      </x:c>
      <x:c r="H500" t="n">
        <x:v>0.001746</x:v>
      </x:c>
      <x:c r="I500" t="n">
        <x:v>1</x:v>
      </x:c>
      <x:c r="J500" t="n">
        <x:v>446601.93</x:v>
      </x:c>
      <x:c r="K500" t="n">
        <x:v>214326.38</x:v>
      </x:c>
      <x:c r="L500" t="n">
        <x:v>46016.06</x:v>
      </x:c>
      <x:c r="M500" t="n">
        <x:v>15414.78</x:v>
      </x:c>
      <x:c r="N500" t="n">
        <x:v>470.28</x:v>
      </x:c>
    </x:row>
    <x:row r="501">
      <x:c r="A501" t="str">
        <x:v>Kyebando Over Bridge</x:v>
      </x:c>
      <x:c r="B501" t="str">
        <x:v>B204</x:v>
      </x:c>
      <x:c r="C501" t="str">
        <x:v>M20</x:v>
      </x:c>
      <x:c r="D501" t="str">
        <x:v>M</x:v>
      </x:c>
      <x:c r="E501" t="str">
        <x:v>Central</x:v>
      </x:c>
      <x:c r="F501" t="str">
        <x:v>Kampala</x:v>
      </x:c>
      <x:c r="G501" t="n">
        <x:v>46450.56</x:v>
      </x:c>
      <x:c r="H501" t="n">
        <x:v>0.001594</x:v>
      </x:c>
      <x:c r="I501" t="n">
        <x:v>0.9781</x:v>
      </x:c>
      <x:c r="J501" t="n">
        <x:v>26876.74</x:v>
      </x:c>
      <x:c r="K501" t="n">
        <x:v>12801.78</x:v>
      </x:c>
      <x:c r="L501" t="n">
        <x:v>4303.07</x:v>
      </x:c>
      <x:c r="M501" t="n">
        <x:v>2468.97</x:v>
      </x:c>
      <x:c r="N501" t="n">
        <x:v>0</x:v>
      </x:c>
    </x:row>
    <x:row r="502">
      <x:c r="A502" t="str">
        <x:v>Kalerwe B1 Rhs</x:v>
      </x:c>
      <x:c r="B502" t="str">
        <x:v>B417</x:v>
      </x:c>
      <x:c r="C502" t="str">
        <x:v>M20</x:v>
      </x:c>
      <x:c r="D502" t="str">
        <x:v>M</x:v>
      </x:c>
      <x:c r="E502" t="str">
        <x:v>Central</x:v>
      </x:c>
      <x:c r="F502" t="str">
        <x:v>Kampala</x:v>
      </x:c>
      <x:c r="G502" t="n">
        <x:v>46450.56</x:v>
      </x:c>
      <x:c r="H502" t="n">
        <x:v>0.001594</x:v>
      </x:c>
      <x:c r="I502" t="n">
        <x:v>0.9781</x:v>
      </x:c>
      <x:c r="J502" t="n">
        <x:v>27161.15</x:v>
      </x:c>
      <x:c r="K502" t="n">
        <x:v>12556.75</x:v>
      </x:c>
      <x:c r="L502" t="n">
        <x:v>4258.11</x:v>
      </x:c>
      <x:c r="M502" t="n">
        <x:v>2474.55</x:v>
      </x:c>
      <x:c r="N502" t="n">
        <x:v>0</x:v>
      </x:c>
    </x:row>
    <x:row r="503">
      <x:c r="A503" t="str">
        <x:v>Kalerwe B2 Rhs</x:v>
      </x:c>
      <x:c r="B503" t="str">
        <x:v>B418</x:v>
      </x:c>
      <x:c r="C503" t="str">
        <x:v>M20</x:v>
      </x:c>
      <x:c r="D503" t="str">
        <x:v>M</x:v>
      </x:c>
      <x:c r="E503" t="str">
        <x:v>Central</x:v>
      </x:c>
      <x:c r="F503" t="str">
        <x:v>Kampala</x:v>
      </x:c>
      <x:c r="G503" t="n">
        <x:v>46450.56</x:v>
      </x:c>
      <x:c r="H503" t="n">
        <x:v>0.001594</x:v>
      </x:c>
      <x:c r="I503" t="n">
        <x:v>0.9781</x:v>
      </x:c>
      <x:c r="J503" t="n">
        <x:v>27190.9</x:v>
      </x:c>
      <x:c r="K503" t="n">
        <x:v>12530.96</x:v>
      </x:c>
      <x:c r="L503" t="n">
        <x:v>4253.54</x:v>
      </x:c>
      <x:c r="M503" t="n">
        <x:v>2475.16</x:v>
      </x:c>
      <x:c r="N503" t="n">
        <x:v>0</x:v>
      </x:c>
    </x:row>
    <x:row r="504">
      <x:c r="A504" t="str">
        <x:v>Kalerwe B2 Lhs</x:v>
      </x:c>
      <x:c r="B504" t="str">
        <x:v>B219</x:v>
      </x:c>
      <x:c r="C504" t="str">
        <x:v>M20</x:v>
      </x:c>
      <x:c r="D504" t="str">
        <x:v>M</x:v>
      </x:c>
      <x:c r="E504" t="str">
        <x:v>Central</x:v>
      </x:c>
      <x:c r="F504" t="str">
        <x:v>Kampala</x:v>
      </x:c>
      <x:c r="G504" t="n">
        <x:v>46450.56</x:v>
      </x:c>
      <x:c r="H504" t="n">
        <x:v>0.001594</x:v>
      </x:c>
      <x:c r="I504" t="n">
        <x:v>0.9781</x:v>
      </x:c>
      <x:c r="J504" t="n">
        <x:v>27190.9</x:v>
      </x:c>
      <x:c r="K504" t="n">
        <x:v>12530.96</x:v>
      </x:c>
      <x:c r="L504" t="n">
        <x:v>4253.54</x:v>
      </x:c>
      <x:c r="M504" t="n">
        <x:v>2475.16</x:v>
      </x:c>
      <x:c r="N504" t="n">
        <x:v>0</x:v>
      </x:c>
    </x:row>
    <x:row r="505">
      <x:c r="A505" t="str">
        <x:v>Kalerwe B1 Lhs</x:v>
      </x:c>
      <x:c r="B505" t="str">
        <x:v>B221</x:v>
      </x:c>
      <x:c r="C505" t="str">
        <x:v>M20</x:v>
      </x:c>
      <x:c r="D505" t="str">
        <x:v>M</x:v>
      </x:c>
      <x:c r="E505" t="str">
        <x:v>Central</x:v>
      </x:c>
      <x:c r="F505" t="str">
        <x:v>Kampala</x:v>
      </x:c>
      <x:c r="G505" t="n">
        <x:v>46450.56</x:v>
      </x:c>
      <x:c r="H505" t="n">
        <x:v>0.001594</x:v>
      </x:c>
      <x:c r="I505" t="n">
        <x:v>0.9781</x:v>
      </x:c>
      <x:c r="J505" t="n">
        <x:v>27161.15</x:v>
      </x:c>
      <x:c r="K505" t="n">
        <x:v>12556.75</x:v>
      </x:c>
      <x:c r="L505" t="n">
        <x:v>4258.11</x:v>
      </x:c>
      <x:c r="M505" t="n">
        <x:v>2474.55</x:v>
      </x:c>
      <x:c r="N505" t="n">
        <x:v>0</x:v>
      </x:c>
    </x:row>
    <x:row r="506">
      <x:c r="A506" t="str">
        <x:v>Kalerwe Foot Bridge</x:v>
      </x:c>
      <x:c r="B506" t="str">
        <x:v>B224</x:v>
      </x:c>
      <x:c r="C506" t="str">
        <x:v>M20</x:v>
      </x:c>
      <x:c r="D506" t="str">
        <x:v>M</x:v>
      </x:c>
      <x:c r="E506" t="str">
        <x:v>Central</x:v>
      </x:c>
      <x:c r="F506" t="str">
        <x:v>Kampala</x:v>
      </x:c>
      <x:c r="G506" t="n">
        <x:v>46450.56</x:v>
      </x:c>
      <x:c r="H506" t="n">
        <x:v>0.001594</x:v>
      </x:c>
      <x:c r="I506" t="n">
        <x:v>0.9781</x:v>
      </x:c>
      <x:c r="J506" t="n">
        <x:v>27286.25</x:v>
      </x:c>
      <x:c r="K506" t="n">
        <x:v>12447.31</x:v>
      </x:c>
      <x:c r="L506" t="n">
        <x:v>4239.71</x:v>
      </x:c>
      <x:c r="M506" t="n">
        <x:v>2477.29</x:v>
      </x:c>
      <x:c r="N506" t="n">
        <x:v>0</x:v>
      </x:c>
    </x:row>
    <x:row r="507">
      <x:c r="A507" t="str">
        <x:v>Bwayise B1 Rhs</x:v>
      </x:c>
      <x:c r="B507" t="str">
        <x:v>B244</x:v>
      </x:c>
      <x:c r="C507" t="str">
        <x:v>M20</x:v>
      </x:c>
      <x:c r="D507" t="str">
        <x:v>M</x:v>
      </x:c>
      <x:c r="E507" t="str">
        <x:v>Central</x:v>
      </x:c>
      <x:c r="F507" t="str">
        <x:v>Kampala</x:v>
      </x:c>
      <x:c r="G507" t="n">
        <x:v>46450.56</x:v>
      </x:c>
      <x:c r="H507" t="n">
        <x:v>0.001594</x:v>
      </x:c>
      <x:c r="I507" t="n">
        <x:v>0.9781</x:v>
      </x:c>
      <x:c r="J507" t="n">
        <x:v>27577.74</x:v>
      </x:c>
      <x:c r="K507" t="n">
        <x:v>12187.68</x:v>
      </x:c>
      <x:c r="L507" t="n">
        <x:v>4201.21</x:v>
      </x:c>
      <x:c r="M507" t="n">
        <x:v>2483.93</x:v>
      </x:c>
      <x:c r="N507" t="n">
        <x:v>0</x:v>
      </x:c>
    </x:row>
    <x:row r="508">
      <x:c r="A508" t="str">
        <x:v>Bwayise B2 Rhs</x:v>
      </x:c>
      <x:c r="B508" t="str">
        <x:v>B245</x:v>
      </x:c>
      <x:c r="C508" t="str">
        <x:v>M20</x:v>
      </x:c>
      <x:c r="D508" t="str">
        <x:v>M</x:v>
      </x:c>
      <x:c r="E508" t="str">
        <x:v>Central</x:v>
      </x:c>
      <x:c r="F508" t="str">
        <x:v>Kampala</x:v>
      </x:c>
      <x:c r="G508" t="n">
        <x:v>46450.56</x:v>
      </x:c>
      <x:c r="H508" t="n">
        <x:v>0.001594</x:v>
      </x:c>
      <x:c r="I508" t="n">
        <x:v>0.9781</x:v>
      </x:c>
      <x:c r="J508" t="n">
        <x:v>27608.8</x:v>
      </x:c>
      <x:c r="K508" t="n">
        <x:v>12160.1</x:v>
      </x:c>
      <x:c r="L508" t="n">
        <x:v>4197.1</x:v>
      </x:c>
      <x:c r="M508" t="n">
        <x:v>2484.56</x:v>
      </x:c>
      <x:c r="N508" t="n">
        <x:v>0</x:v>
      </x:c>
    </x:row>
    <x:row r="509">
      <x:c r="A509" t="str">
        <x:v>Bwayise B1 Lhs</x:v>
      </x:c>
      <x:c r="B509" t="str">
        <x:v>B247</x:v>
      </x:c>
      <x:c r="C509" t="str">
        <x:v>M20</x:v>
      </x:c>
      <x:c r="D509" t="str">
        <x:v>M</x:v>
      </x:c>
      <x:c r="E509" t="str">
        <x:v>Central</x:v>
      </x:c>
      <x:c r="F509" t="str">
        <x:v>Kampala</x:v>
      </x:c>
      <x:c r="G509" t="n">
        <x:v>46450.56</x:v>
      </x:c>
      <x:c r="H509" t="n">
        <x:v>0.001594</x:v>
      </x:c>
      <x:c r="I509" t="n">
        <x:v>0.9781</x:v>
      </x:c>
      <x:c r="J509" t="n">
        <x:v>27608.8</x:v>
      </x:c>
      <x:c r="K509" t="n">
        <x:v>12160.1</x:v>
      </x:c>
      <x:c r="L509" t="n">
        <x:v>4197.1</x:v>
      </x:c>
      <x:c r="M509" t="n">
        <x:v>2484.56</x:v>
      </x:c>
      <x:c r="N509" t="n">
        <x:v>0</x:v>
      </x:c>
    </x:row>
    <x:row r="510">
      <x:c r="A510" t="str">
        <x:v>Bwayise B2 Lhs</x:v>
      </x:c>
      <x:c r="B510" t="str">
        <x:v>B250</x:v>
      </x:c>
      <x:c r="C510" t="str">
        <x:v>M20</x:v>
      </x:c>
      <x:c r="D510" t="str">
        <x:v>M</x:v>
      </x:c>
      <x:c r="E510" t="str">
        <x:v>Central</x:v>
      </x:c>
      <x:c r="F510" t="str">
        <x:v>Kampala</x:v>
      </x:c>
      <x:c r="G510" t="n">
        <x:v>46450.56</x:v>
      </x:c>
      <x:c r="H510" t="n">
        <x:v>0.001594</x:v>
      </x:c>
      <x:c r="I510" t="n">
        <x:v>0.9781</x:v>
      </x:c>
      <x:c r="J510" t="n">
        <x:v>27608.8</x:v>
      </x:c>
      <x:c r="K510" t="n">
        <x:v>12160.1</x:v>
      </x:c>
      <x:c r="L510" t="n">
        <x:v>4197.1</x:v>
      </x:c>
      <x:c r="M510" t="n">
        <x:v>2484.56</x:v>
      </x:c>
      <x:c r="N510" t="n">
        <x:v>0</x:v>
      </x:c>
    </x:row>
    <x:row r="511">
      <x:c r="A511" t="str">
        <x:v>Namugongo Overbridge</x:v>
      </x:c>
      <x:c r="B511" t="str">
        <x:v>B254</x:v>
      </x:c>
      <x:c r="C511" t="str">
        <x:v>M20</x:v>
      </x:c>
      <x:c r="D511" t="str">
        <x:v>M</x:v>
      </x:c>
      <x:c r="E511" t="str">
        <x:v>Central</x:v>
      </x:c>
      <x:c r="F511" t="str">
        <x:v>Kampala</x:v>
      </x:c>
      <x:c r="G511" t="n">
        <x:v>46450.56</x:v>
      </x:c>
      <x:c r="H511" t="n">
        <x:v>0.001594</x:v>
      </x:c>
      <x:c r="I511" t="n">
        <x:v>0.9781</x:v>
      </x:c>
      <x:c r="J511" t="n">
        <x:v>23029.52</x:v>
      </x:c>
      <x:c r="K511" t="n">
        <x:v>16076.35</x:v>
      </x:c>
      <x:c r="L511" t="n">
        <x:v>5026.96</x:v>
      </x:c>
      <x:c r="M511" t="n">
        <x:v>2317.72</x:v>
      </x:c>
      <x:c r="N511" t="n">
        <x:v>0</x:v>
      </x:c>
    </x:row>
    <x:row r="512">
      <x:c r="A512" t="str">
        <x:v>Kawaala Bridge</x:v>
      </x:c>
      <x:c r="B512" t="str">
        <x:v>B257</x:v>
      </x:c>
      <x:c r="C512" t="str">
        <x:v>M20</x:v>
      </x:c>
      <x:c r="D512" t="str">
        <x:v>M</x:v>
      </x:c>
      <x:c r="E512" t="str">
        <x:v>Central</x:v>
      </x:c>
      <x:c r="F512" t="str">
        <x:v>Kampala</x:v>
      </x:c>
      <x:c r="G512" t="n">
        <x:v>46450.56</x:v>
      </x:c>
      <x:c r="H512" t="n">
        <x:v>0.001594</x:v>
      </x:c>
      <x:c r="I512" t="n">
        <x:v>0.9781</x:v>
      </x:c>
      <x:c r="J512" t="n">
        <x:v>28014.24</x:v>
      </x:c>
      <x:c r="K512" t="n">
        <x:v>11801.52</x:v>
      </x:c>
      <x:c r="L512" t="n">
        <x:v>4143.27</x:v>
      </x:c>
      <x:c r="M512" t="n">
        <x:v>2491.52</x:v>
      </x:c>
      <x:c r="N512" t="n">
        <x:v>0</x:v>
      </x:c>
    </x:row>
    <x:row r="513">
      <x:c r="A513" t="str">
        <x:v>Namungoona B2</x:v>
      </x:c>
      <x:c r="B513" t="str">
        <x:v>B262</x:v>
      </x:c>
      <x:c r="C513" t="str">
        <x:v>M20</x:v>
      </x:c>
      <x:c r="D513" t="str">
        <x:v>M</x:v>
      </x:c>
      <x:c r="E513" t="str">
        <x:v>Central</x:v>
      </x:c>
      <x:c r="F513" t="str">
        <x:v>Kampala</x:v>
      </x:c>
      <x:c r="G513" t="n">
        <x:v>46450.56</x:v>
      </x:c>
      <x:c r="H513" t="n">
        <x:v>0.001594</x:v>
      </x:c>
      <x:c r="I513" t="n">
        <x:v>0.9781</x:v>
      </x:c>
      <x:c r="J513" t="n">
        <x:v>28447.03</x:v>
      </x:c>
      <x:c r="K513" t="n">
        <x:v>11421.63</x:v>
      </x:c>
      <x:c r="L513" t="n">
        <x:v>4085.48</x:v>
      </x:c>
      <x:c r="M513" t="n">
        <x:v>2496.42</x:v>
      </x:c>
      <x:c r="N513" t="n">
        <x:v>0</x:v>
      </x:c>
    </x:row>
    <x:row r="514">
      <x:c r="A514" t="str">
        <x:v>Namungoona B22</x:v>
      </x:c>
      <x:c r="B514" t="str">
        <x:v>B419</x:v>
      </x:c>
      <x:c r="C514" t="str">
        <x:v>M20</x:v>
      </x:c>
      <x:c r="D514" t="str">
        <x:v>M</x:v>
      </x:c>
      <x:c r="E514" t="str">
        <x:v>Central</x:v>
      </x:c>
      <x:c r="F514" t="str">
        <x:v>Kampala</x:v>
      </x:c>
      <x:c r="G514" t="n">
        <x:v>46450.56</x:v>
      </x:c>
      <x:c r="H514" t="n">
        <x:v>0.001594</x:v>
      </x:c>
      <x:c r="I514" t="n">
        <x:v>0.9781</x:v>
      </x:c>
      <x:c r="J514" t="n">
        <x:v>28447.03</x:v>
      </x:c>
      <x:c r="K514" t="n">
        <x:v>11421.63</x:v>
      </x:c>
      <x:c r="L514" t="n">
        <x:v>4085.48</x:v>
      </x:c>
      <x:c r="M514" t="n">
        <x:v>2496.42</x:v>
      </x:c>
      <x:c r="N514" t="n">
        <x:v>0</x:v>
      </x:c>
    </x:row>
    <x:row r="515">
      <x:c r="A515" t="str">
        <x:v>Namungoona B1</x:v>
      </x:c>
      <x:c r="B515" t="str">
        <x:v>B280</x:v>
      </x:c>
      <x:c r="C515" t="str">
        <x:v>M20</x:v>
      </x:c>
      <x:c r="D515" t="str">
        <x:v>M</x:v>
      </x:c>
      <x:c r="E515" t="str">
        <x:v>Central</x:v>
      </x:c>
      <x:c r="F515" t="str">
        <x:v>Kampala</x:v>
      </x:c>
      <x:c r="G515" t="n">
        <x:v>46450.56</x:v>
      </x:c>
      <x:c r="H515" t="n">
        <x:v>0.001594</x:v>
      </x:c>
      <x:c r="I515" t="n">
        <x:v>0.9781</x:v>
      </x:c>
      <x:c r="J515" t="n">
        <x:v>28471.7</x:v>
      </x:c>
      <x:c r="K515" t="n">
        <x:v>11400.06</x:v>
      </x:c>
      <x:c r="L515" t="n">
        <x:v>4082.18</x:v>
      </x:c>
      <x:c r="M515" t="n">
        <x:v>2496.63</x:v>
      </x:c>
      <x:c r="N515" t="n">
        <x:v>0</x:v>
      </x:c>
    </x:row>
    <x:row r="516">
      <x:c r="A516" t="str">
        <x:v>Namungoona B12</x:v>
      </x:c>
      <x:c r="B516" t="str">
        <x:v>B304</x:v>
      </x:c>
      <x:c r="C516" t="str">
        <x:v>M20</x:v>
      </x:c>
      <x:c r="D516" t="str">
        <x:v>M</x:v>
      </x:c>
      <x:c r="E516" t="str">
        <x:v>Central</x:v>
      </x:c>
      <x:c r="F516" t="str">
        <x:v>Kampala</x:v>
      </x:c>
      <x:c r="G516" t="n">
        <x:v>46450.56</x:v>
      </x:c>
      <x:c r="H516" t="n">
        <x:v>0.001594</x:v>
      </x:c>
      <x:c r="I516" t="n">
        <x:v>0.9781</x:v>
      </x:c>
      <x:c r="J516" t="n">
        <x:v>28471.7</x:v>
      </x:c>
      <x:c r="K516" t="n">
        <x:v>11400.06</x:v>
      </x:c>
      <x:c r="L516" t="n">
        <x:v>4082.18</x:v>
      </x:c>
      <x:c r="M516" t="n">
        <x:v>2496.63</x:v>
      </x:c>
      <x:c r="N516" t="n">
        <x:v>0</x:v>
      </x:c>
    </x:row>
    <x:row r="517">
      <x:c r="A517" t="str">
        <x:v>Sentema B2</x:v>
      </x:c>
      <x:c r="B517" t="str">
        <x:v>B305</x:v>
      </x:c>
      <x:c r="C517" t="str">
        <x:v>M20</x:v>
      </x:c>
      <x:c r="D517" t="str">
        <x:v>M</x:v>
      </x:c>
      <x:c r="E517" t="str">
        <x:v>Central</x:v>
      </x:c>
      <x:c r="F517" t="str">
        <x:v>Kampala</x:v>
      </x:c>
      <x:c r="G517" t="n">
        <x:v>46450.56</x:v>
      </x:c>
      <x:c r="H517" t="n">
        <x:v>0.001594</x:v>
      </x:c>
      <x:c r="I517" t="n">
        <x:v>0.9781</x:v>
      </x:c>
      <x:c r="J517" t="n">
        <x:v>29214.67</x:v>
      </x:c>
      <x:c r="K517" t="n">
        <x:v>10760.39</x:v>
      </x:c>
      <x:c r="L517" t="n">
        <x:v>3983.04</x:v>
      </x:c>
      <x:c r="M517" t="n">
        <x:v>2492.45</x:v>
      </x:c>
      <x:c r="N517" t="n">
        <x:v>0</x:v>
      </x:c>
    </x:row>
    <x:row r="518">
      <x:c r="A518" t="str">
        <x:v>Sentema B22</x:v>
      </x:c>
      <x:c r="B518" t="str">
        <x:v>B306</x:v>
      </x:c>
      <x:c r="C518" t="str">
        <x:v>M20</x:v>
      </x:c>
      <x:c r="D518" t="str">
        <x:v>M</x:v>
      </x:c>
      <x:c r="E518" t="str">
        <x:v>Central</x:v>
      </x:c>
      <x:c r="F518" t="str">
        <x:v>Kampala</x:v>
      </x:c>
      <x:c r="G518" t="n">
        <x:v>46450.56</x:v>
      </x:c>
      <x:c r="H518" t="n">
        <x:v>0.001594</x:v>
      </x:c>
      <x:c r="I518" t="n">
        <x:v>0.9781</x:v>
      </x:c>
      <x:c r="J518" t="n">
        <x:v>29214.67</x:v>
      </x:c>
      <x:c r="K518" t="n">
        <x:v>10760.39</x:v>
      </x:c>
      <x:c r="L518" t="n">
        <x:v>3983.04</x:v>
      </x:c>
      <x:c r="M518" t="n">
        <x:v>2492.45</x:v>
      </x:c>
      <x:c r="N518" t="n">
        <x:v>0</x:v>
      </x:c>
    </x:row>
    <x:row r="519">
      <x:c r="A519" t="str">
        <x:v>Sentema B1</x:v>
      </x:c>
      <x:c r="B519" t="str">
        <x:v>B307</x:v>
      </x:c>
      <x:c r="C519" t="str">
        <x:v>M20</x:v>
      </x:c>
      <x:c r="D519" t="str">
        <x:v>M</x:v>
      </x:c>
      <x:c r="E519" t="str">
        <x:v>Central</x:v>
      </x:c>
      <x:c r="F519" t="str">
        <x:v>Kampala</x:v>
      </x:c>
      <x:c r="G519" t="n">
        <x:v>46450.56</x:v>
      </x:c>
      <x:c r="H519" t="n">
        <x:v>0.001594</x:v>
      </x:c>
      <x:c r="I519" t="n">
        <x:v>0.9781</x:v>
      </x:c>
      <x:c r="J519" t="n">
        <x:v>29238.82</x:v>
      </x:c>
      <x:c r="K519" t="n">
        <x:v>10740.11</x:v>
      </x:c>
      <x:c r="L519" t="n">
        <x:v>3979.74</x:v>
      </x:c>
      <x:c r="M519" t="n">
        <x:v>2491.89</x:v>
      </x:c>
      <x:c r="N519" t="n">
        <x:v>0</x:v>
      </x:c>
    </x:row>
    <x:row r="520">
      <x:c r="A520" t="str">
        <x:v>Sentema B12</x:v>
      </x:c>
      <x:c r="B520" t="str">
        <x:v>B309</x:v>
      </x:c>
      <x:c r="C520" t="str">
        <x:v>M20</x:v>
      </x:c>
      <x:c r="D520" t="str">
        <x:v>M</x:v>
      </x:c>
      <x:c r="E520" t="str">
        <x:v>Central</x:v>
      </x:c>
      <x:c r="F520" t="str">
        <x:v>Kampala</x:v>
      </x:c>
      <x:c r="G520" t="n">
        <x:v>46450.56</x:v>
      </x:c>
      <x:c r="H520" t="n">
        <x:v>0.001594</x:v>
      </x:c>
      <x:c r="I520" t="n">
        <x:v>0.9781</x:v>
      </x:c>
      <x:c r="J520" t="n">
        <x:v>29238.82</x:v>
      </x:c>
      <x:c r="K520" t="n">
        <x:v>10740.11</x:v>
      </x:c>
      <x:c r="L520" t="n">
        <x:v>3979.74</x:v>
      </x:c>
      <x:c r="M520" t="n">
        <x:v>2491.89</x:v>
      </x:c>
      <x:c r="N520" t="n">
        <x:v>0</x:v>
      </x:c>
    </x:row>
    <x:row r="521">
      <x:c r="A521" t="str">
        <x:v>Nalya-Kamuli Flyover Foot Bridge</x:v>
      </x:c>
      <x:c r="B521" t="str">
        <x:v>B310</x:v>
      </x:c>
      <x:c r="C521" t="str">
        <x:v>M20</x:v>
      </x:c>
      <x:c r="D521" t="str">
        <x:v>M</x:v>
      </x:c>
      <x:c r="E521" t="str">
        <x:v>Central</x:v>
      </x:c>
      <x:c r="F521" t="str">
        <x:v>Kampala</x:v>
      </x:c>
      <x:c r="G521" t="n">
        <x:v>46450.56</x:v>
      </x:c>
      <x:c r="H521" t="n">
        <x:v>0.001594</x:v>
      </x:c>
      <x:c r="I521" t="n">
        <x:v>0.9781</x:v>
      </x:c>
      <x:c r="J521" t="n">
        <x:v>23450.74</x:v>
      </x:c>
      <x:c r="K521" t="n">
        <x:v>15737.09</x:v>
      </x:c>
      <x:c r="L521" t="n">
        <x:v>4920.26</x:v>
      </x:c>
      <x:c r="M521" t="n">
        <x:v>2342.47</x:v>
      </x:c>
      <x:c r="N521" t="n">
        <x:v>0</x:v>
      </x:c>
    </x:row>
    <x:row r="522">
      <x:c r="A522" t="str">
        <x:v>Nalya B1 Lhs</x:v>
      </x:c>
      <x:c r="B522" t="str">
        <x:v>B311</x:v>
      </x:c>
      <x:c r="C522" t="str">
        <x:v>M20</x:v>
      </x:c>
      <x:c r="D522" t="str">
        <x:v>M</x:v>
      </x:c>
      <x:c r="E522" t="str">
        <x:v>Central</x:v>
      </x:c>
      <x:c r="F522" t="str">
        <x:v>Kampala</x:v>
      </x:c>
      <x:c r="G522" t="n">
        <x:v>46450.56</x:v>
      </x:c>
      <x:c r="H522" t="n">
        <x:v>0.001594</x:v>
      </x:c>
      <x:c r="I522" t="n">
        <x:v>0.9781</x:v>
      </x:c>
      <x:c r="J522" t="n">
        <x:v>23941.24</x:v>
      </x:c>
      <x:c r="K522" t="n">
        <x:v>15344.85</x:v>
      </x:c>
      <x:c r="L522" t="n">
        <x:v>4801.02</x:v>
      </x:c>
      <x:c r="M522" t="n">
        <x:v>2363.45</x:v>
      </x:c>
      <x:c r="N522" t="n">
        <x:v>0</x:v>
      </x:c>
    </x:row>
    <x:row r="523">
      <x:c r="A523" t="str">
        <x:v>Nalya B2 Lhs</x:v>
      </x:c>
      <x:c r="B523" t="str">
        <x:v>B322</x:v>
      </x:c>
      <x:c r="C523" t="str">
        <x:v>M20</x:v>
      </x:c>
      <x:c r="D523" t="str">
        <x:v>M</x:v>
      </x:c>
      <x:c r="E523" t="str">
        <x:v>Central</x:v>
      </x:c>
      <x:c r="F523" t="str">
        <x:v>Kampala</x:v>
      </x:c>
      <x:c r="G523" t="n">
        <x:v>46450.56</x:v>
      </x:c>
      <x:c r="H523" t="n">
        <x:v>0.001594</x:v>
      </x:c>
      <x:c r="I523" t="n">
        <x:v>0.9781</x:v>
      </x:c>
      <x:c r="J523" t="n">
        <x:v>23893.74</x:v>
      </x:c>
      <x:c r="K523" t="n">
        <x:v>15372.22</x:v>
      </x:c>
      <x:c r="L523" t="n">
        <x:v>4820.67</x:v>
      </x:c>
      <x:c r="M523" t="n">
        <x:v>2363.93</x:v>
      </x:c>
      <x:c r="N523" t="n">
        <x:v>0</x:v>
      </x:c>
    </x:row>
    <x:row r="524">
      <x:c r="A524" t="str">
        <x:v>Nalya B1 Rhs</x:v>
      </x:c>
      <x:c r="B524" t="str">
        <x:v>B329</x:v>
      </x:c>
      <x:c r="C524" t="str">
        <x:v>M20</x:v>
      </x:c>
      <x:c r="D524" t="str">
        <x:v>M</x:v>
      </x:c>
      <x:c r="E524" t="str">
        <x:v>Central</x:v>
      </x:c>
      <x:c r="F524" t="str">
        <x:v>Kampala</x:v>
      </x:c>
      <x:c r="G524" t="n">
        <x:v>46450.56</x:v>
      </x:c>
      <x:c r="H524" t="n">
        <x:v>0.001594</x:v>
      </x:c>
      <x:c r="I524" t="n">
        <x:v>0.9781</x:v>
      </x:c>
      <x:c r="J524" t="n">
        <x:v>23957.83</x:v>
      </x:c>
      <x:c r="K524" t="n">
        <x:v>15335.85</x:v>
      </x:c>
      <x:c r="L524" t="n">
        <x:v>4793.78</x:v>
      </x:c>
      <x:c r="M524" t="n">
        <x:v>2363.1</x:v>
      </x:c>
      <x:c r="N524" t="n">
        <x:v>0</x:v>
      </x:c>
    </x:row>
    <x:row r="525">
      <x:c r="A525" t="str">
        <x:v>Nalya B2 Rhs</x:v>
      </x:c>
      <x:c r="B525" t="str">
        <x:v>B341</x:v>
      </x:c>
      <x:c r="C525" t="str">
        <x:v>M20</x:v>
      </x:c>
      <x:c r="D525" t="str">
        <x:v>M</x:v>
      </x:c>
      <x:c r="E525" t="str">
        <x:v>Central</x:v>
      </x:c>
      <x:c r="F525" t="str">
        <x:v>Kampala</x:v>
      </x:c>
      <x:c r="G525" t="n">
        <x:v>46450.56</x:v>
      </x:c>
      <x:c r="H525" t="n">
        <x:v>0.001594</x:v>
      </x:c>
      <x:c r="I525" t="n">
        <x:v>0.9781</x:v>
      </x:c>
      <x:c r="J525" t="n">
        <x:v>23940.97</x:v>
      </x:c>
      <x:c r="K525" t="n">
        <x:v>15345</x:v>
      </x:c>
      <x:c r="L525" t="n">
        <x:v>4801.13</x:v>
      </x:c>
      <x:c r="M525" t="n">
        <x:v>2363.46</x:v>
      </x:c>
      <x:c r="N525" t="n">
        <x:v>0</x:v>
      </x:c>
    </x:row>
    <x:row r="526">
      <x:c r="A526" t="str">
        <x:v>Kiwatule Under-Pass</x:v>
      </x:c>
      <x:c r="B526" t="str">
        <x:v>B342</x:v>
      </x:c>
      <x:c r="C526" t="str">
        <x:v>M20</x:v>
      </x:c>
      <x:c r="D526" t="str">
        <x:v>M</x:v>
      </x:c>
      <x:c r="E526" t="str">
        <x:v>Central</x:v>
      </x:c>
      <x:c r="F526" t="str">
        <x:v>Kampala</x:v>
      </x:c>
      <x:c r="G526" t="n">
        <x:v>46450.56</x:v>
      </x:c>
      <x:c r="H526" t="n">
        <x:v>0.001594</x:v>
      </x:c>
      <x:c r="I526" t="n">
        <x:v>0.9781</x:v>
      </x:c>
      <x:c r="J526" t="n">
        <x:v>24161.52</x:v>
      </x:c>
      <x:c r="K526" t="n">
        <x:v>15246.18</x:v>
      </x:c>
      <x:c r="L526" t="n">
        <x:v>4692.6</x:v>
      </x:c>
      <x:c r="M526" t="n">
        <x:v>2350.26</x:v>
      </x:c>
      <x:c r="N526" t="n">
        <x:v>0</x:v>
      </x:c>
    </x:row>
    <x:row r="527">
      <x:c r="A527" t="str">
        <x:v>Busega</x:v>
      </x:c>
      <x:c r="B527" t="str">
        <x:v>B343</x:v>
      </x:c>
      <x:c r="C527" t="str">
        <x:v>M3_Link01</x:v>
      </x:c>
      <x:c r="D527" t="str">
        <x:v>M</x:v>
      </x:c>
      <x:c r="E527" t="str">
        <x:v>Central</x:v>
      </x:c>
      <x:c r="F527" t="str">
        <x:v>Kampala</x:v>
      </x:c>
      <x:c r="G527" t="n">
        <x:v>20711.35</x:v>
      </x:c>
      <x:c r="H527" t="n">
        <x:v>0.001594</x:v>
      </x:c>
      <x:c r="I527" t="n">
        <x:v>0.9781</x:v>
      </x:c>
      <x:c r="J527" t="n">
        <x:v>13365.69</x:v>
      </x:c>
      <x:c r="K527" t="n">
        <x:v>4518</x:v>
      </x:c>
      <x:c r="L527" t="n">
        <x:v>1727.35</x:v>
      </x:c>
      <x:c r="M527" t="n">
        <x:v>1100.31</x:v>
      </x:c>
      <x:c r="N527" t="n">
        <x:v>0</x:v>
      </x:c>
    </x:row>
    <x:row r="528">
      <x:c r="A528" t="str">
        <x:v>Busega</x:v>
      </x:c>
      <x:c r="B528" t="str">
        <x:v>B350</x:v>
      </x:c>
      <x:c r="C528" t="str">
        <x:v>M3_Link01</x:v>
      </x:c>
      <x:c r="D528" t="str">
        <x:v>M</x:v>
      </x:c>
      <x:c r="E528" t="str">
        <x:v>Central</x:v>
      </x:c>
      <x:c r="F528" t="str">
        <x:v>Kampala</x:v>
      </x:c>
      <x:c r="G528" t="n">
        <x:v>20711.35</x:v>
      </x:c>
      <x:c r="H528" t="n">
        <x:v>0.001594</x:v>
      </x:c>
      <x:c r="I528" t="n">
        <x:v>0.9781</x:v>
      </x:c>
      <x:c r="J528" t="n">
        <x:v>13365.69</x:v>
      </x:c>
      <x:c r="K528" t="n">
        <x:v>4518</x:v>
      </x:c>
      <x:c r="L528" t="n">
        <x:v>1727.35</x:v>
      </x:c>
      <x:c r="M528" t="n">
        <x:v>1100.31</x:v>
      </x:c>
      <x:c r="N528" t="n">
        <x:v>0</x:v>
      </x:c>
    </x:row>
    <x:row r="529">
      <x:c r="A529" t="str">
        <x:v>Kee B1</x:v>
      </x:c>
      <x:c r="B529" t="str">
        <x:v>B351</x:v>
      </x:c>
      <x:c r="C529" t="str">
        <x:v>M3_Link01</x:v>
      </x:c>
      <x:c r="D529" t="str">
        <x:v>M</x:v>
      </x:c>
      <x:c r="E529" t="str">
        <x:v>Central</x:v>
      </x:c>
      <x:c r="F529" t="str">
        <x:v>Kampala</x:v>
      </x:c>
      <x:c r="G529" t="n">
        <x:v>20711.35</x:v>
      </x:c>
      <x:c r="H529" t="n">
        <x:v>0.001594</x:v>
      </x:c>
      <x:c r="I529" t="n">
        <x:v>0.9781</x:v>
      </x:c>
      <x:c r="J529" t="n">
        <x:v>13531.49</x:v>
      </x:c>
      <x:c r="K529" t="n">
        <x:v>4385.42</x:v>
      </x:c>
      <x:c r="L529" t="n">
        <x:v>1702.2</x:v>
      </x:c>
      <x:c r="M529" t="n">
        <x:v>1092.24</x:v>
      </x:c>
      <x:c r="N529" t="n">
        <x:v>0</x:v>
      </x:c>
    </x:row>
    <x:row r="530">
      <x:c r="A530" t="str">
        <x:v>Kee B12</x:v>
      </x:c>
      <x:c r="B530" t="str">
        <x:v>B353</x:v>
      </x:c>
      <x:c r="C530" t="str">
        <x:v>M3_Link01</x:v>
      </x:c>
      <x:c r="D530" t="str">
        <x:v>M</x:v>
      </x:c>
      <x:c r="E530" t="str">
        <x:v>Central</x:v>
      </x:c>
      <x:c r="F530" t="str">
        <x:v>Kampala</x:v>
      </x:c>
      <x:c r="G530" t="n">
        <x:v>20711.35</x:v>
      </x:c>
      <x:c r="H530" t="n">
        <x:v>0.001594</x:v>
      </x:c>
      <x:c r="I530" t="n">
        <x:v>0.9781</x:v>
      </x:c>
      <x:c r="J530" t="n">
        <x:v>13531.49</x:v>
      </x:c>
      <x:c r="K530" t="n">
        <x:v>4385.42</x:v>
      </x:c>
      <x:c r="L530" t="n">
        <x:v>1702.2</x:v>
      </x:c>
      <x:c r="M530" t="n">
        <x:v>1092.24</x:v>
      </x:c>
      <x:c r="N530" t="n">
        <x:v>0</x:v>
      </x:c>
    </x:row>
    <x:row r="531">
      <x:c r="A531" t="str">
        <x:v>Kee B2</x:v>
      </x:c>
      <x:c r="B531" t="str">
        <x:v>B358</x:v>
      </x:c>
      <x:c r="C531" t="str">
        <x:v>M3_Link01</x:v>
      </x:c>
      <x:c r="D531" t="str">
        <x:v>M</x:v>
      </x:c>
      <x:c r="E531" t="str">
        <x:v>Central</x:v>
      </x:c>
      <x:c r="F531" t="str">
        <x:v>Kampala</x:v>
      </x:c>
      <x:c r="G531" t="n">
        <x:v>20711.35</x:v>
      </x:c>
      <x:c r="H531" t="n">
        <x:v>0.001594</x:v>
      </x:c>
      <x:c r="I531" t="n">
        <x:v>0.9781</x:v>
      </x:c>
      <x:c r="J531" t="n">
        <x:v>13577.86</x:v>
      </x:c>
      <x:c r="K531" t="n">
        <x:v>4349.56</x:v>
      </x:c>
      <x:c r="L531" t="n">
        <x:v>1694.85</x:v>
      </x:c>
      <x:c r="M531" t="n">
        <x:v>1089.08</x:v>
      </x:c>
      <x:c r="N531" t="n">
        <x:v>0</x:v>
      </x:c>
    </x:row>
    <x:row r="532">
      <x:c r="A532" t="str">
        <x:v>Kee B22</x:v>
      </x:c>
      <x:c r="B532" t="str">
        <x:v>B356</x:v>
      </x:c>
      <x:c r="C532" t="str">
        <x:v>M3_Link01</x:v>
      </x:c>
      <x:c r="D532" t="str">
        <x:v>M</x:v>
      </x:c>
      <x:c r="E532" t="str">
        <x:v>Central</x:v>
      </x:c>
      <x:c r="F532" t="str">
        <x:v>Kampala</x:v>
      </x:c>
      <x:c r="G532" t="n">
        <x:v>20711.35</x:v>
      </x:c>
      <x:c r="H532" t="n">
        <x:v>0.001594</x:v>
      </x:c>
      <x:c r="I532" t="n">
        <x:v>0.9781</x:v>
      </x:c>
      <x:c r="J532" t="n">
        <x:v>13577.86</x:v>
      </x:c>
      <x:c r="K532" t="n">
        <x:v>4349.56</x:v>
      </x:c>
      <x:c r="L532" t="n">
        <x:v>1694.85</x:v>
      </x:c>
      <x:c r="M532" t="n">
        <x:v>1089.08</x:v>
      </x:c>
      <x:c r="N532" t="n">
        <x:v>0</x:v>
      </x:c>
    </x:row>
    <x:row r="533">
      <x:c r="A533" t="str">
        <x:v>Kee B3 Overpass</x:v>
      </x:c>
      <x:c r="B533" t="str">
        <x:v>B371</x:v>
      </x:c>
      <x:c r="C533" t="str">
        <x:v>M3_Link01</x:v>
      </x:c>
      <x:c r="D533" t="str">
        <x:v>M</x:v>
      </x:c>
      <x:c r="E533" t="str">
        <x:v>Central</x:v>
      </x:c>
      <x:c r="F533" t="str">
        <x:v>Kampala</x:v>
      </x:c>
      <x:c r="G533" t="n">
        <x:v>20711.35</x:v>
      </x:c>
      <x:c r="H533" t="n">
        <x:v>0.001594</x:v>
      </x:c>
      <x:c r="I533" t="n">
        <x:v>0.9781</x:v>
      </x:c>
      <x:c r="J533" t="n">
        <x:v>13815.44</x:v>
      </x:c>
      <x:c r="K533" t="n">
        <x:v>4171.03</x:v>
      </x:c>
      <x:c r="L533" t="n">
        <x:v>1655.52</x:v>
      </x:c>
      <x:c r="M533" t="n">
        <x:v>1069.36</x:v>
      </x:c>
      <x:c r="N533" t="n">
        <x:v>0</x:v>
      </x:c>
    </x:row>
    <x:row r="534">
      <x:c r="A534" t="str">
        <x:v>Kee B4 Overpass</x:v>
      </x:c>
      <x:c r="B534" t="str">
        <x:v>B374</x:v>
      </x:c>
      <x:c r="C534" t="str">
        <x:v>M3_Link01</x:v>
      </x:c>
      <x:c r="D534" t="str">
        <x:v>M</x:v>
      </x:c>
      <x:c r="E534" t="str">
        <x:v>Central</x:v>
      </x:c>
      <x:c r="F534" t="str">
        <x:v>Kampala</x:v>
      </x:c>
      <x:c r="G534" t="n">
        <x:v>20711.35</x:v>
      </x:c>
      <x:c r="H534" t="n">
        <x:v>0.001594</x:v>
      </x:c>
      <x:c r="I534" t="n">
        <x:v>0.9781</x:v>
      </x:c>
      <x:c r="J534" t="n">
        <x:v>13855.54</x:v>
      </x:c>
      <x:c r="K534" t="n">
        <x:v>4142.91</x:v>
      </x:c>
      <x:c r="L534" t="n">
        <x:v>1648.33</x:v>
      </x:c>
      <x:c r="M534" t="n">
        <x:v>1064.58</x:v>
      </x:c>
      <x:c r="N534" t="n">
        <x:v>0</x:v>
      </x:c>
    </x:row>
    <x:row r="535">
      <x:c r="A535" t="str">
        <x:v>Kee B5</x:v>
      </x:c>
      <x:c r="B535" t="str">
        <x:v>B377</x:v>
      </x:c>
      <x:c r="C535" t="str">
        <x:v>M3_Link01</x:v>
      </x:c>
      <x:c r="D535" t="str">
        <x:v>M</x:v>
      </x:c>
      <x:c r="E535" t="str">
        <x:v>Central</x:v>
      </x:c>
      <x:c r="F535" t="str">
        <x:v>Kampala</x:v>
      </x:c>
      <x:c r="G535" t="n">
        <x:v>20711.35</x:v>
      </x:c>
      <x:c r="H535" t="n">
        <x:v>0.001594</x:v>
      </x:c>
      <x:c r="I535" t="n">
        <x:v>0.9781</x:v>
      </x:c>
      <x:c r="J535" t="n">
        <x:v>13938.38</x:v>
      </x:c>
      <x:c r="K535" t="n">
        <x:v>4084.62</x:v>
      </x:c>
      <x:c r="L535" t="n">
        <x:v>1633.44</x:v>
      </x:c>
      <x:c r="M535" t="n">
        <x:v>1054.9</x:v>
      </x:c>
      <x:c r="N535" t="n">
        <x:v>0</x:v>
      </x:c>
    </x:row>
    <x:row r="536">
      <x:c r="A536" t="str">
        <x:v>Kee B6 Underpass</x:v>
      </x:c>
      <x:c r="B536" t="str">
        <x:v>B226</x:v>
      </x:c>
      <x:c r="C536" t="str">
        <x:v>M3_Link01</x:v>
      </x:c>
      <x:c r="D536" t="str">
        <x:v>M</x:v>
      </x:c>
      <x:c r="E536" t="str">
        <x:v>Central</x:v>
      </x:c>
      <x:c r="F536" t="str">
        <x:v>Kampala</x:v>
      </x:c>
      <x:c r="G536" t="n">
        <x:v>20711.35</x:v>
      </x:c>
      <x:c r="H536" t="n">
        <x:v>0.001594</x:v>
      </x:c>
      <x:c r="I536" t="n">
        <x:v>0.9781</x:v>
      </x:c>
      <x:c r="J536" t="n">
        <x:v>14016.54</x:v>
      </x:c>
      <x:c r="K536" t="n">
        <x:v>4027.33</x:v>
      </x:c>
      <x:c r="L536" t="n">
        <x:v>1619.91</x:v>
      </x:c>
      <x:c r="M536" t="n">
        <x:v>1047.57</x:v>
      </x:c>
      <x:c r="N536" t="n">
        <x:v>0</x:v>
      </x:c>
    </x:row>
    <x:row r="537">
      <x:c r="A537" t="str">
        <x:v>Paraa Bridge</x:v>
      </x:c>
      <x:c r="B537" t="str">
        <x:v>B636</x:v>
      </x:c>
      <x:c r="C537" t="str">
        <x:v>C626_Link01</x:v>
      </x:c>
      <x:c r="D537" t="str">
        <x:v>C</x:v>
      </x:c>
      <x:c r="E537" t="str">
        <x:v>Western</x:v>
      </x:c>
      <x:c r="F537" t="str">
        <x:v>Masindi</x:v>
      </x:c>
      <x:c r="G537" t="n">
        <x:v>5519.32</x:v>
      </x:c>
      <x:c r="H537" t="n">
        <x:v>0.000928</x:v>
      </x:c>
      <x:c r="I537" t="n">
        <x:v>0.9388</x:v>
      </x:c>
      <x:c r="J537" t="n">
        <x:v>3765.05</x:v>
      </x:c>
      <x:c r="K537" t="n">
        <x:v>862.59</x:v>
      </x:c>
      <x:c r="L537" t="n">
        <x:v>462.4</x:v>
      </x:c>
      <x:c r="M537" t="n">
        <x:v>429.28</x:v>
      </x:c>
      <x:c r="N537" t="n">
        <x:v>0</x:v>
      </x:c>
    </x:row>
    <x:row r="538">
      <x:c r="A538" t="str">
        <x:v>Paraa Bridge 2</x:v>
      </x:c>
      <x:c r="B538" t="str">
        <x:v>B719</x:v>
      </x:c>
      <x:c r="C538" t="str">
        <x:v>C626_Link02</x:v>
      </x:c>
      <x:c r="D538" t="str">
        <x:v>C</x:v>
      </x:c>
      <x:c r="E538" t="str">
        <x:v>Western</x:v>
      </x:c>
      <x:c r="F538" t="str">
        <x:v>Masindi</x:v>
      </x:c>
      <x:c r="G538" t="n">
        <x:v>5514.92</x:v>
      </x:c>
      <x:c r="H538" t="n">
        <x:v>0.000928</x:v>
      </x:c>
      <x:c r="I538" t="n">
        <x:v>0.9388</x:v>
      </x:c>
      <x:c r="J538" t="n">
        <x:v>3761.9</x:v>
      </x:c>
      <x:c r="K538" t="n">
        <x:v>861.87</x:v>
      </x:c>
      <x:c r="L538" t="n">
        <x:v>462.08</x:v>
      </x:c>
      <x:c r="M538" t="n">
        <x:v>429.07</x:v>
      </x:c>
      <x:c r="N538" t="n">
        <x:v>0</x:v>
      </x:c>
    </x:row>
    <x:row r="539">
      <x:c r="A539" t="str">
        <x:v>Sambia Bridge</x:v>
      </x:c>
      <x:c r="B539" t="str">
        <x:v>B640</x:v>
      </x:c>
      <x:c r="C539" t="str">
        <x:v>C626_Link02</x:v>
      </x:c>
      <x:c r="D539" t="str">
        <x:v>C</x:v>
      </x:c>
      <x:c r="E539" t="str">
        <x:v>Western</x:v>
      </x:c>
      <x:c r="F539" t="str">
        <x:v>Masindi</x:v>
      </x:c>
      <x:c r="G539" t="n">
        <x:v>5514.92</x:v>
      </x:c>
      <x:c r="H539" t="n">
        <x:v>0.000928</x:v>
      </x:c>
      <x:c r="I539" t="n">
        <x:v>0.9388</x:v>
      </x:c>
      <x:c r="J539" t="n">
        <x:v>3761.9</x:v>
      </x:c>
      <x:c r="K539" t="n">
        <x:v>861.87</x:v>
      </x:c>
      <x:c r="L539" t="n">
        <x:v>462.08</x:v>
      </x:c>
      <x:c r="M539" t="n">
        <x:v>429.07</x:v>
      </x:c>
      <x:c r="N539" t="n">
        <x:v>0</x:v>
      </x:c>
    </x:row>
    <x:row r="540">
      <x:c r="A540" t="str">
        <x:v>B3(K-P5)</x:v>
      </x:c>
      <x:c r="B540" t="str">
        <x:v>B641</x:v>
      </x:c>
      <x:c r="C540" t="str">
        <x:v>C626_Link02</x:v>
      </x:c>
      <x:c r="D540" t="str">
        <x:v>C</x:v>
      </x:c>
      <x:c r="E540" t="str">
        <x:v>Western</x:v>
      </x:c>
      <x:c r="F540" t="str">
        <x:v>Masindi</x:v>
      </x:c>
      <x:c r="G540" t="n">
        <x:v>5514.92</x:v>
      </x:c>
      <x:c r="H540" t="n">
        <x:v>0.000928</x:v>
      </x:c>
      <x:c r="I540" t="n">
        <x:v>0.9388</x:v>
      </x:c>
      <x:c r="J540" t="n">
        <x:v>3761.9</x:v>
      </x:c>
      <x:c r="K540" t="n">
        <x:v>861.87</x:v>
      </x:c>
      <x:c r="L540" t="n">
        <x:v>462.08</x:v>
      </x:c>
      <x:c r="M540" t="n">
        <x:v>429.07</x:v>
      </x:c>
      <x:c r="N540" t="n">
        <x:v>0</x:v>
      </x:c>
    </x:row>
    <x:row r="541">
      <x:c r="A541" t="str">
        <x:v>B2(K-P5)</x:v>
      </x:c>
      <x:c r="B541" t="str">
        <x:v>B642</x:v>
      </x:c>
      <x:c r="C541" t="str">
        <x:v>C626_Link02</x:v>
      </x:c>
      <x:c r="D541" t="str">
        <x:v>C</x:v>
      </x:c>
      <x:c r="E541" t="str">
        <x:v>Western</x:v>
      </x:c>
      <x:c r="F541" t="str">
        <x:v>Masindi</x:v>
      </x:c>
      <x:c r="G541" t="n">
        <x:v>5514.92</x:v>
      </x:c>
      <x:c r="H541" t="n">
        <x:v>0.000928</x:v>
      </x:c>
      <x:c r="I541" t="n">
        <x:v>0.9388</x:v>
      </x:c>
      <x:c r="J541" t="n">
        <x:v>3761.9</x:v>
      </x:c>
      <x:c r="K541" t="n">
        <x:v>861.87</x:v>
      </x:c>
      <x:c r="L541" t="n">
        <x:v>462.08</x:v>
      </x:c>
      <x:c r="M541" t="n">
        <x:v>429.07</x:v>
      </x:c>
      <x:c r="N541" t="n">
        <x:v>0</x:v>
      </x:c>
    </x:row>
    <x:row r="542">
      <x:c r="A542" t="str">
        <x:v>B1(K-P5)</x:v>
      </x:c>
      <x:c r="B542" t="str">
        <x:v>B643</x:v>
      </x:c>
      <x:c r="C542" t="str">
        <x:v>C626_Link02</x:v>
      </x:c>
      <x:c r="D542" t="str">
        <x:v>C</x:v>
      </x:c>
      <x:c r="E542" t="str">
        <x:v>Western</x:v>
      </x:c>
      <x:c r="F542" t="str">
        <x:v>Masindi</x:v>
      </x:c>
      <x:c r="G542" t="n">
        <x:v>5514.92</x:v>
      </x:c>
      <x:c r="H542" t="n">
        <x:v>0.000928</x:v>
      </x:c>
      <x:c r="I542" t="n">
        <x:v>0.9388</x:v>
      </x:c>
      <x:c r="J542" t="n">
        <x:v>3761.9</x:v>
      </x:c>
      <x:c r="K542" t="n">
        <x:v>861.87</x:v>
      </x:c>
      <x:c r="L542" t="n">
        <x:v>462.08</x:v>
      </x:c>
      <x:c r="M542" t="n">
        <x:v>429.07</x:v>
      </x:c>
      <x:c r="N542" t="n">
        <x:v>0</x:v>
      </x:c>
    </x:row>
    <x:row r="543">
      <x:c r="A543" t="str">
        <x:v>Lopei Irish Crossing</x:v>
      </x:c>
      <x:c r="B543" t="str">
        <x:v>B019</x:v>
      </x:c>
      <x:c r="C543" t="str">
        <x:v>B301_Link01</x:v>
      </x:c>
      <x:c r="D543" t="str">
        <x:v>B</x:v>
      </x:c>
      <x:c r="E543" t="str">
        <x:v>North Eastern</x:v>
      </x:c>
      <x:c r="F543" t="str">
        <x:v>Kotido</x:v>
      </x:c>
      <x:c r="G543" t="n">
        <x:v>7159.84</x:v>
      </x:c>
      <x:c r="H543" t="n">
        <x:v>0.001101</x:v>
      </x:c>
      <x:c r="I543" t="n">
        <x:v>0.9376</x:v>
      </x:c>
      <x:c r="J543" t="n">
        <x:v>4827.38</x:v>
      </x:c>
      <x:c r="K543" t="n">
        <x:v>1266.47</x:v>
      </x:c>
      <x:c r="L543" t="n">
        <x:v>578.53</x:v>
      </x:c>
      <x:c r="M543" t="n">
        <x:v>487.46</x:v>
      </x:c>
      <x:c r="N543" t="n">
        <x:v>0</x:v>
      </x:c>
    </x:row>
    <x:row r="544">
      <x:c r="A544" t="str">
        <x:v>Lopei Irish Crossing</x:v>
      </x:c>
      <x:c r="B544" t="str">
        <x:v>B020</x:v>
      </x:c>
      <x:c r="C544" t="str">
        <x:v>B301_Link01</x:v>
      </x:c>
      <x:c r="D544" t="str">
        <x:v>B</x:v>
      </x:c>
      <x:c r="E544" t="str">
        <x:v>North Eastern</x:v>
      </x:c>
      <x:c r="F544" t="str">
        <x:v>Kotido</x:v>
      </x:c>
      <x:c r="G544" t="n">
        <x:v>7163.67</x:v>
      </x:c>
      <x:c r="H544" t="n">
        <x:v>0.001101</x:v>
      </x:c>
      <x:c r="I544" t="n">
        <x:v>0.9376</x:v>
      </x:c>
      <x:c r="J544" t="n">
        <x:v>4829.52</x:v>
      </x:c>
      <x:c r="K544" t="n">
        <x:v>1267.49</x:v>
      </x:c>
      <x:c r="L544" t="n">
        <x:v>578.89</x:v>
      </x:c>
      <x:c r="M544" t="n">
        <x:v>487.77</x:v>
      </x:c>
      <x:c r="N544" t="n">
        <x:v>0</x:v>
      </x:c>
    </x:row>
    <x:row r="545">
      <x:c r="A545" t="str">
        <x:v>Bunamubi Bridge</x:v>
      </x:c>
      <x:c r="B545" t="str">
        <x:v>B388</x:v>
      </x:c>
      <x:c r="C545" t="str">
        <x:v>C867_Link02</x:v>
      </x:c>
      <x:c r="D545" t="str">
        <x:v>C</x:v>
      </x:c>
      <x:c r="E545" t="str">
        <x:v>Eastern</x:v>
      </x:c>
      <x:c r="F545" t="str">
        <x:v>Mbale</x:v>
      </x:c>
      <x:c r="G545" t="n">
        <x:v>7479.03</x:v>
      </x:c>
      <x:c r="H545" t="n">
        <x:v>0.000928</x:v>
      </x:c>
      <x:c r="I545" t="n">
        <x:v>0.9312</x:v>
      </x:c>
      <x:c r="J545" t="n">
        <x:v>4835.22</x:v>
      </x:c>
      <x:c r="K545" t="n">
        <x:v>1487.04</x:v>
      </x:c>
      <x:c r="L545" t="n">
        <x:v>639.11</x:v>
      </x:c>
      <x:c r="M545" t="n">
        <x:v>517.66</x:v>
      </x:c>
      <x:c r="N545" t="n">
        <x:v>0</x:v>
      </x:c>
    </x:row>
    <x:row r="546">
      <x:c r="A546" t="str">
        <x:v>Dopeth Irish Crossing</x:v>
      </x:c>
      <x:c r="B546" t="str">
        <x:v>B389</x:v>
      </x:c>
      <x:c r="C546" t="str">
        <x:v>C575_Link01</x:v>
      </x:c>
      <x:c r="D546" t="str">
        <x:v>C</x:v>
      </x:c>
      <x:c r="E546" t="str">
        <x:v>Western</x:v>
      </x:c>
      <x:c r="F546" t="str">
        <x:v>Fort Portal</x:v>
      </x:c>
      <x:c r="G546" t="n">
        <x:v>5814.11</x:v>
      </x:c>
      <x:c r="H546" t="n">
        <x:v>0.000928</x:v>
      </x:c>
      <x:c r="I546" t="n">
        <x:v>0.9388</x:v>
      </x:c>
      <x:c r="J546" t="n">
        <x:v>3836.66</x:v>
      </x:c>
      <x:c r="K546" t="n">
        <x:v>1108.03</x:v>
      </x:c>
      <x:c r="L546" t="n">
        <x:v>503.9</x:v>
      </x:c>
      <x:c r="M546" t="n">
        <x:v>365.52</x:v>
      </x:c>
      <x:c r="N546" t="n">
        <x:v>0</x:v>
      </x:c>
    </x:row>
    <x:row r="547">
      <x:c r="A547" t="str">
        <x:v>Agago Irish Crossing</x:v>
      </x:c>
      <x:c r="B547" t="str">
        <x:v>B753</x:v>
      </x:c>
      <x:c r="C547" t="str">
        <x:v>C677_Link02</x:v>
      </x:c>
      <x:c r="D547" t="str">
        <x:v>C</x:v>
      </x:c>
      <x:c r="E547" t="str">
        <x:v>Northern</x:v>
      </x:c>
      <x:c r="F547" t="str">
        <x:v>Kitgum</x:v>
      </x:c>
      <x:c r="G547" t="n">
        <x:v>6497.48</x:v>
      </x:c>
      <x:c r="H547" t="n">
        <x:v>0.000928</x:v>
      </x:c>
      <x:c r="I547" t="n">
        <x:v>0.9376</x:v>
      </x:c>
      <x:c r="J547" t="n">
        <x:v>4417.89</x:v>
      </x:c>
      <x:c r="K547" t="n">
        <x:v>1121.15</x:v>
      </x:c>
      <x:c r="L547" t="n">
        <x:v>520.1</x:v>
      </x:c>
      <x:c r="M547" t="n">
        <x:v>438.34</x:v>
      </x:c>
      <x:c r="N547" t="n">
        <x:v>0</x:v>
      </x:c>
    </x:row>
  </x:sheetData>
  <x:conditionalFormatting sqref="G2:G547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9ea7d472-6475-4fb3-9502-10d8fa7f9a81</x14:id>
        </x:ext>
      </x:extLst>
    </x:cfRule>
  </x:conditionalFormatting>
  <x:conditionalFormatting sqref="J2:J547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d9dda5a3-f156-43e0-be56-eeb48cbb5f5a</x14:id>
        </x:ext>
      </x:extLst>
    </x:cfRule>
  </x:conditionalFormatting>
  <x:conditionalFormatting sqref="K2:K547">
    <x:cfRule type="dataBar" priority="3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bac2d0aa-dc38-4fd7-8938-975c7e3613f7</x14:id>
        </x:ext>
      </x:extLst>
    </x:cfRule>
  </x:conditionalFormatting>
  <x:conditionalFormatting sqref="L2:L547">
    <x:cfRule type="dataBar" priority="4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3272a926-c326-4a49-a0fb-86d59a05e5d4</x14:id>
        </x:ext>
      </x:extLst>
    </x:cfRule>
  </x:conditionalFormatting>
  <x:conditionalFormatting sqref="M2:M547">
    <x:cfRule type="dataBar" priority="5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98af2ffd-ada5-429f-b6df-a55e8e69103c</x14:id>
        </x:ext>
      </x:extLst>
    </x:cfRule>
  </x:conditionalFormatting>
  <x:conditionalFormatting sqref="N2:N547">
    <x:cfRule type="dataBar" priority="6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11e23507-ef00-4873-8f17-b5487f08d887</x14:id>
        </x:ext>
      </x:extLst>
    </x:cfRule>
  </x:conditionalFormatting>
  <x:conditionalFormatting sqref="A2:N547">
    <x:cfRule type="containsErrors" dxfId="15" priority="7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9ea7d472-6475-4fb3-9502-10d8fa7f9a81">
            <x14:dataBar gradient="1">
              <x14:cfvo type="min"/>
              <x14:cfvo type="max"/>
              <x14:fillColor rgb="FF2563EB"/>
            </x14:dataBar>
          </x14:cfRule>
          <xm:sqref>G2:G547</xm:sqref>
        </x14:conditionalFormatting>
        <x14:conditionalFormatting>
          <x14:cfRule type="dataBar" priority="2" id="d9dda5a3-f156-43e0-be56-eeb48cbb5f5a">
            <x14:dataBar gradient="1">
              <x14:cfvo type="min"/>
              <x14:cfvo type="max"/>
              <x14:fillColor rgb="FF2563EB"/>
            </x14:dataBar>
          </x14:cfRule>
          <xm:sqref>J2:J547</xm:sqref>
        </x14:conditionalFormatting>
        <x14:conditionalFormatting>
          <x14:cfRule type="dataBar" priority="3" id="bac2d0aa-dc38-4fd7-8938-975c7e3613f7">
            <x14:dataBar gradient="1">
              <x14:cfvo type="min"/>
              <x14:cfvo type="max"/>
              <x14:fillColor rgb="FF2563EB"/>
            </x14:dataBar>
          </x14:cfRule>
          <xm:sqref>K2:K547</xm:sqref>
        </x14:conditionalFormatting>
        <x14:conditionalFormatting>
          <x14:cfRule type="dataBar" priority="4" id="3272a926-c326-4a49-a0fb-86d59a05e5d4">
            <x14:dataBar gradient="1">
              <x14:cfvo type="min"/>
              <x14:cfvo type="max"/>
              <x14:fillColor rgb="FF2563EB"/>
            </x14:dataBar>
          </x14:cfRule>
          <xm:sqref>L2:L547</xm:sqref>
        </x14:conditionalFormatting>
        <x14:conditionalFormatting>
          <x14:cfRule type="dataBar" priority="5" id="98af2ffd-ada5-429f-b6df-a55e8e69103c">
            <x14:dataBar gradient="1">
              <x14:cfvo type="min"/>
              <x14:cfvo type="max"/>
              <x14:fillColor rgb="FF2563EB"/>
            </x14:dataBar>
          </x14:cfRule>
          <xm:sqref>M2:M547</xm:sqref>
        </x14:conditionalFormatting>
        <x14:conditionalFormatting>
          <x14:cfRule type="dataBar" priority="6" id="11e23507-ef00-4873-8f17-b5487f08d887">
            <x14:dataBar gradient="1">
              <x14:cfvo type="min"/>
              <x14:cfvo type="max"/>
              <x14:fillColor rgb="FF2563EB"/>
            </x14:dataBar>
          </x14:cfRule>
          <xm:sqref>N2:N547</xm:sqref>
        </x14:conditionalFormatting>
      </x14:conditionalFormattings>
    </x:ext>
  </x:extLst>
</x:worksheet>
</file>